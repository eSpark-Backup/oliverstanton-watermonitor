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Faizan\GitHub\OliverStanton-WaterMonitor\BOM\GTV3_Board\"/>
    </mc:Choice>
  </mc:AlternateContent>
  <bookViews>
    <workbookView xWindow="-120" yWindow="-120" windowWidth="23160" windowHeight="10752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0" i="1" l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<sst xmlns="http://schemas.openxmlformats.org/spreadsheetml/2006/main" count="558" uniqueCount="414">
  <si>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</si>
  <si>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</si>
  <si>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</si>
  <si>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</si>
  <si>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</si>
  <si>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</si>
  <si>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</si>
  <si>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[V3_Board.PrjPcb] (No PCB Document Selected)</t>
  </si>
  <si>
    <t>V3_Board.PrjPcb</t>
  </si>
  <si>
    <t>None</t>
  </si>
  <si>
    <t>#Column Name Error:' Item Type</t>
  </si>
  <si>
    <t>Designator</t>
  </si>
  <si>
    <t>C1, C4, C17, C21, C23, C24, C31, C43, C58, C61, C63, C65, C67</t>
  </si>
  <si>
    <t>C2, C6, C10, C15, C18, C22, C25, C26, C27, C28, C29, C30, C33, C36, C37, C38, C39, C40, C41, C44, C46, C47, C48, C49, C50, C51, C52, C54, C55, C57, C60, C62, C64, C66, C68, C69, C73, C76</t>
  </si>
  <si>
    <t>C3, C8, C11, C14, C19, C45, C59</t>
  </si>
  <si>
    <t>C5, C7, C12, C13, C16</t>
  </si>
  <si>
    <t>C9</t>
  </si>
  <si>
    <t>C20</t>
  </si>
  <si>
    <t>C32</t>
  </si>
  <si>
    <t>C34, C35, C71, C72</t>
  </si>
  <si>
    <t>C42</t>
  </si>
  <si>
    <t>C53, C78</t>
  </si>
  <si>
    <t>C56</t>
  </si>
  <si>
    <t>C70</t>
  </si>
  <si>
    <t>C74</t>
  </si>
  <si>
    <t>C75</t>
  </si>
  <si>
    <t>C77</t>
  </si>
  <si>
    <t>D1</t>
  </si>
  <si>
    <t>D2</t>
  </si>
  <si>
    <t>D3</t>
  </si>
  <si>
    <t>D4, D5</t>
  </si>
  <si>
    <t>D6</t>
  </si>
  <si>
    <t>D7</t>
  </si>
  <si>
    <t>J1</t>
  </si>
  <si>
    <t>J2, J3, J4, J5, J6, J7, J8, J9, J11</t>
  </si>
  <si>
    <t>J10, J12, J13, J16, J17</t>
  </si>
  <si>
    <t>J14</t>
  </si>
  <si>
    <t>J15</t>
  </si>
  <si>
    <t>J18</t>
  </si>
  <si>
    <t>J19</t>
  </si>
  <si>
    <t>L1</t>
  </si>
  <si>
    <t>L2</t>
  </si>
  <si>
    <t>L3</t>
  </si>
  <si>
    <t>L4</t>
  </si>
  <si>
    <t>LED1, LED2, LED3, LED4, LED5, LED6, LED7</t>
  </si>
  <si>
    <t>LED8</t>
  </si>
  <si>
    <t>LS1</t>
  </si>
  <si>
    <t>P1</t>
  </si>
  <si>
    <t>P2, P6</t>
  </si>
  <si>
    <t>P3, P4, P5, P8</t>
  </si>
  <si>
    <t>P13</t>
  </si>
  <si>
    <t>P19, P27, P28</t>
  </si>
  <si>
    <t>P20</t>
  </si>
  <si>
    <t>Q1, Q3, Q4, Q22, Q23, Q25, Q26, Q27, Q28</t>
  </si>
  <si>
    <t>Q2</t>
  </si>
  <si>
    <t>Q5, Q6</t>
  </si>
  <si>
    <t>Q7, Q21</t>
  </si>
  <si>
    <t>Q9, Q10, Q11, Q12, Q13, Q14, Q15, Q16, Q29, Q30</t>
  </si>
  <si>
    <t>Q17, Q24</t>
  </si>
  <si>
    <t>Q19</t>
  </si>
  <si>
    <t>Q20</t>
  </si>
  <si>
    <t>R1</t>
  </si>
  <si>
    <t>R2</t>
  </si>
  <si>
    <t>R3</t>
  </si>
  <si>
    <t>R4, R6, R9, R27, R42, R43, R44, R45, R46, R47, R48, R49, R52, R54, R55, R56, R63, R68, R69, R70, R72, R73, R74, R75, R82, R86, R87, R88, R101, R102, R103, R104, R106</t>
  </si>
  <si>
    <t>R5, R8, R81, R89, R90, R99, R100</t>
  </si>
  <si>
    <t>R7, R10</t>
  </si>
  <si>
    <t>R11</t>
  </si>
  <si>
    <t>R12</t>
  </si>
  <si>
    <t>R13, R23, R35, R36, R38, R76, R77, R79</t>
  </si>
  <si>
    <t>R14, R15, R17</t>
  </si>
  <si>
    <t>R16, R18, R19, R20, R21, R22, R66</t>
  </si>
  <si>
    <t>R24, R25</t>
  </si>
  <si>
    <t>R26, R40, R41, R50, R51, R60, R61, R64, R65, R67, R85, R93, R94</t>
  </si>
  <si>
    <t>R30</t>
  </si>
  <si>
    <t>R31</t>
  </si>
  <si>
    <t>R32</t>
  </si>
  <si>
    <t>R33, R71</t>
  </si>
  <si>
    <t>R37, R39, R78, R80</t>
  </si>
  <si>
    <t>R53</t>
  </si>
  <si>
    <t>R57</t>
  </si>
  <si>
    <t>R58, R59, R62</t>
  </si>
  <si>
    <t>R83, R84</t>
  </si>
  <si>
    <t>R91, R92</t>
  </si>
  <si>
    <t>R95, R96</t>
  </si>
  <si>
    <t>R97, R98</t>
  </si>
  <si>
    <t>R105</t>
  </si>
  <si>
    <t>SB1, SB2, SB3, SB4, SB5, SB6, SB7, SB8, SB9, SB16, SB17, SB18, SB19, SB20, SB21, SB22, SB23, SB24</t>
  </si>
  <si>
    <t>SW1, SW2, SW3, SW4, SW5, SW6, SW7</t>
  </si>
  <si>
    <t>U1, U2</t>
  </si>
  <si>
    <t>U3</t>
  </si>
  <si>
    <t>U4</t>
  </si>
  <si>
    <t>U5</t>
  </si>
  <si>
    <t>U6</t>
  </si>
  <si>
    <t>U7</t>
  </si>
  <si>
    <t>U8, U9, U14, U15</t>
  </si>
  <si>
    <t>U10, U11, U12</t>
  </si>
  <si>
    <t>U13</t>
  </si>
  <si>
    <t>U16</t>
  </si>
  <si>
    <t>U17</t>
  </si>
  <si>
    <t>X1</t>
  </si>
  <si>
    <t>X2</t>
  </si>
  <si>
    <t>X3</t>
  </si>
  <si>
    <t>Description</t>
  </si>
  <si>
    <t>CAP ALUM 10uF 25V SMD</t>
  </si>
  <si>
    <t>CAP CER 0.1UF 50V Y5V 0603, CAP CER 0.1UF 100V X7R 0603</t>
  </si>
  <si>
    <t>CAP CER 1UF 25V X5R 0603</t>
  </si>
  <si>
    <t>470uF ±20% 50V 12.5mm 13.5mm 1000hrs 105℃ -40℃~+105℃ SMD,12.5x13.5mm Aluminum Electrolytic Capacitors - SMD RoHS</t>
  </si>
  <si>
    <t>CAP ALUM 100UF 20% 25V SMD</t>
  </si>
  <si>
    <t>CAP CER 470pF 10% X7R 50V 0603 SMD</t>
  </si>
  <si>
    <t>CAP TANT 1UF 20% 25V 0603</t>
  </si>
  <si>
    <t>CAP 30pF NP0 0603 50 V ±5 % SMD</t>
  </si>
  <si>
    <t>Capacitor 10NF 25V 0603 SMD X7R (reel)</t>
  </si>
  <si>
    <t>CAP CER 20PF 50V C0G/NPO 0603</t>
  </si>
  <si>
    <t>CAP CER 0.047UF 50V X7R 0603</t>
  </si>
  <si>
    <t>CAP CER 0.47uF 50V X7R 0603</t>
  </si>
  <si>
    <t>CAP CER 1.2PF 50V C0G/NPO 0603</t>
  </si>
  <si>
    <t>CAP CER 2.2UF 50V X5R 0603</t>
  </si>
  <si>
    <t>CAP CER 1.5PF 50V C0G/NPO 0603</t>
  </si>
  <si>
    <t>40V 500mV@2A 2A SMA(DO-214AC) Schottky Barrier Diodes (SBD) ROHS</t>
  </si>
  <si>
    <t>DIODE ZENER 16V 1.5W SMA</t>
  </si>
  <si>
    <t>800uA 43.5A 9.2V 6.4V 5V 7V Bi-Directional SMA TVS ROHS</t>
  </si>
  <si>
    <t>DIODE SCHOTTKY 45V 10A CFP15</t>
  </si>
  <si>
    <t>SMBJ Series 70 V 600 W Surface Mount Uni-Directional TVS Diode - DO-214AA</t>
  </si>
  <si>
    <t>SCHOTTKY DIODE SMB 100V 5A</t>
  </si>
  <si>
    <t>CONN HEADER SMD 10POS 1.27MM</t>
  </si>
  <si>
    <t>TERMINAL BLOCK, PLUGGABLE, 5.08,</t>
  </si>
  <si>
    <t>1 Inner bore SMA Board Edge Bend -55℃~+155℃ 50Ω Plugin RF Connectors / Coaxial Connectors ROHS</t>
  </si>
  <si>
    <t>4 PIN 2.54mm 3A Female Headers</t>
  </si>
  <si>
    <t>CONN RCPT USB2.0 MICRO B SMD R/A</t>
  </si>
  <si>
    <t>500mA 10uH ±20% 320mΩ 0805 Inductors</t>
  </si>
  <si>
    <t>Inductor Power Shielded Wirewound 220uH 20% 1KHz Ferrite 1.3A 310mOhm DCR Blister T/R</t>
  </si>
  <si>
    <t>FIXED IND 39NH 530MA 456MOHM SMD</t>
  </si>
  <si>
    <t>600mA 33nH ±5% 220mΩ SMD,1.8x1.2x1.02mm Inductors (SMD) ROHS</t>
  </si>
  <si>
    <t>LED RED CLEAR CHIP SMD</t>
  </si>
  <si>
    <t>SENSOR PHOTO 630NM 2SMD</t>
  </si>
  <si>
    <t>NO 2700Hz 85dB @ 3V, 10cm 3V Φ9mm SMD,9x3.2mm Buzzers RoHS</t>
  </si>
  <si>
    <t>Test Point ON</t>
  </si>
  <si>
    <t>CONN HEADER VERT 3POS 2.54MM</t>
  </si>
  <si>
    <t>CONN HEADER VERT 6POS 2.54MM</t>
  </si>
  <si>
    <t>CONN HDR 16POS 0.1 TIN PCB</t>
  </si>
  <si>
    <t>CONN HEADER VERT 2POS 2.54MM</t>
  </si>
  <si>
    <t>CONN HEADER VERT 4POS 2.54MM</t>
  </si>
  <si>
    <t>MOSFET N-CH 130V 1A SOT23</t>
  </si>
  <si>
    <t>MOSFET N-CH 20V 4.2A SOT23</t>
  </si>
  <si>
    <t>MOSFET N-CH 55V 110A D2PAK</t>
  </si>
  <si>
    <t>MOSFET P-CH 20V 3.7A SOT23</t>
  </si>
  <si>
    <t>NPN Ic=100mA Vceo=45V hfe=200~450 P=250mW</t>
  </si>
  <si>
    <t>PNP Ic=-100mA Vceo=-45V hfe=420~800 P=250mW</t>
  </si>
  <si>
    <t>TRANS NPN 160V 0.6A SOT-23</t>
  </si>
  <si>
    <t>60V 80A 2.5W 7mΩ@10V,20A 3V@250μA N Channel SOP-8_150mil MOSFETs ROHS</t>
  </si>
  <si>
    <t>Res Thick Film 0603 3.6K Ohm 1% 1/10W ±100ppm/°C Molded SMD Paper T/R</t>
  </si>
  <si>
    <t>RES 1.2K OHM 1% 1/10W 0603</t>
  </si>
  <si>
    <t>±1% 1/10W Thick Film Resistors 75V ±600ppm/℃ -55℃~+155℃ 0.33Ω 0603 Chip Resistor - Surface Mount ROHS</t>
  </si>
  <si>
    <t>RES SMD 10K OHM 5% 1/10W 0603</t>
  </si>
  <si>
    <t>RES 100K OHM 1% 1/10W 0603</t>
  </si>
  <si>
    <t>RES SMD 470K OHM 5% 1/10W 0603</t>
  </si>
  <si>
    <t>100mW Thick Film Resistors 75V ±1% ±100ppm/℃ -55℃~+155℃ 2.21MΩ 0603 Chip Resistor - Surface Mount ROHS</t>
  </si>
  <si>
    <t>RES SMD 6.8K OHM 5% 1/10W 0603</t>
  </si>
  <si>
    <t>RES SMD 3.3K OHM 1% 1/10W 0603</t>
  </si>
  <si>
    <t>RES SMD 680 OHM 1% 1/10W 0603</t>
  </si>
  <si>
    <t>RES SMD 2.2K OHM 1% 1/10W 0603</t>
  </si>
  <si>
    <t>RES SMD 47OHM 0.1W 0603</t>
  </si>
  <si>
    <t>RES SMD 1K OHM 1% 1/10W 0603</t>
  </si>
  <si>
    <t>100mW ±1% 13.7kΩ 0603 Chip Resistor - Surface Mount ROHS</t>
  </si>
  <si>
    <t>RES 1.5K OHM 1% 1/10W 0603</t>
  </si>
  <si>
    <t>Res Thick Film 0603 69.8K Ohm 1% 0.1W(1/10W) ±100ppm/C Pad SMD Automotive T/R</t>
  </si>
  <si>
    <t>RES SMD 49.9K OHM 1% 1/10W 0603</t>
  </si>
  <si>
    <t>RES SMD 2K OHM 1% 1/10W 0603</t>
  </si>
  <si>
    <t>RES SMD 20K OHM 1% 1/5W 0402</t>
  </si>
  <si>
    <t>RES SMD 0R, 1%, 0.1W, 0603</t>
  </si>
  <si>
    <t>RES SMD 4.7K OHM 1% 1/10W 0603</t>
  </si>
  <si>
    <t>RES SMD 200K OHM 1% 1/10W 0603</t>
  </si>
  <si>
    <t>Res SMD 0603 1M Ohm 1% 1/10W ±100ppm/°C Molded SMD Paper T/R</t>
  </si>
  <si>
    <t>RES SMD 50K ±0.5% ±25ppm/℃ 0805</t>
  </si>
  <si>
    <t>Res SMD 0603 150K Ohm 1% 0.1W(1/10W) ±100ppm/C Pad SMD T/R</t>
  </si>
  <si>
    <t>RES SMD 100K OHM 5% 1/5W 0603</t>
  </si>
  <si>
    <t>Solder Bridge ON</t>
  </si>
  <si>
    <t>SWITCH TACTILE SPST-NO 0.05A 12V</t>
  </si>
  <si>
    <t>SENSOR CURRENT HALL 20A DC</t>
  </si>
  <si>
    <t>1.5-A boost, buck, inverting switching regulator, operation from 0°C to 70°C 8-SOIC 0 to 70</t>
  </si>
  <si>
    <t>IC REG LINEAR 3.3V 1A SOT223</t>
  </si>
  <si>
    <t>IC MCU 32BIT 128KB FLASH 100LQFP</t>
  </si>
  <si>
    <t>IC GATE DRVR LOW-SIDE 8SOIC</t>
  </si>
  <si>
    <t>IC OR CTRLR N+1 8MSOP</t>
  </si>
  <si>
    <t>TransistorOptocouplers DC 1 2500Vrms SOP-4_P1.27 Optocouplers RoHS</t>
  </si>
  <si>
    <t>IC BUF NON-INVERT 5.5V SOT23-5</t>
  </si>
  <si>
    <t>SOT-23-6 Comparators ROHS</t>
  </si>
  <si>
    <t>RF RX ASK/OOK 300-450MHZ 16QSOP</t>
  </si>
  <si>
    <t>Through Hole Biometric Sensors ROHS</t>
  </si>
  <si>
    <t>8MHz SMD Crystal Resonator 18pF 200Ω ±20ppm ±30ppm -40℃~+85℃ SMD3225-4P Crystals ROHS</t>
  </si>
  <si>
    <t>13.52127MHz SMD Crystal Resonator 20pF 80Ω ±10ppm ±30ppm -40℃~+85℃ SMD3225-4P Crystals ROHS</t>
  </si>
  <si>
    <t>32.768kHz SMD Crystal Resonator 12.5pF ±20ppm -40℃~+85℃ SMD3215-2P Crystals ROHS</t>
  </si>
  <si>
    <t>Footprint</t>
  </si>
  <si>
    <t>RVT1E100M0405.</t>
  </si>
  <si>
    <t>Cap0603</t>
  </si>
  <si>
    <t>VT1H471MI135000CE0</t>
  </si>
  <si>
    <t>UWX1E101MCL1GB</t>
  </si>
  <si>
    <t>F981E105MMA</t>
  </si>
  <si>
    <t>SMA</t>
  </si>
  <si>
    <t>SMAJ5.0CA</t>
  </si>
  <si>
    <t>PMEG045V100EPD</t>
  </si>
  <si>
    <t>SMB</t>
  </si>
  <si>
    <t>SS510B</t>
  </si>
  <si>
    <t>FTSH-105-01-L-DV-K-TR</t>
  </si>
  <si>
    <t>TBP01R1-508-02BE</t>
  </si>
  <si>
    <t>TBP01R1-508-03BE</t>
  </si>
  <si>
    <t>TBP01R1-508-04BE</t>
  </si>
  <si>
    <t>HJ-SMA508</t>
  </si>
  <si>
    <t>DW254W-11-04-85</t>
  </si>
  <si>
    <t>10118194-0001LF</t>
  </si>
  <si>
    <t>Ind0805</t>
  </si>
  <si>
    <t>SLF12575T-221M1R3-PF</t>
  </si>
  <si>
    <t>IND 0402</t>
  </si>
  <si>
    <t>IND 0603</t>
  </si>
  <si>
    <t>LED 0402</t>
  </si>
  <si>
    <t>ALS-PT19-315C/L177/TR</t>
  </si>
  <si>
    <t>YS-SBZ9032C03R16</t>
  </si>
  <si>
    <t>TEST POINT</t>
  </si>
  <si>
    <t>HDR1X3</t>
  </si>
  <si>
    <t>HDR1X6</t>
  </si>
  <si>
    <t>HDR2X8</t>
  </si>
  <si>
    <t>HDR1X2</t>
  </si>
  <si>
    <t>HDR1X4</t>
  </si>
  <si>
    <t>SOT23-3</t>
  </si>
  <si>
    <t>SOT-23</t>
  </si>
  <si>
    <t>D2Pak</t>
  </si>
  <si>
    <t>RU6085H</t>
  </si>
  <si>
    <t>RES-0603</t>
  </si>
  <si>
    <t>Res0402</t>
  </si>
  <si>
    <t>RES 0805</t>
  </si>
  <si>
    <t>Res0603</t>
  </si>
  <si>
    <t>Solder Bridge</t>
  </si>
  <si>
    <t>TL3300CF160Q</t>
  </si>
  <si>
    <t>SOIC-8</t>
  </si>
  <si>
    <t>SOT-223</t>
  </si>
  <si>
    <t>LQFP-100</t>
  </si>
  <si>
    <t>LTC4359CMS8#PBF</t>
  </si>
  <si>
    <t>PS2801C-1-F3-A</t>
  </si>
  <si>
    <t>SOT-23-5</t>
  </si>
  <si>
    <t>SOT-23-6</t>
  </si>
  <si>
    <t>16-QSOP</t>
  </si>
  <si>
    <t>AS312</t>
  </si>
  <si>
    <t>XC32M4-8.000-F18LJDT</t>
  </si>
  <si>
    <t>SX3B13.52127F2010F30</t>
  </si>
  <si>
    <t>X321532768KGD2SI</t>
  </si>
  <si>
    <t>Manufacturer Part Number</t>
  </si>
  <si>
    <t>CC0603ZRY5V9BB104, CC0603KRX7R0BB104</t>
  </si>
  <si>
    <t>CC0603KRX5R8BB105</t>
  </si>
  <si>
    <t>CC0603KRX7R9BB471</t>
  </si>
  <si>
    <t>CC0603JRNPO9BN300</t>
  </si>
  <si>
    <t>CC0603KRX7R8BB103</t>
  </si>
  <si>
    <t>CC0603JRNPO9BN200</t>
  </si>
  <si>
    <t>C0603C473K5RACAUTO</t>
  </si>
  <si>
    <t>UMK107B7474KA-TR</t>
  </si>
  <si>
    <t>CC0603CRNPO9BN1R2</t>
  </si>
  <si>
    <t>UMK107BBJ225MA-T</t>
  </si>
  <si>
    <t>CC0603CRNPO9BN1R5</t>
  </si>
  <si>
    <t>SS24A</t>
  </si>
  <si>
    <t>1SMA5930BT3G</t>
  </si>
  <si>
    <t>PMEG045V100EPDZ</t>
  </si>
  <si>
    <t>SMBT70A-13-F</t>
  </si>
  <si>
    <t>MGFL2012F100MT-LF</t>
  </si>
  <si>
    <t>LQW15AN39NG80D</t>
  </si>
  <si>
    <t>HSC0603-33NJ-T</t>
  </si>
  <si>
    <t>XZMDK68W-2</t>
  </si>
  <si>
    <t>ALS-PT19-315C/L177/TR8</t>
  </si>
  <si>
    <t>PPTC082LFBN-RC</t>
  </si>
  <si>
    <t>DMN13H750S-7</t>
  </si>
  <si>
    <t>IRLML2502TRPBF</t>
  </si>
  <si>
    <t>IRF3205STRLPBF</t>
  </si>
  <si>
    <t>IRLML6402TRPBF</t>
  </si>
  <si>
    <t>BC847B,215</t>
  </si>
  <si>
    <t>BC857C,215</t>
  </si>
  <si>
    <t>MMBT5551LT1G</t>
  </si>
  <si>
    <t>AC0603FR-073K6L</t>
  </si>
  <si>
    <t>RC0603FR-071K2L</t>
  </si>
  <si>
    <t>AC0603JR-0710KL, RC0603JR-0710KL</t>
  </si>
  <si>
    <t>RC0603FR-07100KL</t>
  </si>
  <si>
    <t>AC0603JR-07470KL</t>
  </si>
  <si>
    <t>0603WAF2214T5E</t>
  </si>
  <si>
    <t>CRCW06036K80JNEA</t>
  </si>
  <si>
    <t>RC0603FR-073K3L</t>
  </si>
  <si>
    <t>RC0603FR-07680RL</t>
  </si>
  <si>
    <t>RC0603FR-072K2L</t>
  </si>
  <si>
    <t>RC0603FR-0747RL</t>
  </si>
  <si>
    <t>RC0603FR-071KL</t>
  </si>
  <si>
    <t>RMC060313.7K1%N</t>
  </si>
  <si>
    <t>RC0603FR-071K5L</t>
  </si>
  <si>
    <t>AC0603FR-0769K8L</t>
  </si>
  <si>
    <t>AC0603FR-0749K9L</t>
  </si>
  <si>
    <t>RC0603FR-072KL</t>
  </si>
  <si>
    <t>CRCW040220K0FKEDHP</t>
  </si>
  <si>
    <t>RC0603FR-070RL</t>
  </si>
  <si>
    <t>RC0603FR-074K7L</t>
  </si>
  <si>
    <t>RC0603FR-07200KL</t>
  </si>
  <si>
    <t>RC0603FR-071ML</t>
  </si>
  <si>
    <t>RC0603FR-07150KL</t>
  </si>
  <si>
    <t>CRGH0603J100K</t>
  </si>
  <si>
    <t>ACS723LLCTR-20AU-T</t>
  </si>
  <si>
    <t>MC34063ADR</t>
  </si>
  <si>
    <t>LMS8117AMP-3.3/NOPB</t>
  </si>
  <si>
    <t>STM32F072VBT6</t>
  </si>
  <si>
    <t>NCP81071ADR2G</t>
  </si>
  <si>
    <t>SN74LV1T34DBVR</t>
  </si>
  <si>
    <t>TPS3700DDCR</t>
  </si>
  <si>
    <t>MICRF220AYQS</t>
  </si>
  <si>
    <t>#Column Name Error:' Alternate Part Number</t>
  </si>
  <si>
    <t>Manufacturer</t>
  </si>
  <si>
    <t>ROQANG</t>
  </si>
  <si>
    <t>Yageo</t>
  </si>
  <si>
    <t>Changzhou Huawei Elec</t>
  </si>
  <si>
    <t>Nichicon</t>
  </si>
  <si>
    <t>Kyocera AVX</t>
  </si>
  <si>
    <t>KEMET</t>
  </si>
  <si>
    <t>Taiyo Yuden</t>
  </si>
  <si>
    <t>Yangzhou</t>
  </si>
  <si>
    <t>ON Semiconductor</t>
  </si>
  <si>
    <t>Shandong Jingdao Microelectronics</t>
  </si>
  <si>
    <t>Nexperia</t>
  </si>
  <si>
    <t>Diodes</t>
  </si>
  <si>
    <t>MDD</t>
  </si>
  <si>
    <t>Samtec</t>
  </si>
  <si>
    <t>CUI Devices</t>
  </si>
  <si>
    <t>HJ Tech</t>
  </si>
  <si>
    <t>DEALON</t>
  </si>
  <si>
    <t>Amphenol FCI</t>
  </si>
  <si>
    <t>Microgate</t>
  </si>
  <si>
    <t>TDK</t>
  </si>
  <si>
    <t>Murata</t>
  </si>
  <si>
    <t>EMTEK</t>
  </si>
  <si>
    <t>SunLED</t>
  </si>
  <si>
    <t>Everlight</t>
  </si>
  <si>
    <t>Fengming</t>
  </si>
  <si>
    <t>Wurth Electronics</t>
  </si>
  <si>
    <t>Sullins</t>
  </si>
  <si>
    <t>International Rectifier</t>
  </si>
  <si>
    <t>Infineon</t>
  </si>
  <si>
    <t>Shenzhen</t>
  </si>
  <si>
    <t>RALEC</t>
  </si>
  <si>
    <t>UNI-ROYAL</t>
  </si>
  <si>
    <t>Vishay Dale</t>
  </si>
  <si>
    <t>Yageo Phycomp</t>
  </si>
  <si>
    <t>TyoHM</t>
  </si>
  <si>
    <t>Viking Tech</t>
  </si>
  <si>
    <t>TE Connectivity</t>
  </si>
  <si>
    <t>E-Switch</t>
  </si>
  <si>
    <t>Allegro MicroSystems</t>
  </si>
  <si>
    <t>Texas Instruments</t>
  </si>
  <si>
    <t>STMicroelectronics</t>
  </si>
  <si>
    <t>Analog Devices / Linear Technology</t>
  </si>
  <si>
    <t>CEL</t>
  </si>
  <si>
    <t>Microchip</t>
  </si>
  <si>
    <t>Senba</t>
  </si>
  <si>
    <t>HCI</t>
  </si>
  <si>
    <t>Yangxing Tech</t>
  </si>
  <si>
    <t>Comment</t>
  </si>
  <si>
    <t>10uF</t>
  </si>
  <si>
    <t>0.1uF</t>
  </si>
  <si>
    <t>1uF</t>
  </si>
  <si>
    <t>470uF</t>
  </si>
  <si>
    <t>100uF</t>
  </si>
  <si>
    <t>470pF</t>
  </si>
  <si>
    <t>30pF</t>
  </si>
  <si>
    <t>10nF</t>
  </si>
  <si>
    <t>20pF</t>
  </si>
  <si>
    <t>47nF</t>
  </si>
  <si>
    <t>0.47uF</t>
  </si>
  <si>
    <t>1.2pF</t>
  </si>
  <si>
    <t>2.2uF</t>
  </si>
  <si>
    <t>1.5pF</t>
  </si>
  <si>
    <t>XY-MK-5V Module</t>
  </si>
  <si>
    <t>10uH</t>
  </si>
  <si>
    <t>220uH</t>
  </si>
  <si>
    <t>39nH</t>
  </si>
  <si>
    <t>33nH</t>
  </si>
  <si>
    <t>Test Point</t>
  </si>
  <si>
    <t>MMBT5551</t>
  </si>
  <si>
    <t>3.6K</t>
  </si>
  <si>
    <t>1.2k</t>
  </si>
  <si>
    <t>0.33R</t>
  </si>
  <si>
    <t>10K</t>
  </si>
  <si>
    <t>100K</t>
  </si>
  <si>
    <t>470K</t>
  </si>
  <si>
    <t>2.21M</t>
  </si>
  <si>
    <t>6.8K</t>
  </si>
  <si>
    <t>3.3K</t>
  </si>
  <si>
    <t>680R</t>
  </si>
  <si>
    <t>2.2K</t>
  </si>
  <si>
    <t>47R</t>
  </si>
  <si>
    <t>1K</t>
  </si>
  <si>
    <t>13.7K</t>
  </si>
  <si>
    <t>1.5K</t>
  </si>
  <si>
    <t>69.8K</t>
  </si>
  <si>
    <t>49.9K</t>
  </si>
  <si>
    <t>2K</t>
  </si>
  <si>
    <t>20K</t>
  </si>
  <si>
    <t>0R</t>
  </si>
  <si>
    <t>4.7K</t>
  </si>
  <si>
    <t>200K</t>
  </si>
  <si>
    <t>1M</t>
  </si>
  <si>
    <t>50K</t>
  </si>
  <si>
    <t>150K</t>
  </si>
  <si>
    <t>Tactile Switch</t>
  </si>
  <si>
    <t>8MHz</t>
  </si>
  <si>
    <t>13.52127MHz</t>
  </si>
  <si>
    <t>32.768kHz</t>
  </si>
  <si>
    <t>Quantity</t>
  </si>
  <si>
    <t>#Column Name Error:' Quantity (5 Boards)</t>
  </si>
  <si>
    <t>#Column Name Error:' Remarks</t>
  </si>
  <si>
    <t>RTT03R330FTP</t>
  </si>
  <si>
    <t>ARG05DTC5002</t>
  </si>
  <si>
    <t>-</t>
  </si>
  <si>
    <t>RVT1E100M0405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</si>
</sst>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2" fillId="5" borderId="20" xfId="0" applyFont="1" applyFill="1" applyBorder="1" applyAlignment="1">
      <alignment horizontal="center" vertical="center" wrapText="1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02"/>
  <sheetViews>
    <sheetView tabSelected="1" topLeftCell="E73" zoomScale="85" zoomScaleNormal="85" workbookViewId="0">
      <selection activeCell="J10" sqref="J10:K100"/>
    </sheetView>
  </sheetViews>
  <sheetFormatPr defaultRowHeight="14.4" x14ac:dyDescent="0.3"/>
  <cols>
    <col min="2" max="2" width="3.109375" style="25" customWidth="1"/>
    <col min="3" max="3" width="18.6640625" style="25" bestFit="1" customWidth="1"/>
    <col min="4" max="4" width="36" bestFit="1" customWidth="1"/>
    <col min="5" max="5" width="30" customWidth="1"/>
    <col min="6" max="6" width="26.5546875" bestFit="1" customWidth="1"/>
    <col min="7" max="7" width="33.44140625" bestFit="1" customWidth="1"/>
    <col min="8" max="8" width="33.44140625" customWidth="1"/>
    <col min="9" max="9" width="21.44140625" bestFit="1" customWidth="1"/>
    <col min="10" max="10" width="17.88671875" bestFit="1" customWidth="1"/>
    <col min="11" max="11" width="16.6640625" bestFit="1" customWidth="1"/>
    <col min="12" max="13" width="29.44140625" customWidth="1"/>
  </cols>
  <sheetData>
    <row r="1" spans="1:13" ht="15" thickBot="1" x14ac:dyDescent="0.35">
      <c r="A1" s="1"/>
      <c r="B1" s="19"/>
      <c r="C1" s="19"/>
      <c r="D1" s="2"/>
      <c r="E1" s="2"/>
      <c r="F1" s="2"/>
      <c r="G1" s="2"/>
      <c r="H1" s="2"/>
      <c r="I1" s="2"/>
      <c r="J1" s="59"/>
      <c r="K1" s="59"/>
      <c r="L1" s="59"/>
      <c r="M1" s="59"/>
    </row>
    <row r="2" spans="1:13" ht="31.8" thickBot="1" x14ac:dyDescent="0.35">
      <c r="A2" s="1"/>
      <c r="B2" s="20"/>
      <c r="C2" s="46"/>
      <c r="D2" s="10" t="s">
        <v>0</v>
      </c>
      <c r="E2" s="10"/>
      <c r="F2" s="55" t="s">
        <v>7</v>
      </c>
      <c r="G2" s="11"/>
      <c r="H2" s="11"/>
      <c r="I2" s="3"/>
      <c r="J2" s="3"/>
      <c r="K2" s="3"/>
      <c r="L2" s="3"/>
      <c r="M2" s="43"/>
    </row>
    <row r="3" spans="1:13" x14ac:dyDescent="0.3">
      <c r="A3" s="1"/>
      <c r="B3" s="21"/>
      <c r="C3" s="47"/>
      <c r="D3" s="12" t="s">
        <v>1</v>
      </c>
      <c r="E3" s="12"/>
      <c r="F3" s="56" t="s">
        <v>8</v>
      </c>
      <c r="G3" s="12"/>
      <c r="H3" s="12"/>
      <c r="I3" s="4"/>
      <c r="J3" s="4"/>
      <c r="K3" s="4"/>
      <c r="L3" s="4"/>
      <c r="M3" s="60"/>
    </row>
    <row r="4" spans="1:13" x14ac:dyDescent="0.3">
      <c r="A4" s="1"/>
      <c r="B4" s="21"/>
      <c r="C4" s="47"/>
      <c r="D4" s="12" t="s">
        <v>2</v>
      </c>
      <c r="E4" s="12"/>
      <c r="F4" s="57" t="s">
        <v>8</v>
      </c>
      <c r="G4" s="13"/>
      <c r="H4" s="13"/>
      <c r="I4" s="6"/>
      <c r="J4" s="6"/>
      <c r="K4" s="6"/>
      <c r="L4" s="6"/>
      <c r="M4" s="61"/>
    </row>
    <row r="5" spans="1:13" x14ac:dyDescent="0.3">
      <c r="A5" s="1"/>
      <c r="B5" s="21"/>
      <c r="C5" s="47"/>
      <c r="D5" s="12" t="s">
        <v>3</v>
      </c>
      <c r="E5" s="12"/>
      <c r="F5" s="58" t="s">
        <v>9</v>
      </c>
      <c r="G5" s="14"/>
      <c r="H5" s="14"/>
      <c r="I5" s="5"/>
      <c r="J5" s="5"/>
      <c r="K5" s="5"/>
      <c r="L5" s="5"/>
      <c r="M5" s="61"/>
    </row>
    <row r="6" spans="1:13" x14ac:dyDescent="0.3">
      <c r="A6" s="1"/>
      <c r="B6" s="22"/>
      <c r="C6" s="48"/>
      <c r="D6" s="15"/>
      <c r="E6" s="15"/>
      <c r="F6" s="16"/>
      <c r="G6" s="14"/>
      <c r="H6" s="14"/>
      <c r="I6" s="5"/>
      <c r="J6" s="5"/>
      <c r="K6" s="5"/>
      <c r="L6" s="5"/>
      <c r="M6" s="61"/>
    </row>
    <row r="7" spans="1:13" x14ac:dyDescent="0.3">
      <c r="A7" s="1"/>
      <c r="B7" s="23"/>
      <c r="C7" s="49"/>
      <c r="D7" s="17"/>
      <c r="E7" s="17"/>
      <c r="F7" s="18"/>
      <c r="G7" s="17"/>
      <c r="H7" s="17"/>
      <c r="I7" s="7"/>
      <c r="J7" s="7"/>
      <c r="K7" s="7"/>
      <c r="L7" s="7"/>
      <c r="M7" s="61"/>
    </row>
    <row r="8" spans="1:13" ht="15" thickBot="1" x14ac:dyDescent="0.35">
      <c r="A8" s="1"/>
      <c r="B8" s="26"/>
      <c r="C8" s="50"/>
      <c r="D8" s="27"/>
      <c r="E8" s="27"/>
      <c r="F8" s="28"/>
      <c r="G8" s="17"/>
      <c r="H8" s="17"/>
      <c r="I8" s="7"/>
      <c r="J8" s="7"/>
      <c r="K8" s="7"/>
      <c r="L8" s="7"/>
      <c r="M8" s="61"/>
    </row>
    <row r="9" spans="1:13" ht="15" thickBot="1" x14ac:dyDescent="0.35">
      <c r="A9" s="1"/>
      <c r="B9" s="29" t="s">
        <v>4</v>
      </c>
      <c r="C9" s="29" t="s">
        <v>10</v>
      </c>
      <c r="D9" s="29" t="s">
        <v>11</v>
      </c>
      <c r="E9" s="30" t="s">
        <v>103</v>
      </c>
      <c r="F9" s="29" t="s">
        <v>193</v>
      </c>
      <c r="G9" s="30" t="s">
        <v>246</v>
      </c>
      <c r="H9" s="29" t="s">
        <v>307</v>
      </c>
      <c r="I9" s="29" t="s">
        <v>308</v>
      </c>
      <c r="J9" s="30" t="s">
        <v>356</v>
      </c>
      <c r="K9" s="29" t="s">
        <v>407</v>
      </c>
      <c r="L9" s="29" t="s">
        <v>408</v>
      </c>
      <c r="M9" s="31" t="s">
        <v>409</v>
      </c>
    </row>
    <row r="10" spans="1:13" ht="24.6" thickBot="1" x14ac:dyDescent="0.35">
      <c r="A10" s="1"/>
      <c r="B10" s="54">
        <f>ROW(B10) - ROW($B$9)</f>
        <v>1</v>
      </c>
      <c r="C10" s="51"/>
      <c r="D10" s="37" t="s">
        <v>12</v>
      </c>
      <c r="E10" s="38" t="s">
        <v>104</v>
      </c>
      <c r="F10" s="37" t="s">
        <v>194</v>
      </c>
      <c r="G10" s="37" t="s">
        <v>413</v>
      </c>
      <c r="H10" s="37"/>
      <c r="I10" s="37" t="s">
        <v>309</v>
      </c>
      <c r="J10" s="38" t="s">
        <v>357</v>
      </c>
      <c r="K10" s="37">
        <v>13</v>
      </c>
      <c r="L10" s="37"/>
      <c r="M10" s="41"/>
    </row>
    <row r="11" spans="1:13" ht="48.6" thickBot="1" x14ac:dyDescent="0.35">
      <c r="A11" s="1"/>
      <c r="B11" s="54">
        <f t="shared" ref="B11:B99" si="0">ROW(B11) - ROW($B$9)</f>
        <v>2</v>
      </c>
      <c r="C11" s="51"/>
      <c r="D11" s="39" t="s">
        <v>13</v>
      </c>
      <c r="E11" s="40" t="s">
        <v>105</v>
      </c>
      <c r="F11" s="39" t="s">
        <v>195</v>
      </c>
      <c r="G11" s="40" t="s">
        <v>247</v>
      </c>
      <c r="H11" s="39"/>
      <c r="I11" s="39" t="s">
        <v>310</v>
      </c>
      <c r="J11" s="40" t="s">
        <v>358</v>
      </c>
      <c r="K11" s="39">
        <v>38</v>
      </c>
      <c r="L11" s="39"/>
      <c r="M11" s="42"/>
    </row>
    <row r="12" spans="1:13" ht="15" thickBot="1" x14ac:dyDescent="0.35">
      <c r="A12" s="1"/>
      <c r="B12" s="54">
        <f>ROW(B12) - ROW($B$9)</f>
        <v>3</v>
      </c>
      <c r="C12" s="51"/>
      <c r="D12" s="37" t="s">
        <v>14</v>
      </c>
      <c r="E12" s="38" t="s">
        <v>106</v>
      </c>
      <c r="F12" s="37" t="s">
        <v>195</v>
      </c>
      <c r="G12" s="38" t="s">
        <v>248</v>
      </c>
      <c r="H12" s="37"/>
      <c r="I12" s="37" t="s">
        <v>310</v>
      </c>
      <c r="J12" s="38" t="s">
        <v>359</v>
      </c>
      <c r="K12" s="37">
        <v>7</v>
      </c>
      <c r="L12" s="37"/>
      <c r="M12" s="41"/>
    </row>
    <row r="13" spans="1:13" ht="48.6" thickBot="1" x14ac:dyDescent="0.35">
      <c r="A13" s="1"/>
      <c r="B13" s="54">
        <f t="shared" si="0"/>
        <v>4</v>
      </c>
      <c r="C13" s="51"/>
      <c r="D13" s="39" t="s">
        <v>15</v>
      </c>
      <c r="E13" s="40" t="s">
        <v>107</v>
      </c>
      <c r="F13" s="39" t="s">
        <v>196</v>
      </c>
      <c r="G13" s="39" t="s">
        <v>196</v>
      </c>
      <c r="H13" s="39"/>
      <c r="I13" s="39" t="s">
        <v>311</v>
      </c>
      <c r="J13" s="40" t="s">
        <v>360</v>
      </c>
      <c r="K13" s="39">
        <v>5</v>
      </c>
      <c r="L13" s="39"/>
      <c r="M13" s="42"/>
    </row>
    <row r="14" spans="1:13" ht="15" thickBot="1" x14ac:dyDescent="0.35">
      <c r="A14" s="1"/>
      <c r="B14" s="54">
        <f>ROW(B14) - ROW($B$9)</f>
        <v>5</v>
      </c>
      <c r="C14" s="51"/>
      <c r="D14" s="37" t="s">
        <v>16</v>
      </c>
      <c r="E14" s="38" t="s">
        <v>108</v>
      </c>
      <c r="F14" s="37" t="s">
        <v>197</v>
      </c>
      <c r="G14" s="38" t="s">
        <v>197</v>
      </c>
      <c r="H14" s="37"/>
      <c r="I14" s="37" t="s">
        <v>312</v>
      </c>
      <c r="J14" s="38" t="s">
        <v>361</v>
      </c>
      <c r="K14" s="37">
        <v>1</v>
      </c>
      <c r="L14" s="37"/>
      <c r="M14" s="41"/>
    </row>
    <row r="15" spans="1:13" ht="15" thickBot="1" x14ac:dyDescent="0.35">
      <c r="A15" s="1"/>
      <c r="B15" s="54">
        <f t="shared" si="0"/>
        <v>6</v>
      </c>
      <c r="C15" s="51"/>
      <c r="D15" s="39" t="s">
        <v>17</v>
      </c>
      <c r="E15" s="40" t="s">
        <v>109</v>
      </c>
      <c r="F15" s="39" t="s">
        <v>195</v>
      </c>
      <c r="G15" s="40" t="s">
        <v>249</v>
      </c>
      <c r="H15" s="39"/>
      <c r="I15" s="39" t="s">
        <v>310</v>
      </c>
      <c r="J15" s="40" t="s">
        <v>362</v>
      </c>
      <c r="K15" s="39">
        <v>1</v>
      </c>
      <c r="L15" s="39"/>
      <c r="M15" s="42"/>
    </row>
    <row r="16" spans="1:13" ht="15" thickBot="1" x14ac:dyDescent="0.35">
      <c r="A16" s="1"/>
      <c r="B16" s="54">
        <f>ROW(B16) - ROW($B$9)</f>
        <v>7</v>
      </c>
      <c r="C16" s="51"/>
      <c r="D16" s="37" t="s">
        <v>18</v>
      </c>
      <c r="E16" s="38" t="s">
        <v>110</v>
      </c>
      <c r="F16" s="37" t="s">
        <v>198</v>
      </c>
      <c r="G16" s="38" t="s">
        <v>198</v>
      </c>
      <c r="H16" s="37"/>
      <c r="I16" s="37" t="s">
        <v>313</v>
      </c>
      <c r="J16" s="38" t="s">
        <v>359</v>
      </c>
      <c r="K16" s="37">
        <v>1</v>
      </c>
      <c r="L16" s="37"/>
      <c r="M16" s="41"/>
    </row>
    <row r="17" spans="1:13" ht="15" thickBot="1" x14ac:dyDescent="0.35">
      <c r="A17" s="1"/>
      <c r="B17" s="54">
        <f t="shared" si="0"/>
        <v>8</v>
      </c>
      <c r="C17" s="51"/>
      <c r="D17" s="39" t="s">
        <v>19</v>
      </c>
      <c r="E17" s="40" t="s">
        <v>111</v>
      </c>
      <c r="F17" s="39" t="s">
        <v>195</v>
      </c>
      <c r="G17" s="40" t="s">
        <v>250</v>
      </c>
      <c r="H17" s="39"/>
      <c r="I17" s="39" t="s">
        <v>310</v>
      </c>
      <c r="J17" s="40" t="s">
        <v>363</v>
      </c>
      <c r="K17" s="39">
        <v>4</v>
      </c>
      <c r="L17" s="39"/>
      <c r="M17" s="42"/>
    </row>
    <row r="18" spans="1:13" ht="15" thickBot="1" x14ac:dyDescent="0.35">
      <c r="A18" s="1"/>
      <c r="B18" s="54">
        <f>ROW(B18) - ROW($B$9)</f>
        <v>9</v>
      </c>
      <c r="C18" s="51"/>
      <c r="D18" s="37" t="s">
        <v>20</v>
      </c>
      <c r="E18" s="38" t="s">
        <v>112</v>
      </c>
      <c r="F18" s="37" t="s">
        <v>195</v>
      </c>
      <c r="G18" s="38" t="s">
        <v>251</v>
      </c>
      <c r="H18" s="37"/>
      <c r="I18" s="37" t="s">
        <v>310</v>
      </c>
      <c r="J18" s="38" t="s">
        <v>364</v>
      </c>
      <c r="K18" s="37">
        <v>1</v>
      </c>
      <c r="L18" s="37"/>
      <c r="M18" s="41"/>
    </row>
    <row r="19" spans="1:13" ht="15" thickBot="1" x14ac:dyDescent="0.35">
      <c r="A19" s="1"/>
      <c r="B19" s="54">
        <f t="shared" si="0"/>
        <v>10</v>
      </c>
      <c r="C19" s="51"/>
      <c r="D19" s="39" t="s">
        <v>21</v>
      </c>
      <c r="E19" s="40" t="s">
        <v>113</v>
      </c>
      <c r="F19" s="39" t="s">
        <v>195</v>
      </c>
      <c r="G19" s="40" t="s">
        <v>252</v>
      </c>
      <c r="H19" s="39"/>
      <c r="I19" s="39" t="s">
        <v>310</v>
      </c>
      <c r="J19" s="40" t="s">
        <v>365</v>
      </c>
      <c r="K19" s="39">
        <v>2</v>
      </c>
      <c r="L19" s="39"/>
      <c r="M19" s="42"/>
    </row>
    <row r="20" spans="1:13" ht="15" thickBot="1" x14ac:dyDescent="0.35">
      <c r="A20" s="1"/>
      <c r="B20" s="54">
        <f>ROW(B20) - ROW($B$9)</f>
        <v>11</v>
      </c>
      <c r="C20" s="51"/>
      <c r="D20" s="37" t="s">
        <v>22</v>
      </c>
      <c r="E20" s="38" t="s">
        <v>114</v>
      </c>
      <c r="F20" s="37" t="s">
        <v>195</v>
      </c>
      <c r="G20" s="38" t="s">
        <v>253</v>
      </c>
      <c r="H20" s="37"/>
      <c r="I20" s="37" t="s">
        <v>314</v>
      </c>
      <c r="J20" s="38" t="s">
        <v>366</v>
      </c>
      <c r="K20" s="37">
        <v>1</v>
      </c>
      <c r="L20" s="37"/>
      <c r="M20" s="41"/>
    </row>
    <row r="21" spans="1:13" ht="15" thickBot="1" x14ac:dyDescent="0.35">
      <c r="A21" s="1"/>
      <c r="B21" s="54">
        <f t="shared" si="0"/>
        <v>12</v>
      </c>
      <c r="C21" s="51"/>
      <c r="D21" s="39" t="s">
        <v>23</v>
      </c>
      <c r="E21" s="40" t="s">
        <v>115</v>
      </c>
      <c r="F21" s="39" t="s">
        <v>195</v>
      </c>
      <c r="G21" s="40" t="s">
        <v>254</v>
      </c>
      <c r="H21" s="39"/>
      <c r="I21" s="39" t="s">
        <v>315</v>
      </c>
      <c r="J21" s="40" t="s">
        <v>367</v>
      </c>
      <c r="K21" s="39">
        <v>1</v>
      </c>
      <c r="L21" s="39"/>
      <c r="M21" s="42"/>
    </row>
    <row r="22" spans="1:13" ht="15" thickBot="1" x14ac:dyDescent="0.35">
      <c r="A22" s="1"/>
      <c r="B22" s="54">
        <f>ROW(B22) - ROW($B$9)</f>
        <v>13</v>
      </c>
      <c r="C22" s="51"/>
      <c r="D22" s="37" t="s">
        <v>24</v>
      </c>
      <c r="E22" s="38" t="s">
        <v>116</v>
      </c>
      <c r="F22" s="37" t="s">
        <v>195</v>
      </c>
      <c r="G22" s="38" t="s">
        <v>255</v>
      </c>
      <c r="H22" s="37"/>
      <c r="I22" s="37" t="s">
        <v>310</v>
      </c>
      <c r="J22" s="38" t="s">
        <v>368</v>
      </c>
      <c r="K22" s="37">
        <v>1</v>
      </c>
      <c r="L22" s="37"/>
      <c r="M22" s="41"/>
    </row>
    <row r="23" spans="1:13" ht="15" thickBot="1" x14ac:dyDescent="0.35">
      <c r="A23" s="1"/>
      <c r="B23" s="54">
        <f t="shared" si="0"/>
        <v>14</v>
      </c>
      <c r="C23" s="51"/>
      <c r="D23" s="39" t="s">
        <v>25</v>
      </c>
      <c r="E23" s="40" t="s">
        <v>117</v>
      </c>
      <c r="F23" s="39" t="s">
        <v>195</v>
      </c>
      <c r="G23" s="40" t="s">
        <v>256</v>
      </c>
      <c r="H23" s="39"/>
      <c r="I23" s="39" t="s">
        <v>315</v>
      </c>
      <c r="J23" s="40" t="s">
        <v>369</v>
      </c>
      <c r="K23" s="39">
        <v>1</v>
      </c>
      <c r="L23" s="39"/>
      <c r="M23" s="42"/>
    </row>
    <row r="24" spans="1:13" ht="15" thickBot="1" x14ac:dyDescent="0.35">
      <c r="A24" s="1"/>
      <c r="B24" s="54">
        <f>ROW(B24) - ROW($B$9)</f>
        <v>15</v>
      </c>
      <c r="C24" s="51"/>
      <c r="D24" s="37" t="s">
        <v>26</v>
      </c>
      <c r="E24" s="38" t="s">
        <v>118</v>
      </c>
      <c r="F24" s="37" t="s">
        <v>195</v>
      </c>
      <c r="G24" s="38" t="s">
        <v>257</v>
      </c>
      <c r="H24" s="37"/>
      <c r="I24" s="37" t="s">
        <v>310</v>
      </c>
      <c r="J24" s="38" t="s">
        <v>370</v>
      </c>
      <c r="K24" s="37">
        <v>1</v>
      </c>
      <c r="L24" s="37"/>
      <c r="M24" s="41"/>
    </row>
    <row r="25" spans="1:13" ht="24.6" thickBot="1" x14ac:dyDescent="0.35">
      <c r="A25" s="1"/>
      <c r="B25" s="54">
        <f t="shared" si="0"/>
        <v>16</v>
      </c>
      <c r="C25" s="51"/>
      <c r="D25" s="39" t="s">
        <v>27</v>
      </c>
      <c r="E25" s="40" t="s">
        <v>119</v>
      </c>
      <c r="F25" s="39" t="s">
        <v>199</v>
      </c>
      <c r="G25" s="40" t="s">
        <v>258</v>
      </c>
      <c r="H25" s="39"/>
      <c r="I25" s="39" t="s">
        <v>316</v>
      </c>
      <c r="J25" s="40" t="s">
        <v>258</v>
      </c>
      <c r="K25" s="39">
        <v>1</v>
      </c>
      <c r="L25" s="39"/>
      <c r="M25" s="42"/>
    </row>
    <row r="26" spans="1:13" ht="15" thickBot="1" x14ac:dyDescent="0.35">
      <c r="A26" s="1"/>
      <c r="B26" s="54">
        <f>ROW(B26) - ROW($B$9)</f>
        <v>17</v>
      </c>
      <c r="C26" s="51"/>
      <c r="D26" s="37" t="s">
        <v>28</v>
      </c>
      <c r="E26" s="38" t="s">
        <v>120</v>
      </c>
      <c r="F26" s="37" t="s">
        <v>199</v>
      </c>
      <c r="G26" s="38" t="s">
        <v>259</v>
      </c>
      <c r="H26" s="37"/>
      <c r="I26" s="37" t="s">
        <v>317</v>
      </c>
      <c r="J26" s="38" t="s">
        <v>259</v>
      </c>
      <c r="K26" s="37">
        <v>1</v>
      </c>
      <c r="L26" s="37"/>
      <c r="M26" s="41"/>
    </row>
    <row r="27" spans="1:13" ht="24.6" thickBot="1" x14ac:dyDescent="0.35">
      <c r="A27" s="1"/>
      <c r="B27" s="54">
        <f t="shared" si="0"/>
        <v>18</v>
      </c>
      <c r="C27" s="51"/>
      <c r="D27" s="39" t="s">
        <v>29</v>
      </c>
      <c r="E27" s="40" t="s">
        <v>121</v>
      </c>
      <c r="F27" s="39" t="s">
        <v>200</v>
      </c>
      <c r="G27" s="40" t="s">
        <v>200</v>
      </c>
      <c r="H27" s="39"/>
      <c r="I27" s="39" t="s">
        <v>318</v>
      </c>
      <c r="J27" s="40" t="s">
        <v>200</v>
      </c>
      <c r="K27" s="39">
        <v>1</v>
      </c>
      <c r="L27" s="39"/>
      <c r="M27" s="42"/>
    </row>
    <row r="28" spans="1:13" ht="15" thickBot="1" x14ac:dyDescent="0.35">
      <c r="A28" s="1"/>
      <c r="B28" s="54">
        <f>ROW(B28) - ROW($B$9)</f>
        <v>19</v>
      </c>
      <c r="C28" s="51"/>
      <c r="D28" s="37" t="s">
        <v>30</v>
      </c>
      <c r="E28" s="38" t="s">
        <v>122</v>
      </c>
      <c r="F28" s="37" t="s">
        <v>201</v>
      </c>
      <c r="G28" s="38" t="s">
        <v>260</v>
      </c>
      <c r="H28" s="37"/>
      <c r="I28" s="37" t="s">
        <v>319</v>
      </c>
      <c r="J28" s="38" t="s">
        <v>201</v>
      </c>
      <c r="K28" s="37">
        <v>2</v>
      </c>
      <c r="L28" s="37"/>
      <c r="M28" s="41"/>
    </row>
    <row r="29" spans="1:13" ht="24.6" thickBot="1" x14ac:dyDescent="0.35">
      <c r="A29" s="1"/>
      <c r="B29" s="54">
        <f t="shared" si="0"/>
        <v>20</v>
      </c>
      <c r="C29" s="51"/>
      <c r="D29" s="39" t="s">
        <v>31</v>
      </c>
      <c r="E29" s="40" t="s">
        <v>123</v>
      </c>
      <c r="F29" s="39" t="s">
        <v>202</v>
      </c>
      <c r="G29" s="40" t="s">
        <v>261</v>
      </c>
      <c r="H29" s="39"/>
      <c r="I29" s="39" t="s">
        <v>320</v>
      </c>
      <c r="J29" s="40" t="s">
        <v>261</v>
      </c>
      <c r="K29" s="39">
        <v>1</v>
      </c>
      <c r="L29" s="39"/>
      <c r="M29" s="42"/>
    </row>
    <row r="30" spans="1:13" ht="15" thickBot="1" x14ac:dyDescent="0.35">
      <c r="A30" s="1"/>
      <c r="B30" s="54">
        <f>ROW(B30) - ROW($B$9)</f>
        <v>21</v>
      </c>
      <c r="C30" s="51"/>
      <c r="D30" s="37" t="s">
        <v>32</v>
      </c>
      <c r="E30" s="38" t="s">
        <v>124</v>
      </c>
      <c r="F30" s="37" t="s">
        <v>203</v>
      </c>
      <c r="G30" s="38" t="s">
        <v>203</v>
      </c>
      <c r="H30" s="37"/>
      <c r="I30" s="37" t="s">
        <v>321</v>
      </c>
      <c r="J30" s="38" t="s">
        <v>203</v>
      </c>
      <c r="K30" s="37">
        <v>1</v>
      </c>
      <c r="L30" s="37"/>
      <c r="M30" s="41"/>
    </row>
    <row r="31" spans="1:13" ht="15" thickBot="1" x14ac:dyDescent="0.35">
      <c r="A31" s="1"/>
      <c r="B31" s="54">
        <f t="shared" si="0"/>
        <v>22</v>
      </c>
      <c r="C31" s="51"/>
      <c r="D31" s="39" t="s">
        <v>33</v>
      </c>
      <c r="E31" s="40" t="s">
        <v>125</v>
      </c>
      <c r="F31" s="39" t="s">
        <v>204</v>
      </c>
      <c r="G31" s="40" t="s">
        <v>204</v>
      </c>
      <c r="H31" s="39"/>
      <c r="I31" s="39" t="s">
        <v>322</v>
      </c>
      <c r="J31" s="40" t="s">
        <v>204</v>
      </c>
      <c r="K31" s="39">
        <v>1</v>
      </c>
      <c r="L31" s="39"/>
      <c r="M31" s="42"/>
    </row>
    <row r="32" spans="1:13" ht="15" thickBot="1" x14ac:dyDescent="0.35">
      <c r="A32" s="1"/>
      <c r="B32" s="54">
        <f>ROW(B32) - ROW($B$9)</f>
        <v>23</v>
      </c>
      <c r="C32" s="51"/>
      <c r="D32" s="37" t="s">
        <v>34</v>
      </c>
      <c r="E32" s="38" t="s">
        <v>126</v>
      </c>
      <c r="F32" s="37" t="s">
        <v>205</v>
      </c>
      <c r="G32" s="38" t="s">
        <v>205</v>
      </c>
      <c r="H32" s="37"/>
      <c r="I32" s="37" t="s">
        <v>323</v>
      </c>
      <c r="J32" s="38" t="s">
        <v>205</v>
      </c>
      <c r="K32" s="37">
        <v>9</v>
      </c>
      <c r="L32" s="37"/>
      <c r="M32" s="41"/>
    </row>
    <row r="33" spans="1:13" ht="15" thickBot="1" x14ac:dyDescent="0.35">
      <c r="A33" s="1"/>
      <c r="B33" s="54">
        <f t="shared" si="0"/>
        <v>24</v>
      </c>
      <c r="C33" s="51"/>
      <c r="D33" s="39" t="s">
        <v>35</v>
      </c>
      <c r="E33" s="40" t="s">
        <v>126</v>
      </c>
      <c r="F33" s="39" t="s">
        <v>206</v>
      </c>
      <c r="G33" s="40" t="s">
        <v>206</v>
      </c>
      <c r="H33" s="39"/>
      <c r="I33" s="39" t="s">
        <v>323</v>
      </c>
      <c r="J33" s="40" t="s">
        <v>206</v>
      </c>
      <c r="K33" s="39">
        <v>5</v>
      </c>
      <c r="L33" s="39"/>
      <c r="M33" s="42"/>
    </row>
    <row r="34" spans="1:13" ht="15" thickBot="1" x14ac:dyDescent="0.35">
      <c r="A34" s="1"/>
      <c r="B34" s="54">
        <f>ROW(B34) - ROW($B$9)</f>
        <v>25</v>
      </c>
      <c r="C34" s="51"/>
      <c r="D34" s="37" t="s">
        <v>36</v>
      </c>
      <c r="E34" s="38" t="s">
        <v>126</v>
      </c>
      <c r="F34" s="37" t="s">
        <v>207</v>
      </c>
      <c r="G34" s="38" t="s">
        <v>207</v>
      </c>
      <c r="H34" s="37"/>
      <c r="I34" s="37" t="s">
        <v>323</v>
      </c>
      <c r="J34" s="38" t="s">
        <v>207</v>
      </c>
      <c r="K34" s="37">
        <v>1</v>
      </c>
      <c r="L34" s="37"/>
      <c r="M34" s="41"/>
    </row>
    <row r="35" spans="1:13" ht="36.6" thickBot="1" x14ac:dyDescent="0.35">
      <c r="A35" s="1"/>
      <c r="B35" s="54">
        <f t="shared" si="0"/>
        <v>26</v>
      </c>
      <c r="C35" s="51"/>
      <c r="D35" s="39" t="s">
        <v>37</v>
      </c>
      <c r="E35" s="40" t="s">
        <v>127</v>
      </c>
      <c r="F35" s="39" t="s">
        <v>208</v>
      </c>
      <c r="G35" s="40" t="s">
        <v>208</v>
      </c>
      <c r="H35" s="39"/>
      <c r="I35" s="39" t="s">
        <v>324</v>
      </c>
      <c r="J35" s="40" t="s">
        <v>208</v>
      </c>
      <c r="K35" s="39">
        <v>1</v>
      </c>
      <c r="L35" s="39"/>
      <c r="M35" s="42"/>
    </row>
    <row r="36" spans="1:13" ht="15" thickBot="1" x14ac:dyDescent="0.35">
      <c r="A36" s="1"/>
      <c r="B36" s="54">
        <f>ROW(B36) - ROW($B$9)</f>
        <v>27</v>
      </c>
      <c r="C36" s="51"/>
      <c r="D36" s="37" t="s">
        <v>38</v>
      </c>
      <c r="E36" s="38" t="s">
        <v>128</v>
      </c>
      <c r="F36" s="37" t="s">
        <v>209</v>
      </c>
      <c r="G36" s="37" t="s">
        <v>209</v>
      </c>
      <c r="H36" s="37"/>
      <c r="I36" s="37" t="s">
        <v>325</v>
      </c>
      <c r="J36" s="38" t="s">
        <v>371</v>
      </c>
      <c r="K36" s="37">
        <v>1</v>
      </c>
      <c r="L36" s="37"/>
      <c r="M36" s="41"/>
    </row>
    <row r="37" spans="1:13" ht="15" thickBot="1" x14ac:dyDescent="0.35">
      <c r="A37" s="1"/>
      <c r="B37" s="54">
        <f t="shared" si="0"/>
        <v>28</v>
      </c>
      <c r="C37" s="51"/>
      <c r="D37" s="39" t="s">
        <v>39</v>
      </c>
      <c r="E37" s="40" t="s">
        <v>129</v>
      </c>
      <c r="F37" s="39" t="s">
        <v>210</v>
      </c>
      <c r="G37" s="40" t="s">
        <v>210</v>
      </c>
      <c r="H37" s="39"/>
      <c r="I37" s="39" t="s">
        <v>326</v>
      </c>
      <c r="J37" s="40" t="s">
        <v>210</v>
      </c>
      <c r="K37" s="39">
        <v>1</v>
      </c>
      <c r="L37" s="39"/>
      <c r="M37" s="42"/>
    </row>
    <row r="38" spans="1:13" ht="15" thickBot="1" x14ac:dyDescent="0.35">
      <c r="A38" s="1"/>
      <c r="B38" s="54">
        <f>ROW(B38) - ROW($B$9)</f>
        <v>29</v>
      </c>
      <c r="C38" s="51"/>
      <c r="D38" s="37" t="s">
        <v>40</v>
      </c>
      <c r="E38" s="38" t="s">
        <v>130</v>
      </c>
      <c r="F38" s="37" t="s">
        <v>211</v>
      </c>
      <c r="G38" s="38" t="s">
        <v>262</v>
      </c>
      <c r="H38" s="37"/>
      <c r="I38" s="37" t="s">
        <v>327</v>
      </c>
      <c r="J38" s="38" t="s">
        <v>372</v>
      </c>
      <c r="K38" s="37">
        <v>1</v>
      </c>
      <c r="L38" s="37"/>
      <c r="M38" s="41"/>
    </row>
    <row r="39" spans="1:13" ht="36.6" thickBot="1" x14ac:dyDescent="0.35">
      <c r="A39" s="1"/>
      <c r="B39" s="54">
        <f t="shared" si="0"/>
        <v>30</v>
      </c>
      <c r="C39" s="51"/>
      <c r="D39" s="39" t="s">
        <v>41</v>
      </c>
      <c r="E39" s="40" t="s">
        <v>131</v>
      </c>
      <c r="F39" s="39" t="s">
        <v>212</v>
      </c>
      <c r="G39" s="40" t="s">
        <v>212</v>
      </c>
      <c r="H39" s="39"/>
      <c r="I39" s="39" t="s">
        <v>328</v>
      </c>
      <c r="J39" s="40" t="s">
        <v>373</v>
      </c>
      <c r="K39" s="39">
        <v>1</v>
      </c>
      <c r="L39" s="39"/>
      <c r="M39" s="42"/>
    </row>
    <row r="40" spans="1:13" ht="15" thickBot="1" x14ac:dyDescent="0.35">
      <c r="A40" s="1"/>
      <c r="B40" s="54">
        <f>ROW(B40) - ROW($B$9)</f>
        <v>31</v>
      </c>
      <c r="C40" s="51"/>
      <c r="D40" s="37" t="s">
        <v>42</v>
      </c>
      <c r="E40" s="38" t="s">
        <v>132</v>
      </c>
      <c r="F40" s="37" t="s">
        <v>213</v>
      </c>
      <c r="G40" s="38" t="s">
        <v>263</v>
      </c>
      <c r="H40" s="37"/>
      <c r="I40" s="37" t="s">
        <v>329</v>
      </c>
      <c r="J40" s="38" t="s">
        <v>374</v>
      </c>
      <c r="K40" s="37">
        <v>1</v>
      </c>
      <c r="L40" s="37"/>
      <c r="M40" s="41"/>
    </row>
    <row r="41" spans="1:13" ht="36.6" thickBot="1" x14ac:dyDescent="0.35">
      <c r="A41" s="1"/>
      <c r="B41" s="54">
        <f t="shared" si="0"/>
        <v>32</v>
      </c>
      <c r="C41" s="51"/>
      <c r="D41" s="39" t="s">
        <v>43</v>
      </c>
      <c r="E41" s="40" t="s">
        <v>133</v>
      </c>
      <c r="F41" s="39" t="s">
        <v>214</v>
      </c>
      <c r="G41" s="40" t="s">
        <v>264</v>
      </c>
      <c r="H41" s="39"/>
      <c r="I41" s="39" t="s">
        <v>330</v>
      </c>
      <c r="J41" s="40" t="s">
        <v>375</v>
      </c>
      <c r="K41" s="39">
        <v>1</v>
      </c>
      <c r="L41" s="39"/>
      <c r="M41" s="42"/>
    </row>
    <row r="42" spans="1:13" ht="15" thickBot="1" x14ac:dyDescent="0.35">
      <c r="A42" s="1"/>
      <c r="B42" s="54">
        <f>ROW(B42) - ROW($B$9)</f>
        <v>33</v>
      </c>
      <c r="C42" s="51"/>
      <c r="D42" s="37" t="s">
        <v>44</v>
      </c>
      <c r="E42" s="38" t="s">
        <v>134</v>
      </c>
      <c r="F42" s="37" t="s">
        <v>215</v>
      </c>
      <c r="G42" s="38" t="s">
        <v>265</v>
      </c>
      <c r="H42" s="37"/>
      <c r="I42" s="37" t="s">
        <v>331</v>
      </c>
      <c r="J42" s="38" t="s">
        <v>265</v>
      </c>
      <c r="K42" s="37">
        <v>7</v>
      </c>
      <c r="L42" s="37"/>
      <c r="M42" s="41"/>
    </row>
    <row r="43" spans="1:13" ht="15" thickBot="1" x14ac:dyDescent="0.35">
      <c r="A43" s="1"/>
      <c r="B43" s="54">
        <f t="shared" si="0"/>
        <v>34</v>
      </c>
      <c r="C43" s="51"/>
      <c r="D43" s="39" t="s">
        <v>45</v>
      </c>
      <c r="E43" s="40" t="s">
        <v>135</v>
      </c>
      <c r="F43" s="39" t="s">
        <v>216</v>
      </c>
      <c r="G43" s="40" t="s">
        <v>266</v>
      </c>
      <c r="H43" s="39"/>
      <c r="I43" s="39" t="s">
        <v>332</v>
      </c>
      <c r="J43" s="40" t="s">
        <v>266</v>
      </c>
      <c r="K43" s="39">
        <v>1</v>
      </c>
      <c r="L43" s="39"/>
      <c r="M43" s="42"/>
    </row>
    <row r="44" spans="1:13" ht="24.6" thickBot="1" x14ac:dyDescent="0.35">
      <c r="A44" s="1"/>
      <c r="B44" s="54">
        <f>ROW(B44) - ROW($B$9)</f>
        <v>35</v>
      </c>
      <c r="C44" s="51"/>
      <c r="D44" s="37" t="s">
        <v>46</v>
      </c>
      <c r="E44" s="38" t="s">
        <v>136</v>
      </c>
      <c r="F44" s="37" t="s">
        <v>217</v>
      </c>
      <c r="G44" s="37" t="s">
        <v>217</v>
      </c>
      <c r="H44" s="37"/>
      <c r="I44" s="37" t="s">
        <v>333</v>
      </c>
      <c r="J44" s="38" t="s">
        <v>217</v>
      </c>
      <c r="K44" s="37">
        <v>1</v>
      </c>
      <c r="L44" s="37"/>
      <c r="M44" s="41"/>
    </row>
    <row r="45" spans="1:13" ht="15" thickBot="1" x14ac:dyDescent="0.35">
      <c r="A45" s="1"/>
      <c r="B45" s="54">
        <f t="shared" si="0"/>
        <v>36</v>
      </c>
      <c r="C45" s="51"/>
      <c r="D45" s="39" t="s">
        <v>47</v>
      </c>
      <c r="E45" s="40" t="s">
        <v>137</v>
      </c>
      <c r="F45" s="39" t="s">
        <v>218</v>
      </c>
      <c r="G45" s="37" t="s">
        <v>217</v>
      </c>
      <c r="H45" s="39"/>
      <c r="I45" s="39"/>
      <c r="J45" s="40" t="s">
        <v>376</v>
      </c>
      <c r="K45" s="39">
        <v>1</v>
      </c>
      <c r="L45" s="39"/>
      <c r="M45" s="42"/>
    </row>
    <row r="46" spans="1:13" ht="15" thickBot="1" x14ac:dyDescent="0.35">
      <c r="A46" s="1"/>
      <c r="B46" s="54">
        <f>ROW(B46) - ROW($B$9)</f>
        <v>37</v>
      </c>
      <c r="C46" s="51"/>
      <c r="D46" s="37" t="s">
        <v>48</v>
      </c>
      <c r="E46" s="38" t="s">
        <v>138</v>
      </c>
      <c r="F46" s="37" t="s">
        <v>219</v>
      </c>
      <c r="G46" s="38">
        <v>61300311121</v>
      </c>
      <c r="H46" s="37"/>
      <c r="I46" s="37" t="s">
        <v>334</v>
      </c>
      <c r="J46" s="38">
        <v>61300311121</v>
      </c>
      <c r="K46" s="37">
        <v>2</v>
      </c>
      <c r="L46" s="37"/>
      <c r="M46" s="41"/>
    </row>
    <row r="47" spans="1:13" ht="15" thickBot="1" x14ac:dyDescent="0.35">
      <c r="A47" s="1"/>
      <c r="B47" s="54">
        <f t="shared" si="0"/>
        <v>38</v>
      </c>
      <c r="C47" s="51"/>
      <c r="D47" s="39" t="s">
        <v>49</v>
      </c>
      <c r="E47" s="40" t="s">
        <v>139</v>
      </c>
      <c r="F47" s="39" t="s">
        <v>220</v>
      </c>
      <c r="G47" s="40">
        <v>61300611121</v>
      </c>
      <c r="H47" s="39"/>
      <c r="I47" s="39" t="s">
        <v>334</v>
      </c>
      <c r="J47" s="40">
        <v>61300611121</v>
      </c>
      <c r="K47" s="39">
        <v>4</v>
      </c>
      <c r="L47" s="39"/>
      <c r="M47" s="42"/>
    </row>
    <row r="48" spans="1:13" ht="15" thickBot="1" x14ac:dyDescent="0.35">
      <c r="A48" s="1"/>
      <c r="B48" s="54">
        <f>ROW(B48) - ROW($B$9)</f>
        <v>39</v>
      </c>
      <c r="C48" s="51"/>
      <c r="D48" s="37" t="s">
        <v>50</v>
      </c>
      <c r="E48" s="38" t="s">
        <v>140</v>
      </c>
      <c r="F48" s="37" t="s">
        <v>221</v>
      </c>
      <c r="G48" s="38" t="s">
        <v>267</v>
      </c>
      <c r="H48" s="37"/>
      <c r="I48" s="37" t="s">
        <v>335</v>
      </c>
      <c r="J48" s="38" t="s">
        <v>267</v>
      </c>
      <c r="K48" s="37">
        <v>1</v>
      </c>
      <c r="L48" s="37"/>
      <c r="M48" s="41"/>
    </row>
    <row r="49" spans="1:13" ht="15" thickBot="1" x14ac:dyDescent="0.35">
      <c r="A49" s="1"/>
      <c r="B49" s="54">
        <f t="shared" si="0"/>
        <v>40</v>
      </c>
      <c r="C49" s="51"/>
      <c r="D49" s="39" t="s">
        <v>51</v>
      </c>
      <c r="E49" s="40" t="s">
        <v>141</v>
      </c>
      <c r="F49" s="39" t="s">
        <v>222</v>
      </c>
      <c r="G49" s="40">
        <v>61300211121</v>
      </c>
      <c r="H49" s="39"/>
      <c r="I49" s="39" t="s">
        <v>334</v>
      </c>
      <c r="J49" s="40">
        <v>61300211121</v>
      </c>
      <c r="K49" s="39">
        <v>3</v>
      </c>
      <c r="L49" s="39"/>
      <c r="M49" s="42"/>
    </row>
    <row r="50" spans="1:13" ht="15" thickBot="1" x14ac:dyDescent="0.35">
      <c r="A50" s="1"/>
      <c r="B50" s="54">
        <f>ROW(B50) - ROW($B$9)</f>
        <v>41</v>
      </c>
      <c r="C50" s="51"/>
      <c r="D50" s="37" t="s">
        <v>52</v>
      </c>
      <c r="E50" s="38" t="s">
        <v>142</v>
      </c>
      <c r="F50" s="37" t="s">
        <v>223</v>
      </c>
      <c r="G50" s="38">
        <v>61300411121</v>
      </c>
      <c r="H50" s="37"/>
      <c r="I50" s="37" t="s">
        <v>334</v>
      </c>
      <c r="J50" s="38">
        <v>61300411121</v>
      </c>
      <c r="K50" s="37">
        <v>1</v>
      </c>
      <c r="L50" s="37"/>
      <c r="M50" s="41"/>
    </row>
    <row r="51" spans="1:13" ht="15" thickBot="1" x14ac:dyDescent="0.35">
      <c r="A51" s="1"/>
      <c r="B51" s="54">
        <f t="shared" si="0"/>
        <v>42</v>
      </c>
      <c r="C51" s="51"/>
      <c r="D51" s="39" t="s">
        <v>53</v>
      </c>
      <c r="E51" s="40" t="s">
        <v>143</v>
      </c>
      <c r="F51" s="39" t="s">
        <v>224</v>
      </c>
      <c r="G51" s="40" t="s">
        <v>268</v>
      </c>
      <c r="H51" s="39"/>
      <c r="I51" s="39" t="s">
        <v>320</v>
      </c>
      <c r="J51" s="40" t="s">
        <v>268</v>
      </c>
      <c r="K51" s="39">
        <v>9</v>
      </c>
      <c r="L51" s="39"/>
      <c r="M51" s="42"/>
    </row>
    <row r="52" spans="1:13" ht="15" thickBot="1" x14ac:dyDescent="0.35">
      <c r="A52" s="1"/>
      <c r="B52" s="54">
        <f>ROW(B52) - ROW($B$9)</f>
        <v>43</v>
      </c>
      <c r="C52" s="51"/>
      <c r="D52" s="37" t="s">
        <v>54</v>
      </c>
      <c r="E52" s="38" t="s">
        <v>144</v>
      </c>
      <c r="F52" s="37" t="s">
        <v>225</v>
      </c>
      <c r="G52" s="38" t="s">
        <v>269</v>
      </c>
      <c r="H52" s="37"/>
      <c r="I52" s="37" t="s">
        <v>336</v>
      </c>
      <c r="J52" s="38" t="s">
        <v>269</v>
      </c>
      <c r="K52" s="37">
        <v>1</v>
      </c>
      <c r="L52" s="37"/>
      <c r="M52" s="41"/>
    </row>
    <row r="53" spans="1:13" ht="15" thickBot="1" x14ac:dyDescent="0.35">
      <c r="A53" s="1"/>
      <c r="B53" s="54">
        <f t="shared" si="0"/>
        <v>44</v>
      </c>
      <c r="C53" s="51"/>
      <c r="D53" s="39" t="s">
        <v>55</v>
      </c>
      <c r="E53" s="40" t="s">
        <v>145</v>
      </c>
      <c r="F53" s="39" t="s">
        <v>226</v>
      </c>
      <c r="G53" s="40" t="s">
        <v>270</v>
      </c>
      <c r="H53" s="39"/>
      <c r="I53" s="39" t="s">
        <v>337</v>
      </c>
      <c r="J53" s="40" t="s">
        <v>270</v>
      </c>
      <c r="K53" s="39">
        <v>2</v>
      </c>
      <c r="L53" s="39"/>
      <c r="M53" s="42"/>
    </row>
    <row r="54" spans="1:13" ht="15" thickBot="1" x14ac:dyDescent="0.35">
      <c r="A54" s="1"/>
      <c r="B54" s="54">
        <f>ROW(B54) - ROW($B$9)</f>
        <v>45</v>
      </c>
      <c r="C54" s="51"/>
      <c r="D54" s="37" t="s">
        <v>56</v>
      </c>
      <c r="E54" s="38" t="s">
        <v>146</v>
      </c>
      <c r="F54" s="37" t="s">
        <v>225</v>
      </c>
      <c r="G54" s="38" t="s">
        <v>271</v>
      </c>
      <c r="H54" s="37"/>
      <c r="I54" s="37" t="s">
        <v>336</v>
      </c>
      <c r="J54" s="38" t="s">
        <v>271</v>
      </c>
      <c r="K54" s="37">
        <v>2</v>
      </c>
      <c r="L54" s="37"/>
      <c r="M54" s="41"/>
    </row>
    <row r="55" spans="1:13" ht="24.6" thickBot="1" x14ac:dyDescent="0.35">
      <c r="A55" s="1"/>
      <c r="B55" s="54">
        <f t="shared" si="0"/>
        <v>46</v>
      </c>
      <c r="C55" s="51"/>
      <c r="D55" s="39" t="s">
        <v>57</v>
      </c>
      <c r="E55" s="40" t="s">
        <v>147</v>
      </c>
      <c r="F55" s="39" t="s">
        <v>225</v>
      </c>
      <c r="G55" s="40" t="s">
        <v>272</v>
      </c>
      <c r="H55" s="39"/>
      <c r="I55" s="39" t="s">
        <v>319</v>
      </c>
      <c r="J55" s="40" t="s">
        <v>272</v>
      </c>
      <c r="K55" s="39">
        <v>10</v>
      </c>
      <c r="L55" s="39"/>
      <c r="M55" s="42"/>
    </row>
    <row r="56" spans="1:13" ht="24.6" thickBot="1" x14ac:dyDescent="0.35">
      <c r="A56" s="1"/>
      <c r="B56" s="54">
        <f>ROW(B56) - ROW($B$9)</f>
        <v>47</v>
      </c>
      <c r="C56" s="51"/>
      <c r="D56" s="37" t="s">
        <v>58</v>
      </c>
      <c r="E56" s="38" t="s">
        <v>148</v>
      </c>
      <c r="F56" s="37" t="s">
        <v>225</v>
      </c>
      <c r="G56" s="38" t="s">
        <v>273</v>
      </c>
      <c r="H56" s="37"/>
      <c r="I56" s="37" t="s">
        <v>319</v>
      </c>
      <c r="J56" s="38" t="s">
        <v>273</v>
      </c>
      <c r="K56" s="37">
        <v>2</v>
      </c>
      <c r="L56" s="37"/>
      <c r="M56" s="41"/>
    </row>
    <row r="57" spans="1:13" ht="15" thickBot="1" x14ac:dyDescent="0.35">
      <c r="A57" s="1"/>
      <c r="B57" s="54">
        <f t="shared" si="0"/>
        <v>48</v>
      </c>
      <c r="C57" s="51"/>
      <c r="D57" s="39" t="s">
        <v>59</v>
      </c>
      <c r="E57" s="40" t="s">
        <v>149</v>
      </c>
      <c r="F57" s="39" t="s">
        <v>225</v>
      </c>
      <c r="G57" s="40" t="s">
        <v>274</v>
      </c>
      <c r="H57" s="39"/>
      <c r="I57" s="39" t="s">
        <v>317</v>
      </c>
      <c r="J57" s="40" t="s">
        <v>377</v>
      </c>
      <c r="K57" s="39">
        <v>1</v>
      </c>
      <c r="L57" s="39"/>
      <c r="M57" s="42"/>
    </row>
    <row r="58" spans="1:13" ht="24.6" thickBot="1" x14ac:dyDescent="0.35">
      <c r="A58" s="1"/>
      <c r="B58" s="54">
        <f>ROW(B58) - ROW($B$9)</f>
        <v>49</v>
      </c>
      <c r="C58" s="51"/>
      <c r="D58" s="37" t="s">
        <v>60</v>
      </c>
      <c r="E58" s="38" t="s">
        <v>150</v>
      </c>
      <c r="F58" s="37" t="s">
        <v>227</v>
      </c>
      <c r="G58" s="38" t="s">
        <v>227</v>
      </c>
      <c r="H58" s="37"/>
      <c r="I58" s="37" t="s">
        <v>338</v>
      </c>
      <c r="J58" s="38" t="s">
        <v>227</v>
      </c>
      <c r="K58" s="37">
        <v>1</v>
      </c>
      <c r="L58" s="37"/>
      <c r="M58" s="41"/>
    </row>
    <row r="59" spans="1:13" ht="24.6" thickBot="1" x14ac:dyDescent="0.35">
      <c r="A59" s="1"/>
      <c r="B59" s="54">
        <f t="shared" si="0"/>
        <v>50</v>
      </c>
      <c r="C59" s="51"/>
      <c r="D59" s="39" t="s">
        <v>61</v>
      </c>
      <c r="E59" s="40" t="s">
        <v>151</v>
      </c>
      <c r="F59" s="39" t="s">
        <v>228</v>
      </c>
      <c r="G59" s="40" t="s">
        <v>275</v>
      </c>
      <c r="H59" s="39"/>
      <c r="I59" s="39" t="s">
        <v>310</v>
      </c>
      <c r="J59" s="40" t="s">
        <v>378</v>
      </c>
      <c r="K59" s="39">
        <v>1</v>
      </c>
      <c r="L59" s="39"/>
      <c r="M59" s="42"/>
    </row>
    <row r="60" spans="1:13" ht="15" thickBot="1" x14ac:dyDescent="0.35">
      <c r="A60" s="1"/>
      <c r="B60" s="54">
        <f>ROW(B60) - ROW($B$9)</f>
        <v>51</v>
      </c>
      <c r="C60" s="51"/>
      <c r="D60" s="37" t="s">
        <v>62</v>
      </c>
      <c r="E60" s="38" t="s">
        <v>152</v>
      </c>
      <c r="F60" s="37" t="s">
        <v>228</v>
      </c>
      <c r="G60" s="38" t="s">
        <v>276</v>
      </c>
      <c r="H60" s="37"/>
      <c r="I60" s="37" t="s">
        <v>310</v>
      </c>
      <c r="J60" s="38" t="s">
        <v>379</v>
      </c>
      <c r="K60" s="37">
        <v>1</v>
      </c>
      <c r="L60" s="37"/>
      <c r="M60" s="41"/>
    </row>
    <row r="61" spans="1:13" ht="36.6" thickBot="1" x14ac:dyDescent="0.35">
      <c r="A61" s="1"/>
      <c r="B61" s="54">
        <f t="shared" si="0"/>
        <v>52</v>
      </c>
      <c r="C61" s="51"/>
      <c r="D61" s="39" t="s">
        <v>63</v>
      </c>
      <c r="E61" s="40" t="s">
        <v>153</v>
      </c>
      <c r="F61" s="39" t="s">
        <v>228</v>
      </c>
      <c r="G61" s="40" t="s">
        <v>410</v>
      </c>
      <c r="H61" s="39"/>
      <c r="I61" s="39" t="s">
        <v>339</v>
      </c>
      <c r="J61" s="40" t="s">
        <v>380</v>
      </c>
      <c r="K61" s="39">
        <v>1</v>
      </c>
      <c r="L61" s="39"/>
      <c r="M61" s="42"/>
    </row>
    <row r="62" spans="1:13" ht="48.6" thickBot="1" x14ac:dyDescent="0.35">
      <c r="A62" s="1"/>
      <c r="B62" s="54">
        <f>ROW(B62) - ROW($B$9)</f>
        <v>53</v>
      </c>
      <c r="C62" s="51"/>
      <c r="D62" s="37" t="s">
        <v>64</v>
      </c>
      <c r="E62" s="38" t="s">
        <v>154</v>
      </c>
      <c r="F62" s="37" t="s">
        <v>228</v>
      </c>
      <c r="G62" s="38" t="s">
        <v>277</v>
      </c>
      <c r="H62" s="37"/>
      <c r="I62" s="37" t="s">
        <v>310</v>
      </c>
      <c r="J62" s="38" t="s">
        <v>381</v>
      </c>
      <c r="K62" s="37">
        <v>33</v>
      </c>
      <c r="L62" s="37"/>
      <c r="M62" s="41"/>
    </row>
    <row r="63" spans="1:13" ht="15" thickBot="1" x14ac:dyDescent="0.35">
      <c r="A63" s="1"/>
      <c r="B63" s="54">
        <f t="shared" si="0"/>
        <v>54</v>
      </c>
      <c r="C63" s="51"/>
      <c r="D63" s="39" t="s">
        <v>65</v>
      </c>
      <c r="E63" s="40" t="s">
        <v>155</v>
      </c>
      <c r="F63" s="39" t="s">
        <v>228</v>
      </c>
      <c r="G63" s="40" t="s">
        <v>278</v>
      </c>
      <c r="H63" s="39"/>
      <c r="I63" s="39" t="s">
        <v>310</v>
      </c>
      <c r="J63" s="40" t="s">
        <v>382</v>
      </c>
      <c r="K63" s="39">
        <v>7</v>
      </c>
      <c r="L63" s="39"/>
      <c r="M63" s="42"/>
    </row>
    <row r="64" spans="1:13" ht="15" thickBot="1" x14ac:dyDescent="0.35">
      <c r="A64" s="1"/>
      <c r="B64" s="54">
        <f>ROW(B64) - ROW($B$9)</f>
        <v>55</v>
      </c>
      <c r="C64" s="51"/>
      <c r="D64" s="37" t="s">
        <v>66</v>
      </c>
      <c r="E64" s="38" t="s">
        <v>156</v>
      </c>
      <c r="F64" s="37" t="s">
        <v>228</v>
      </c>
      <c r="G64" s="38" t="s">
        <v>279</v>
      </c>
      <c r="H64" s="37"/>
      <c r="I64" s="37" t="s">
        <v>310</v>
      </c>
      <c r="J64" s="38" t="s">
        <v>383</v>
      </c>
      <c r="K64" s="37">
        <v>2</v>
      </c>
      <c r="L64" s="37"/>
      <c r="M64" s="41"/>
    </row>
    <row r="65" spans="1:13" ht="36.6" thickBot="1" x14ac:dyDescent="0.35">
      <c r="A65" s="1"/>
      <c r="B65" s="54">
        <f t="shared" si="0"/>
        <v>56</v>
      </c>
      <c r="C65" s="51"/>
      <c r="D65" s="39" t="s">
        <v>67</v>
      </c>
      <c r="E65" s="40" t="s">
        <v>157</v>
      </c>
      <c r="F65" s="39" t="s">
        <v>228</v>
      </c>
      <c r="G65" s="40" t="s">
        <v>280</v>
      </c>
      <c r="H65" s="39"/>
      <c r="I65" s="39" t="s">
        <v>340</v>
      </c>
      <c r="J65" s="40" t="s">
        <v>384</v>
      </c>
      <c r="K65" s="39">
        <v>1</v>
      </c>
      <c r="L65" s="39"/>
      <c r="M65" s="42"/>
    </row>
    <row r="66" spans="1:13" ht="15" thickBot="1" x14ac:dyDescent="0.35">
      <c r="A66" s="1"/>
      <c r="B66" s="54">
        <f>ROW(B66) - ROW($B$9)</f>
        <v>57</v>
      </c>
      <c r="C66" s="51"/>
      <c r="D66" s="37" t="s">
        <v>68</v>
      </c>
      <c r="E66" s="38" t="s">
        <v>158</v>
      </c>
      <c r="F66" s="37" t="s">
        <v>228</v>
      </c>
      <c r="G66" s="38" t="s">
        <v>281</v>
      </c>
      <c r="H66" s="37"/>
      <c r="I66" s="37" t="s">
        <v>341</v>
      </c>
      <c r="J66" s="38" t="s">
        <v>385</v>
      </c>
      <c r="K66" s="37">
        <v>1</v>
      </c>
      <c r="L66" s="37"/>
      <c r="M66" s="41"/>
    </row>
    <row r="67" spans="1:13" ht="15" thickBot="1" x14ac:dyDescent="0.35">
      <c r="A67" s="1"/>
      <c r="B67" s="54">
        <f t="shared" si="0"/>
        <v>58</v>
      </c>
      <c r="C67" s="51"/>
      <c r="D67" s="39" t="s">
        <v>69</v>
      </c>
      <c r="E67" s="40" t="s">
        <v>159</v>
      </c>
      <c r="F67" s="39" t="s">
        <v>228</v>
      </c>
      <c r="G67" s="40" t="s">
        <v>282</v>
      </c>
      <c r="H67" s="39"/>
      <c r="I67" s="39" t="s">
        <v>342</v>
      </c>
      <c r="J67" s="40" t="s">
        <v>386</v>
      </c>
      <c r="K67" s="39">
        <v>8</v>
      </c>
      <c r="L67" s="39"/>
      <c r="M67" s="42"/>
    </row>
    <row r="68" spans="1:13" ht="15" thickBot="1" x14ac:dyDescent="0.35">
      <c r="A68" s="1"/>
      <c r="B68" s="54">
        <f>ROW(B68) - ROW($B$9)</f>
        <v>59</v>
      </c>
      <c r="C68" s="51"/>
      <c r="D68" s="37" t="s">
        <v>70</v>
      </c>
      <c r="E68" s="38" t="s">
        <v>160</v>
      </c>
      <c r="F68" s="37" t="s">
        <v>228</v>
      </c>
      <c r="G68" s="38" t="s">
        <v>283</v>
      </c>
      <c r="H68" s="37"/>
      <c r="I68" s="37" t="s">
        <v>310</v>
      </c>
      <c r="J68" s="38" t="s">
        <v>387</v>
      </c>
      <c r="K68" s="37">
        <v>3</v>
      </c>
      <c r="L68" s="37"/>
      <c r="M68" s="41"/>
    </row>
    <row r="69" spans="1:13" ht="15" thickBot="1" x14ac:dyDescent="0.35">
      <c r="A69" s="1"/>
      <c r="B69" s="54">
        <f t="shared" si="0"/>
        <v>60</v>
      </c>
      <c r="C69" s="51"/>
      <c r="D69" s="39" t="s">
        <v>71</v>
      </c>
      <c r="E69" s="40" t="s">
        <v>161</v>
      </c>
      <c r="F69" s="39" t="s">
        <v>228</v>
      </c>
      <c r="G69" s="40" t="s">
        <v>284</v>
      </c>
      <c r="H69" s="39"/>
      <c r="I69" s="39" t="s">
        <v>342</v>
      </c>
      <c r="J69" s="40" t="s">
        <v>388</v>
      </c>
      <c r="K69" s="39">
        <v>7</v>
      </c>
      <c r="L69" s="39"/>
      <c r="M69" s="42"/>
    </row>
    <row r="70" spans="1:13" ht="15" thickBot="1" x14ac:dyDescent="0.35">
      <c r="A70" s="1"/>
      <c r="B70" s="54">
        <f>ROW(B70) - ROW($B$9)</f>
        <v>61</v>
      </c>
      <c r="C70" s="51"/>
      <c r="D70" s="37" t="s">
        <v>72</v>
      </c>
      <c r="E70" s="38" t="s">
        <v>162</v>
      </c>
      <c r="F70" s="37" t="s">
        <v>228</v>
      </c>
      <c r="G70" s="38" t="s">
        <v>285</v>
      </c>
      <c r="H70" s="37"/>
      <c r="I70" s="37" t="s">
        <v>310</v>
      </c>
      <c r="J70" s="38" t="s">
        <v>389</v>
      </c>
      <c r="K70" s="37">
        <v>2</v>
      </c>
      <c r="L70" s="37"/>
      <c r="M70" s="41"/>
    </row>
    <row r="71" spans="1:13" ht="24.6" thickBot="1" x14ac:dyDescent="0.35">
      <c r="A71" s="1"/>
      <c r="B71" s="54">
        <f t="shared" si="0"/>
        <v>62</v>
      </c>
      <c r="C71" s="51"/>
      <c r="D71" s="39" t="s">
        <v>73</v>
      </c>
      <c r="E71" s="40" t="s">
        <v>163</v>
      </c>
      <c r="F71" s="39" t="s">
        <v>228</v>
      </c>
      <c r="G71" s="40" t="s">
        <v>286</v>
      </c>
      <c r="H71" s="39"/>
      <c r="I71" s="39" t="s">
        <v>310</v>
      </c>
      <c r="J71" s="40" t="s">
        <v>390</v>
      </c>
      <c r="K71" s="39">
        <v>13</v>
      </c>
      <c r="L71" s="39"/>
      <c r="M71" s="42"/>
    </row>
    <row r="72" spans="1:13" ht="24.6" thickBot="1" x14ac:dyDescent="0.35">
      <c r="A72" s="1"/>
      <c r="B72" s="54">
        <f>ROW(B72) - ROW($B$9)</f>
        <v>63</v>
      </c>
      <c r="C72" s="51"/>
      <c r="D72" s="37" t="s">
        <v>74</v>
      </c>
      <c r="E72" s="38" t="s">
        <v>164</v>
      </c>
      <c r="F72" s="37" t="s">
        <v>228</v>
      </c>
      <c r="G72" s="38" t="s">
        <v>287</v>
      </c>
      <c r="H72" s="37"/>
      <c r="I72" s="37" t="s">
        <v>343</v>
      </c>
      <c r="J72" s="38" t="s">
        <v>391</v>
      </c>
      <c r="K72" s="37">
        <v>1</v>
      </c>
      <c r="L72" s="37"/>
      <c r="M72" s="41"/>
    </row>
    <row r="73" spans="1:13" ht="15" thickBot="1" x14ac:dyDescent="0.35">
      <c r="A73" s="1"/>
      <c r="B73" s="54">
        <f t="shared" si="0"/>
        <v>64</v>
      </c>
      <c r="C73" s="51"/>
      <c r="D73" s="39" t="s">
        <v>75</v>
      </c>
      <c r="E73" s="40" t="s">
        <v>165</v>
      </c>
      <c r="F73" s="39" t="s">
        <v>228</v>
      </c>
      <c r="G73" s="40" t="s">
        <v>288</v>
      </c>
      <c r="H73" s="39"/>
      <c r="I73" s="39" t="s">
        <v>310</v>
      </c>
      <c r="J73" s="40" t="s">
        <v>392</v>
      </c>
      <c r="K73" s="39">
        <v>1</v>
      </c>
      <c r="L73" s="39"/>
      <c r="M73" s="42"/>
    </row>
    <row r="74" spans="1:13" ht="36.6" thickBot="1" x14ac:dyDescent="0.35">
      <c r="A74" s="1"/>
      <c r="B74" s="54">
        <f>ROW(B74) - ROW($B$9)</f>
        <v>65</v>
      </c>
      <c r="C74" s="51"/>
      <c r="D74" s="37" t="s">
        <v>76</v>
      </c>
      <c r="E74" s="38" t="s">
        <v>166</v>
      </c>
      <c r="F74" s="37" t="s">
        <v>228</v>
      </c>
      <c r="G74" s="38" t="s">
        <v>289</v>
      </c>
      <c r="H74" s="37"/>
      <c r="I74" s="37" t="s">
        <v>310</v>
      </c>
      <c r="J74" s="38" t="s">
        <v>393</v>
      </c>
      <c r="K74" s="37">
        <v>1</v>
      </c>
      <c r="L74" s="37"/>
      <c r="M74" s="41"/>
    </row>
    <row r="75" spans="1:13" ht="15" thickBot="1" x14ac:dyDescent="0.35">
      <c r="A75" s="1"/>
      <c r="B75" s="54">
        <f t="shared" si="0"/>
        <v>66</v>
      </c>
      <c r="C75" s="51"/>
      <c r="D75" s="39" t="s">
        <v>77</v>
      </c>
      <c r="E75" s="40" t="s">
        <v>167</v>
      </c>
      <c r="F75" s="39" t="s">
        <v>228</v>
      </c>
      <c r="G75" s="40" t="s">
        <v>290</v>
      </c>
      <c r="H75" s="39"/>
      <c r="I75" s="39" t="s">
        <v>310</v>
      </c>
      <c r="J75" s="40" t="s">
        <v>394</v>
      </c>
      <c r="K75" s="39">
        <v>2</v>
      </c>
      <c r="L75" s="39"/>
      <c r="M75" s="42"/>
    </row>
    <row r="76" spans="1:13" ht="15" thickBot="1" x14ac:dyDescent="0.35">
      <c r="A76" s="1"/>
      <c r="B76" s="54">
        <f>ROW(B76) - ROW($B$9)</f>
        <v>67</v>
      </c>
      <c r="C76" s="51"/>
      <c r="D76" s="37" t="s">
        <v>78</v>
      </c>
      <c r="E76" s="38" t="s">
        <v>168</v>
      </c>
      <c r="F76" s="37" t="s">
        <v>228</v>
      </c>
      <c r="G76" s="38" t="s">
        <v>291</v>
      </c>
      <c r="H76" s="37"/>
      <c r="I76" s="37" t="s">
        <v>310</v>
      </c>
      <c r="J76" s="38" t="s">
        <v>395</v>
      </c>
      <c r="K76" s="37">
        <v>4</v>
      </c>
      <c r="L76" s="37"/>
      <c r="M76" s="41"/>
    </row>
    <row r="77" spans="1:13" ht="15" thickBot="1" x14ac:dyDescent="0.35">
      <c r="A77" s="1"/>
      <c r="B77" s="54">
        <f t="shared" si="0"/>
        <v>68</v>
      </c>
      <c r="C77" s="51"/>
      <c r="D77" s="39" t="s">
        <v>79</v>
      </c>
      <c r="E77" s="40" t="s">
        <v>169</v>
      </c>
      <c r="F77" s="39" t="s">
        <v>229</v>
      </c>
      <c r="G77" s="40" t="s">
        <v>292</v>
      </c>
      <c r="H77" s="39"/>
      <c r="I77" s="39" t="s">
        <v>341</v>
      </c>
      <c r="J77" s="40" t="s">
        <v>396</v>
      </c>
      <c r="K77" s="39">
        <v>1</v>
      </c>
      <c r="L77" s="39"/>
      <c r="M77" s="42"/>
    </row>
    <row r="78" spans="1:13" ht="15" thickBot="1" x14ac:dyDescent="0.35">
      <c r="A78" s="1"/>
      <c r="B78" s="54">
        <f>ROW(B78) - ROW($B$9)</f>
        <v>69</v>
      </c>
      <c r="C78" s="51"/>
      <c r="D78" s="37" t="s">
        <v>80</v>
      </c>
      <c r="E78" s="38" t="s">
        <v>170</v>
      </c>
      <c r="F78" s="37" t="s">
        <v>228</v>
      </c>
      <c r="G78" s="38" t="s">
        <v>293</v>
      </c>
      <c r="H78" s="37"/>
      <c r="I78" s="37" t="s">
        <v>310</v>
      </c>
      <c r="J78" s="38" t="s">
        <v>397</v>
      </c>
      <c r="K78" s="37">
        <v>1</v>
      </c>
      <c r="L78" s="37"/>
      <c r="M78" s="41"/>
    </row>
    <row r="79" spans="1:13" ht="15" thickBot="1" x14ac:dyDescent="0.35">
      <c r="A79" s="1"/>
      <c r="B79" s="54">
        <f t="shared" si="0"/>
        <v>70</v>
      </c>
      <c r="C79" s="51"/>
      <c r="D79" s="39" t="s">
        <v>81</v>
      </c>
      <c r="E79" s="40" t="s">
        <v>171</v>
      </c>
      <c r="F79" s="39" t="s">
        <v>228</v>
      </c>
      <c r="G79" s="40" t="s">
        <v>294</v>
      </c>
      <c r="H79" s="39"/>
      <c r="I79" s="39" t="s">
        <v>310</v>
      </c>
      <c r="J79" s="40" t="s">
        <v>398</v>
      </c>
      <c r="K79" s="39">
        <v>3</v>
      </c>
      <c r="L79" s="39"/>
      <c r="M79" s="42"/>
    </row>
    <row r="80" spans="1:13" ht="15" thickBot="1" x14ac:dyDescent="0.35">
      <c r="A80" s="1"/>
      <c r="B80" s="54">
        <f>ROW(B80) - ROW($B$9)</f>
        <v>71</v>
      </c>
      <c r="C80" s="51"/>
      <c r="D80" s="37" t="s">
        <v>82</v>
      </c>
      <c r="E80" s="38" t="s">
        <v>172</v>
      </c>
      <c r="F80" s="37" t="s">
        <v>228</v>
      </c>
      <c r="G80" s="38" t="s">
        <v>295</v>
      </c>
      <c r="H80" s="37"/>
      <c r="I80" s="37" t="s">
        <v>310</v>
      </c>
      <c r="J80" s="38" t="s">
        <v>399</v>
      </c>
      <c r="K80" s="37">
        <v>2</v>
      </c>
      <c r="L80" s="37"/>
      <c r="M80" s="41"/>
    </row>
    <row r="81" spans="1:13" ht="24.6" thickBot="1" x14ac:dyDescent="0.35">
      <c r="A81" s="1"/>
      <c r="B81" s="54">
        <f t="shared" si="0"/>
        <v>72</v>
      </c>
      <c r="C81" s="51"/>
      <c r="D81" s="39" t="s">
        <v>83</v>
      </c>
      <c r="E81" s="40" t="s">
        <v>173</v>
      </c>
      <c r="F81" s="39" t="s">
        <v>228</v>
      </c>
      <c r="G81" s="40" t="s">
        <v>296</v>
      </c>
      <c r="H81" s="39"/>
      <c r="I81" s="39" t="s">
        <v>310</v>
      </c>
      <c r="J81" s="40" t="s">
        <v>400</v>
      </c>
      <c r="K81" s="39">
        <v>2</v>
      </c>
      <c r="L81" s="39"/>
      <c r="M81" s="42"/>
    </row>
    <row r="82" spans="1:13" ht="15" thickBot="1" x14ac:dyDescent="0.35">
      <c r="A82" s="1"/>
      <c r="B82" s="54">
        <f>ROW(B82) - ROW($B$9)</f>
        <v>73</v>
      </c>
      <c r="C82" s="51"/>
      <c r="D82" s="37" t="s">
        <v>84</v>
      </c>
      <c r="E82" s="38" t="s">
        <v>174</v>
      </c>
      <c r="F82" s="37" t="s">
        <v>230</v>
      </c>
      <c r="G82" s="38" t="s">
        <v>411</v>
      </c>
      <c r="H82" s="37"/>
      <c r="I82" s="37" t="s">
        <v>344</v>
      </c>
      <c r="J82" s="38" t="s">
        <v>401</v>
      </c>
      <c r="K82" s="37">
        <v>2</v>
      </c>
      <c r="L82" s="37"/>
      <c r="M82" s="41"/>
    </row>
    <row r="83" spans="1:13" ht="24.6" thickBot="1" x14ac:dyDescent="0.35">
      <c r="A83" s="1"/>
      <c r="B83" s="54">
        <f t="shared" si="0"/>
        <v>74</v>
      </c>
      <c r="C83" s="51"/>
      <c r="D83" s="39" t="s">
        <v>85</v>
      </c>
      <c r="E83" s="40" t="s">
        <v>175</v>
      </c>
      <c r="F83" s="39" t="s">
        <v>228</v>
      </c>
      <c r="G83" s="40" t="s">
        <v>297</v>
      </c>
      <c r="H83" s="39"/>
      <c r="I83" s="39" t="s">
        <v>310</v>
      </c>
      <c r="J83" s="40" t="s">
        <v>402</v>
      </c>
      <c r="K83" s="39">
        <v>2</v>
      </c>
      <c r="L83" s="39"/>
      <c r="M83" s="42"/>
    </row>
    <row r="84" spans="1:13" ht="15" thickBot="1" x14ac:dyDescent="0.35">
      <c r="A84" s="1"/>
      <c r="B84" s="54">
        <f>ROW(B84) - ROW($B$9)</f>
        <v>75</v>
      </c>
      <c r="C84" s="51"/>
      <c r="D84" s="37" t="s">
        <v>86</v>
      </c>
      <c r="E84" s="38" t="s">
        <v>176</v>
      </c>
      <c r="F84" s="37" t="s">
        <v>231</v>
      </c>
      <c r="G84" s="38" t="s">
        <v>298</v>
      </c>
      <c r="H84" s="37"/>
      <c r="I84" s="37" t="s">
        <v>345</v>
      </c>
      <c r="J84" s="38" t="s">
        <v>382</v>
      </c>
      <c r="K84" s="37">
        <v>1</v>
      </c>
      <c r="L84" s="37"/>
      <c r="M84" s="41"/>
    </row>
    <row r="85" spans="1:13" ht="24.6" thickBot="1" x14ac:dyDescent="0.35">
      <c r="A85" s="1"/>
      <c r="B85" s="54">
        <f t="shared" si="0"/>
        <v>76</v>
      </c>
      <c r="C85" s="51"/>
      <c r="D85" s="39" t="s">
        <v>87</v>
      </c>
      <c r="E85" s="40" t="s">
        <v>177</v>
      </c>
      <c r="F85" s="39" t="s">
        <v>232</v>
      </c>
      <c r="G85" s="40" t="s">
        <v>412</v>
      </c>
      <c r="H85" s="39"/>
      <c r="I85" s="39"/>
      <c r="J85" s="40" t="s">
        <v>232</v>
      </c>
      <c r="K85" s="39">
        <v>18</v>
      </c>
      <c r="L85" s="39"/>
      <c r="M85" s="42"/>
    </row>
    <row r="86" spans="1:13" ht="15" thickBot="1" x14ac:dyDescent="0.35">
      <c r="A86" s="1"/>
      <c r="B86" s="54">
        <f>ROW(B86) - ROW($B$9)</f>
        <v>77</v>
      </c>
      <c r="C86" s="51"/>
      <c r="D86" s="37" t="s">
        <v>88</v>
      </c>
      <c r="E86" s="38" t="s">
        <v>178</v>
      </c>
      <c r="F86" s="37" t="s">
        <v>233</v>
      </c>
      <c r="G86" s="38" t="s">
        <v>233</v>
      </c>
      <c r="H86" s="37"/>
      <c r="I86" s="37" t="s">
        <v>346</v>
      </c>
      <c r="J86" s="38" t="s">
        <v>403</v>
      </c>
      <c r="K86" s="37">
        <v>7</v>
      </c>
      <c r="L86" s="37"/>
      <c r="M86" s="41"/>
    </row>
    <row r="87" spans="1:13" ht="15" thickBot="1" x14ac:dyDescent="0.35">
      <c r="A87" s="1"/>
      <c r="B87" s="54">
        <f t="shared" si="0"/>
        <v>78</v>
      </c>
      <c r="C87" s="51"/>
      <c r="D87" s="39" t="s">
        <v>89</v>
      </c>
      <c r="E87" s="40" t="s">
        <v>179</v>
      </c>
      <c r="F87" s="39" t="s">
        <v>234</v>
      </c>
      <c r="G87" s="40" t="s">
        <v>299</v>
      </c>
      <c r="H87" s="39"/>
      <c r="I87" s="39" t="s">
        <v>347</v>
      </c>
      <c r="J87" s="40" t="s">
        <v>299</v>
      </c>
      <c r="K87" s="39">
        <v>2</v>
      </c>
      <c r="L87" s="39"/>
      <c r="M87" s="42"/>
    </row>
    <row r="88" spans="1:13" ht="36.6" thickBot="1" x14ac:dyDescent="0.35">
      <c r="A88" s="1"/>
      <c r="B88" s="54">
        <f>ROW(B88) - ROW($B$9)</f>
        <v>79</v>
      </c>
      <c r="C88" s="51"/>
      <c r="D88" s="37" t="s">
        <v>90</v>
      </c>
      <c r="E88" s="38" t="s">
        <v>180</v>
      </c>
      <c r="F88" s="37" t="s">
        <v>234</v>
      </c>
      <c r="G88" s="38" t="s">
        <v>300</v>
      </c>
      <c r="H88" s="37"/>
      <c r="I88" s="37" t="s">
        <v>348</v>
      </c>
      <c r="J88" s="38" t="s">
        <v>300</v>
      </c>
      <c r="K88" s="37">
        <v>1</v>
      </c>
      <c r="L88" s="37"/>
      <c r="M88" s="41"/>
    </row>
    <row r="89" spans="1:13" ht="15" thickBot="1" x14ac:dyDescent="0.35">
      <c r="A89" s="1"/>
      <c r="B89" s="54">
        <f t="shared" si="0"/>
        <v>80</v>
      </c>
      <c r="C89" s="51"/>
      <c r="D89" s="39" t="s">
        <v>91</v>
      </c>
      <c r="E89" s="40" t="s">
        <v>181</v>
      </c>
      <c r="F89" s="39" t="s">
        <v>235</v>
      </c>
      <c r="G89" s="40" t="s">
        <v>301</v>
      </c>
      <c r="H89" s="39"/>
      <c r="I89" s="39" t="s">
        <v>348</v>
      </c>
      <c r="J89" s="40" t="s">
        <v>301</v>
      </c>
      <c r="K89" s="39">
        <v>1</v>
      </c>
      <c r="L89" s="39"/>
      <c r="M89" s="42"/>
    </row>
    <row r="90" spans="1:13" ht="15" thickBot="1" x14ac:dyDescent="0.35">
      <c r="A90" s="1"/>
      <c r="B90" s="54">
        <f>ROW(B90) - ROW($B$9)</f>
        <v>81</v>
      </c>
      <c r="C90" s="51"/>
      <c r="D90" s="37" t="s">
        <v>92</v>
      </c>
      <c r="E90" s="38" t="s">
        <v>182</v>
      </c>
      <c r="F90" s="37" t="s">
        <v>236</v>
      </c>
      <c r="G90" s="38" t="s">
        <v>302</v>
      </c>
      <c r="H90" s="37"/>
      <c r="I90" s="37" t="s">
        <v>349</v>
      </c>
      <c r="J90" s="38" t="s">
        <v>302</v>
      </c>
      <c r="K90" s="37">
        <v>1</v>
      </c>
      <c r="L90" s="37"/>
      <c r="M90" s="41"/>
    </row>
    <row r="91" spans="1:13" ht="15" thickBot="1" x14ac:dyDescent="0.35">
      <c r="A91" s="1"/>
      <c r="B91" s="54">
        <f t="shared" si="0"/>
        <v>82</v>
      </c>
      <c r="C91" s="51"/>
      <c r="D91" s="39" t="s">
        <v>93</v>
      </c>
      <c r="E91" s="40" t="s">
        <v>183</v>
      </c>
      <c r="F91" s="39" t="s">
        <v>234</v>
      </c>
      <c r="G91" s="40" t="s">
        <v>303</v>
      </c>
      <c r="H91" s="39"/>
      <c r="I91" s="39" t="s">
        <v>317</v>
      </c>
      <c r="J91" s="40" t="s">
        <v>303</v>
      </c>
      <c r="K91" s="39">
        <v>1</v>
      </c>
      <c r="L91" s="39"/>
      <c r="M91" s="42"/>
    </row>
    <row r="92" spans="1:13" ht="24.6" thickBot="1" x14ac:dyDescent="0.35">
      <c r="A92" s="1"/>
      <c r="B92" s="54">
        <f>ROW(B92) - ROW($B$9)</f>
        <v>83</v>
      </c>
      <c r="C92" s="51"/>
      <c r="D92" s="37" t="s">
        <v>94</v>
      </c>
      <c r="E92" s="38" t="s">
        <v>184</v>
      </c>
      <c r="F92" s="37" t="s">
        <v>237</v>
      </c>
      <c r="G92" s="38" t="s">
        <v>237</v>
      </c>
      <c r="H92" s="37"/>
      <c r="I92" s="37" t="s">
        <v>350</v>
      </c>
      <c r="J92" s="38" t="s">
        <v>237</v>
      </c>
      <c r="K92" s="37">
        <v>1</v>
      </c>
      <c r="L92" s="37"/>
      <c r="M92" s="41"/>
    </row>
    <row r="93" spans="1:13" ht="24.6" thickBot="1" x14ac:dyDescent="0.35">
      <c r="A93" s="1"/>
      <c r="B93" s="54">
        <f t="shared" si="0"/>
        <v>84</v>
      </c>
      <c r="C93" s="51"/>
      <c r="D93" s="39" t="s">
        <v>95</v>
      </c>
      <c r="E93" s="40" t="s">
        <v>185</v>
      </c>
      <c r="F93" s="39" t="s">
        <v>238</v>
      </c>
      <c r="G93" s="40" t="s">
        <v>238</v>
      </c>
      <c r="H93" s="39"/>
      <c r="I93" s="39" t="s">
        <v>351</v>
      </c>
      <c r="J93" s="40" t="s">
        <v>238</v>
      </c>
      <c r="K93" s="39">
        <v>4</v>
      </c>
      <c r="L93" s="39"/>
      <c r="M93" s="42"/>
    </row>
    <row r="94" spans="1:13" ht="15" thickBot="1" x14ac:dyDescent="0.35">
      <c r="A94" s="1"/>
      <c r="B94" s="54">
        <f>ROW(B94) - ROW($B$9)</f>
        <v>85</v>
      </c>
      <c r="C94" s="51"/>
      <c r="D94" s="37" t="s">
        <v>96</v>
      </c>
      <c r="E94" s="38" t="s">
        <v>186</v>
      </c>
      <c r="F94" s="37" t="s">
        <v>239</v>
      </c>
      <c r="G94" s="38" t="s">
        <v>304</v>
      </c>
      <c r="H94" s="37"/>
      <c r="I94" s="37" t="s">
        <v>348</v>
      </c>
      <c r="J94" s="38" t="s">
        <v>304</v>
      </c>
      <c r="K94" s="37">
        <v>3</v>
      </c>
      <c r="L94" s="37"/>
      <c r="M94" s="41"/>
    </row>
    <row r="95" spans="1:13" ht="15" thickBot="1" x14ac:dyDescent="0.35">
      <c r="A95" s="1"/>
      <c r="B95" s="54">
        <f t="shared" si="0"/>
        <v>86</v>
      </c>
      <c r="C95" s="51"/>
      <c r="D95" s="39" t="s">
        <v>97</v>
      </c>
      <c r="E95" s="40" t="s">
        <v>187</v>
      </c>
      <c r="F95" s="39" t="s">
        <v>240</v>
      </c>
      <c r="G95" s="40" t="s">
        <v>305</v>
      </c>
      <c r="H95" s="39"/>
      <c r="I95" s="39" t="s">
        <v>348</v>
      </c>
      <c r="J95" s="40" t="s">
        <v>305</v>
      </c>
      <c r="K95" s="39">
        <v>1</v>
      </c>
      <c r="L95" s="39"/>
      <c r="M95" s="42"/>
    </row>
    <row r="96" spans="1:13" ht="15" thickBot="1" x14ac:dyDescent="0.35">
      <c r="A96" s="1"/>
      <c r="B96" s="54">
        <f>ROW(B96) - ROW($B$9)</f>
        <v>87</v>
      </c>
      <c r="C96" s="51"/>
      <c r="D96" s="37" t="s">
        <v>98</v>
      </c>
      <c r="E96" s="38" t="s">
        <v>188</v>
      </c>
      <c r="F96" s="37" t="s">
        <v>241</v>
      </c>
      <c r="G96" s="38" t="s">
        <v>306</v>
      </c>
      <c r="H96" s="37"/>
      <c r="I96" s="37" t="s">
        <v>352</v>
      </c>
      <c r="J96" s="38" t="s">
        <v>306</v>
      </c>
      <c r="K96" s="37">
        <v>1</v>
      </c>
      <c r="L96" s="37"/>
      <c r="M96" s="41"/>
    </row>
    <row r="97" spans="1:13" ht="15" thickBot="1" x14ac:dyDescent="0.35">
      <c r="A97" s="1"/>
      <c r="B97" s="54">
        <f t="shared" si="0"/>
        <v>88</v>
      </c>
      <c r="C97" s="51"/>
      <c r="D97" s="39" t="s">
        <v>99</v>
      </c>
      <c r="E97" s="40" t="s">
        <v>189</v>
      </c>
      <c r="F97" s="39" t="s">
        <v>242</v>
      </c>
      <c r="G97" s="40" t="s">
        <v>242</v>
      </c>
      <c r="H97" s="39"/>
      <c r="I97" s="39" t="s">
        <v>353</v>
      </c>
      <c r="J97" s="40" t="s">
        <v>242</v>
      </c>
      <c r="K97" s="39">
        <v>1</v>
      </c>
      <c r="L97" s="39"/>
      <c r="M97" s="42"/>
    </row>
    <row r="98" spans="1:13" ht="36.6" thickBot="1" x14ac:dyDescent="0.35">
      <c r="A98" s="1"/>
      <c r="B98" s="54">
        <f>ROW(B98) - ROW($B$9)</f>
        <v>89</v>
      </c>
      <c r="C98" s="51"/>
      <c r="D98" s="37" t="s">
        <v>100</v>
      </c>
      <c r="E98" s="38" t="s">
        <v>190</v>
      </c>
      <c r="F98" s="37" t="s">
        <v>243</v>
      </c>
      <c r="G98" s="38" t="s">
        <v>243</v>
      </c>
      <c r="H98" s="37"/>
      <c r="I98" s="37" t="s">
        <v>354</v>
      </c>
      <c r="J98" s="38" t="s">
        <v>404</v>
      </c>
      <c r="K98" s="37">
        <v>1</v>
      </c>
      <c r="L98" s="37"/>
      <c r="M98" s="41"/>
    </row>
    <row r="99" spans="1:13" ht="36.6" thickBot="1" x14ac:dyDescent="0.35">
      <c r="A99" s="1"/>
      <c r="B99" s="54">
        <f t="shared" si="0"/>
        <v>90</v>
      </c>
      <c r="C99" s="51"/>
      <c r="D99" s="39" t="s">
        <v>101</v>
      </c>
      <c r="E99" s="40" t="s">
        <v>191</v>
      </c>
      <c r="F99" s="39" t="s">
        <v>244</v>
      </c>
      <c r="G99" s="40" t="s">
        <v>244</v>
      </c>
      <c r="H99" s="39"/>
      <c r="I99" s="39" t="s">
        <v>338</v>
      </c>
      <c r="J99" s="40" t="s">
        <v>405</v>
      </c>
      <c r="K99" s="39">
        <v>1</v>
      </c>
      <c r="L99" s="39"/>
      <c r="M99" s="42"/>
    </row>
    <row r="100" spans="1:13" ht="36.6" thickBot="1" x14ac:dyDescent="0.35">
      <c r="A100" s="1"/>
      <c r="B100" s="54">
        <f>ROW(B100) - ROW($B$9)</f>
        <v>91</v>
      </c>
      <c r="C100" s="51"/>
      <c r="D100" s="37" t="s">
        <v>102</v>
      </c>
      <c r="E100" s="38" t="s">
        <v>192</v>
      </c>
      <c r="F100" s="37" t="s">
        <v>245</v>
      </c>
      <c r="G100" s="38" t="s">
        <v>245</v>
      </c>
      <c r="H100" s="37"/>
      <c r="I100" s="37" t="s">
        <v>355</v>
      </c>
      <c r="J100" s="38" t="s">
        <v>406</v>
      </c>
      <c r="K100" s="37">
        <v>1</v>
      </c>
      <c r="L100" s="37"/>
      <c r="M100" s="41"/>
    </row>
    <row r="101" spans="1:13" x14ac:dyDescent="0.3">
      <c r="A101" s="1"/>
      <c r="B101" s="32"/>
      <c r="C101" s="52"/>
      <c r="D101" s="33" t="s">
        <v>5</v>
      </c>
      <c r="E101" s="34"/>
      <c r="F101" s="35"/>
      <c r="G101" s="36"/>
      <c r="H101" s="36"/>
      <c r="I101" s="35"/>
      <c r="J101" s="36"/>
      <c r="K101" s="36"/>
      <c r="L101" s="36"/>
      <c r="M101" s="44"/>
    </row>
    <row r="102" spans="1:13" ht="15" thickBot="1" x14ac:dyDescent="0.35">
      <c r="A102" s="1"/>
      <c r="B102" s="24"/>
      <c r="C102" s="53"/>
      <c r="D102" s="8" t="s">
        <v>6</v>
      </c>
      <c r="E102" s="9"/>
      <c r="F102" s="9"/>
      <c r="G102" s="9"/>
      <c r="H102" s="9"/>
      <c r="I102" s="9"/>
      <c r="J102" s="9"/>
      <c r="K102" s="9"/>
      <c r="L102" s="9"/>
      <c r="M102" s="45"/>
    </row>
  </sheetData>
  <mergeCells count="2">
    <mergeCell ref="J1:M1"/>
    <mergeCell ref="M3:M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2022-08-28T15:56:32Z</dcterms:modified>
</cp:coreProperties>
</file>