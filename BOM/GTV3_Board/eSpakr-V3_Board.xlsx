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OliverStanton-WaterMonitor\BOM\GTV3_Board\"/>
    </mc:Choice>
  </mc:AlternateContent>
  <bookViews>
    <workbookView xWindow="-120" yWindow="-120" windowWidth="29040" windowHeight="1584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Q105" i="1" l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Q106" i="1" s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107" i="1" l="1"/>
</calcChain>
</file>

<file path=xl/sharedStrings.xml><?xml version="1.0" encoding="utf-8"?>
<sst xmlns="http://schemas.openxmlformats.org/spreadsheetml/2006/main" count="990" uniqueCount="555">
  <si>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</si>
  <si>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</si>
  <si>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</si>
  <si>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</si>
  <si>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</si>
  <si>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</si>
  <si>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</si>
  <si>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</si>
  <si>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</si>
  <si>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</si>
  <si>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</si>
  <si>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</si>
  <si>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</si>
  <si>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</si>
  <si>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</si>
  <si>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</si>
  <si>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</si>
  <si>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</si>
  <si>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</si>
  <si>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</si>
  <si>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</si>
  <si>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</si>
  <si>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</si>
  <si>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</si>
  <si>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</si>
  <si>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</si>
  <si>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</si>
  <si>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</si>
  <si>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</si>
  <si>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</si>
  <si>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</si>
  <si>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</si>
  <si>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</si>
  <si>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</si>
  <si>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</si>
  <si>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</si>
  <si>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</si>
  <si>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</si>
  <si>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</si>
  <si>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</si>
  <si>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</si>
  <si>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</si>
  <si>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</si>
  <si>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</si>
  <si>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</si>
  <si>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</si>
  <si>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</si>
  <si>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</si>
  <si>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</si>
  <si>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</si>
  <si>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</si>
  <si>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</si>
  <si>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</si>
  <si>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</si>
  <si>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</si>
  <si>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</si>
  <si>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</si>
  <si>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</si>
  <si>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</si>
  <si>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</si>
  <si>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</si>
  <si>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</si>
  <si>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</si>
  <si>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</si>
  <si>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</si>
  <si>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</si>
  <si>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</si>
  <si>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</si>
  <si>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</si>
  <si>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</si>
  <si>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</si>
  <si>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</si>
  <si>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</si>
  <si>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</si>
  <si>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</si>
  <si>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</si>
  <si>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</si>
  <si>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</si>
  <si>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</si>
  <si>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</si>
  <si>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</si>
  <si>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</si>
  <si>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</si>
  <si>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</si>
  <si>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</si>
  <si>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</si>
  <si>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</si>
  <si>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</si>
  <si>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</si>
  <si>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</si>
  <si>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</si>
  <si>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</si>
  <si>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</si>
  <si>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</si>
  <si>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</si>
  <si>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</si>
  <si>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</si>
  <si>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</si>
  <si>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</si>
  <si>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</si>
  <si>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</si>
  <si>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</si>
  <si>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</si>
  <si>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</si>
  <si>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</si>
  <si>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</si>
  <si>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</si>
  <si>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</si>
  <si>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</si>
  <si>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</si>
  <si>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</si>
  <si>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</si>
  <si>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</si>
  <si>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</si>
  <si>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</si>
  <si>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</si>
  <si>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</si>
  <si>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</si>
  <si>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</si>
  <si>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</si>
  <si>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</si>
  <si>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</si>
  <si>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</si>
  <si>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</si>
  <si>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</si>
  <si>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</si>
  <si>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</si>
  <si>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</si>
  <si>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</si>
  <si>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</si>
  <si>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</si>
  <si>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</si>
  <si>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</si>
  <si>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</si>
  <si>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</si>
  <si>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</si>
  <si>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</si>
  <si>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</si>
  <si>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</si>
  <si>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</si>
  <si>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</si>
  <si>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</si>
  <si>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</si>
  <si>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</si>
  <si>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</si>
  <si>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</si>
  <si>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</si>
  <si>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</si>
  <si>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</si>
  <si>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</si>
  <si>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</si>
  <si>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</si>
  <si>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</si>
  <si>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</si>
  <si>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</si>
  <si>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</si>
  <si>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</si>
  <si>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</si>
  <si>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</si>
  <si>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</si>
  <si>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</si>
  <si>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</si>
  <si>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</si>
  <si>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</si>
  <si>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</si>
  <si>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</si>
  <si>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</si>
  <si>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</si>
  <si>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</si>
  <si>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</si>
  <si>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</si>
  <si>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</si>
  <si>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</si>
  <si>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</si>
  <si>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</si>
  <si>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</si>
  <si>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</si>
  <si>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</si>
  <si>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</si>
  <si>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</si>
  <si>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</si>
  <si>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</si>
  <si>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</si>
  <si>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</si>
  <si>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</si>
  <si>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</si>
  <si>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</si>
  <si>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</si>
  <si>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</si>
  <si>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</si>
  <si>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</si>
  <si>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</si>
  <si>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</si>
  <si>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</si>
  <si>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</si>
  <si>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</si>
  <si>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</si>
  <si>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</si>
  <si>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</si>
  <si>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</si>
  <si>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</si>
  <si>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</si>
  <si>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</si>
  <si>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</si>
  <si>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</si>
  <si>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</si>
  <si>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</si>
  <si>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</si>
  <si>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</si>
  <si>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</si>
  <si>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</si>
  <si>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</si>
  <si>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</si>
  <si>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</si>
  <si>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</si>
  <si>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</si>
  <si>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</si>
  <si>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</si>
  <si>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</si>
  <si>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</si>
  <si>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</si>
  <si>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</si>
  <si>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</si>
  <si>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</si>
  <si>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</si>
  <si>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</si>
  <si>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</si>
  <si>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</si>
  <si>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</si>
  <si>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</si>
  <si>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</si>
  <si>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</si>
  <si>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</si>
  <si>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</si>
  <si>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</si>
  <si>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</si>
  <si>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</si>
  <si>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</si>
  <si>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</si>
  <si>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</si>
  <si>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</si>
  <si>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</si>
  <si>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</si>
  <si>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</si>
  <si>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</si>
  <si>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</si>
  <si>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</si>
  <si>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</si>
  <si>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</si>
  <si>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</si>
  <si>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</si>
  <si>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</si>
  <si>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</si>
  <si>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</si>
  <si>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</si>
  <si>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</si>
  <si>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</si>
  <si>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</si>
  <si>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</si>
  <si>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</si>
  <si>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</si>
  <si>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</si>
  <si>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</si>
  <si>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</si>
  <si>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</si>
  <si>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</si>
  <si>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</si>
  <si>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</si>
  <si>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</si>
  <si>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</si>
  <si>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</si>
  <si>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</si>
  <si>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</si>
  <si>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</si>
  <si>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</si>
  <si>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</si>
  <si>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</si>
  <si>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</si>
  <si>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</si>
  <si>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</si>
  <si>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</si>
  <si>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</si>
  <si>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</si>
  <si>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</si>
  <si>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</si>
  <si>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</si>
  <si>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</si>
  <si>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</si>
  <si>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</si>
  <si>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</si>
  <si>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</si>
  <si>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</si>
  <si>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</si>
  <si>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</si>
  <si>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</si>
  <si>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</si>
  <si>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</si>
  <si>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</si>
  <si>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</si>
  <si>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</si>
  <si>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</si>
  <si>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</si>
  <si>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</si>
  <si>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</si>
  <si>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</si>
  <si>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</si>
  <si>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</si>
  <si>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</si>
  <si>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</si>
  <si>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</si>
  <si>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</si>
  <si>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</si>
  <si>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</si>
  <si>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</si>
  <si>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</si>
  <si>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</si>
  <si>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</si>
  <si>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</si>
  <si>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</si>
  <si>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</si>
  <si>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</si>
  <si>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</si>
  <si>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</si>
  <si>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</si>
  <si>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</si>
  <si>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</si>
  <si>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Samtec</t>
  </si>
  <si>
    <t>CUI Devices</t>
  </si>
  <si>
    <t>HJ Tech</t>
  </si>
  <si>
    <t>DEALON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</si>
  <si>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</si>
  <si>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</si>
  <si>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</si>
  <si>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</si>
  <si>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</si>
  <si>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</si>
  <si>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</si>
  <si>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</si>
  <si>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</si>
  <si>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</si>
  <si>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</si>
  <si>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</si>
  <si>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</si>
  <si>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</si>
  <si>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</si>
  <si>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</si>
  <si>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</si>
  <si>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</si>
  <si>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</si>
  <si>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</si>
  <si>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</si>
  <si>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</si>
  <si>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</si>
  <si>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</si>
  <si>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</si>
  <si>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</si>
  <si>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</si>
  <si>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</si>
  <si>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</si>
  <si>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</si>
  <si>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</si>
  <si>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</si>
  <si>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</si>
  <si>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</si>
  <si>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</si>
  <si>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</si>
  <si>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</si>
  <si>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</si>
  <si>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</si>
  <si>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</si>
  <si>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</si>
  <si>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</si>
  <si>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</si>
  <si>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</si>
  <si>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</si>
  <si>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</si>
  <si>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</si>
  <si>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</si>
  <si>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</si>
  <si>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</si>
  <si>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</si>
  <si>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</si>
  <si>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</si>
  <si>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</si>
  <si>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</si>
  <si>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</si>
  <si>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</si>
  <si>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</si>
  <si>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</si>
  <si>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</si>
  <si>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</si>
  <si>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</si>
  <si>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</si>
  <si>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</si>
  <si>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</si>
  <si>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</si>
  <si>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</si>
  <si>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</si>
  <si>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</si>
  <si>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</si>
  <si>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</si>
  <si>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</si>
  <si>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</si>
  <si>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</si>
  <si>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</si>
  <si>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</si>
  <si>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</si>
  <si>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</si>
  <si>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</si>
  <si>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</si>
  <si>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</si>
  <si>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</si>
  <si>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</si>
  <si>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</si>
  <si>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</si>
  <si>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</si>
  <si>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</si>
  <si>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</si>
  <si>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</si>
  <si>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</si>
  <si>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</si>
  <si>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</si>
  <si>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</si>
  <si>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</si>
  <si>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</si>
  <si>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</si>
  <si>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</si>
  <si>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</si>
  <si>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</si>
  <si>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</si>
  <si>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</si>
  <si>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</si>
  <si>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</si>
  <si>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</si>
  <si>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</si>
  <si>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</si>
  <si>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</si>
  <si>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</si>
  <si>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</si>
  <si>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</si>
  <si>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</si>
  <si>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</si>
  <si>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</si>
  <si>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</si>
  <si>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</si>
  <si>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</si>
  <si>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</si>
  <si>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</si>
  <si>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</si>
  <si>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</si>
  <si>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</si>
  <si>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</si>
  <si>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</si>
  <si>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</si>
  <si>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</si>
  <si>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</si>
  <si>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</si>
  <si>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</si>
  <si>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</si>
  <si>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</si>
  <si>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</si>
  <si>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</si>
  <si>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</si>
  <si>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</si>
  <si>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</si>
  <si>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</si>
  <si>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</si>
  <si>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</si>
  <si>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</si>
  <si>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</si>
  <si>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</si>
  <si>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</si>
  <si>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</si>
  <si>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</si>
  <si>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</si>
  <si>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</si>
  <si>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</si>
  <si>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</si>
  <si>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</si>
  <si>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</si>
  <si>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</si>
  <si>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C2935994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</si>
  <si>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</si>
  <si>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</si>
  <si>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</si>
  <si>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</si>
  <si>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</si>
  <si>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</si>
  <si>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</si>
  <si>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</si>
  <si>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</si>
  <si>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</si>
  <si>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</si>
  <si>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</si>
  <si>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</si>
  <si>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</si>
  <si>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</si>
  <si>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</si>
  <si>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 xml:space="preserve">PZ254V-11-02P
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</si>
  <si>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</si>
  <si>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</si>
  <si>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</si>
  <si>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</si>
  <si>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</si>
  <si>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</si>
  <si>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</si>
  <si>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</si>
  <si>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</si>
  <si>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</si>
  <si>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</si>
  <si>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</si>
  <si>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</si>
  <si>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</si>
  <si>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</si>
  <si>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</si>
  <si>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C2828840</t>
  </si>
  <si>
    <t>ARG05DTC5002</t>
  </si>
  <si>
    <t>C114660</t>
  </si>
  <si>
    <t>RES 150K OHM 1% 1/10W 0603</t>
  </si>
  <si>
    <t>C273516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</si>
  <si>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</si>
  <si>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</si>
  <si>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</si>
  <si>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</si>
  <si>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</si>
  <si>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</si>
  <si>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</si>
  <si>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</si>
  <si>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</si>
  <si>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</si>
  <si>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C114612</t>
  </si>
  <si>
    <t>C114623</t>
  </si>
  <si>
    <t>C723637</t>
  </si>
  <si>
    <t>C862245</t>
  </si>
  <si>
    <t>C471801</t>
  </si>
  <si>
    <t>C728597</t>
  </si>
  <si>
    <t>Switch</t>
  </si>
  <si>
    <t>IC</t>
  </si>
  <si>
    <t>Crystal</t>
  </si>
  <si>
    <t>C105574</t>
  </si>
  <si>
    <t>C116674</t>
  </si>
  <si>
    <t>AC0603FR-07100KL</t>
  </si>
  <si>
    <t>RES 1M OHM 1% 1/10W 0603</t>
  </si>
  <si>
    <t>C105578</t>
  </si>
  <si>
    <t>Winsource</t>
  </si>
  <si>
    <t xml:space="preserve">Less Stock On LCSC </t>
  </si>
  <si>
    <t>This Part Available On LCSC But Price is Very High</t>
  </si>
  <si>
    <t>C150517</t>
  </si>
  <si>
    <t>20021121-00010C4LF</t>
  </si>
  <si>
    <t>RES 2.2K OHM 1% 1/10W 0603</t>
  </si>
  <si>
    <t>R30, R116</t>
  </si>
  <si>
    <t>20V 500mV@3A 3A SMA(DO-214AC) Schottky Barrier Diodes (SBD) ROHS</t>
  </si>
  <si>
    <t>C34897</t>
  </si>
  <si>
    <t>Bill of Materials for Project [V3_Board]</t>
  </si>
  <si>
    <t>V3_Board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</si>
</sst>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4" fillId="2" borderId="5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3" fillId="2" borderId="5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6" fillId="4" borderId="17" xfId="1" applyFont="1" applyFill="1" applyBorder="1" applyAlignment="1">
      <alignment horizontal="center" vertical="center" wrapText="1"/>
    </xf>
    <xf numFmtId="165" fontId="23" fillId="4" borderId="6" xfId="0" applyNumberFormat="1" applyFont="1" applyFill="1" applyBorder="1" applyAlignment="1">
      <alignment horizontal="center" vertical="center" wrapText="1"/>
    </xf>
    <xf numFmtId="165" fontId="23" fillId="4" borderId="1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TDK-SLF12575T-221M1R3-PF_C93225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Pin-Headers_BOOMELE-Boom-Precision-Elec-C49257_C49257.html" TargetMode="External"/><Relationship Id="rId47" Type="http://schemas.openxmlformats.org/officeDocument/2006/relationships/hyperlink" Target="https://www.lcsc.com/product-detail/MOSFETs_Shenzhen-ruichips-Semicon-RU6085H_C181990.html" TargetMode="External"/><Relationship Id="rId63" Type="http://schemas.openxmlformats.org/officeDocument/2006/relationships/hyperlink" Target="https://www.lcsc.com/product-detail/Tactile-Switches_E-Switch-TL3300CF160Q_C273516.html" TargetMode="External"/><Relationship Id="rId68" Type="http://schemas.openxmlformats.org/officeDocument/2006/relationships/hyperlink" Target="https://www.lcsc.com/product-detail/Human-Body-Sensing-Sensor_Senba-Sensing-Tech-AS312_C90465.html" TargetMode="External"/><Relationship Id="rId84" Type="http://schemas.openxmlformats.org/officeDocument/2006/relationships/hyperlink" Target="https://www.lcsc.com/product-detail/Chip-Resistor-Surface-Mount_YAGEO-RC0603FR-071ML_C105578.html" TargetMode="External"/><Relationship Id="rId89" Type="http://schemas.openxmlformats.org/officeDocument/2006/relationships/hyperlink" Target="https://www.win-source.net/products/detail/linear-technology/ltc4359cms8-pbf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32" Type="http://schemas.openxmlformats.org/officeDocument/2006/relationships/hyperlink" Target="https://www.lcsc.com/product-detail/Inductors-SMD_microgate-MGFL2012F100MT-LF_C281113.html" TargetMode="External"/><Relationship Id="rId37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53" Type="http://schemas.openxmlformats.org/officeDocument/2006/relationships/hyperlink" Target="https://www.lcsc.com/product-detail/Chip-Resistor-Surface-Mount_YAGEO-AC0603JR-07470KL_C144601.html" TargetMode="External"/><Relationship Id="rId58" Type="http://schemas.openxmlformats.org/officeDocument/2006/relationships/hyperlink" Target="https://www.lcsc.com/product-detail/Chip-Resistor-Surface-Mount_YAGEO-RC0603FR-071KL_C22548.html" TargetMode="External"/><Relationship Id="rId74" Type="http://schemas.openxmlformats.org/officeDocument/2006/relationships/hyperlink" Target="https://www.lcsc.com/product-detail/Chip-Resistor-Surface-Mount_YAGEO-RC0603FR-0747RL_C114623.html" TargetMode="External"/><Relationship Id="rId79" Type="http://schemas.openxmlformats.org/officeDocument/2006/relationships/hyperlink" Target="https://www.lcsc.com/product-detail/Chip-Resistor-Surface-Mount_YAGEO-RC0603DR-07150RL_C471801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90" Type="http://schemas.openxmlformats.org/officeDocument/2006/relationships/hyperlink" Target="https://www.lcsc.com/product-detail/MOSFETs_Infineon-Technologies-IRF3205STRLPBF_C2613.html" TargetMode="External"/><Relationship Id="rId95" Type="http://schemas.openxmlformats.org/officeDocument/2006/relationships/drawing" Target="../drawings/drawing1.xm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Murata-Electronics-LQW15AN39NG80D_C269823.html" TargetMode="External"/><Relationship Id="rId43" Type="http://schemas.openxmlformats.org/officeDocument/2006/relationships/hyperlink" Target="https://www.lcsc.com/product-detail/Bipolar-Transistors-BJT_Diodes-Incorporated-MMBT2222A-7-F_C94515.html" TargetMode="External"/><Relationship Id="rId48" Type="http://schemas.openxmlformats.org/officeDocument/2006/relationships/hyperlink" Target="https://www.lcsc.com/product-detail/MOSFETs_Guangdong-Hottech-AO3407_C181093.html" TargetMode="External"/><Relationship Id="rId64" Type="http://schemas.openxmlformats.org/officeDocument/2006/relationships/hyperlink" Target="https://www.lcsc.com/product-detail/Linear-Voltage-Regulators-LDO_Texas-Instruments-LMS8117AMP-3-3-NOPB_C201952.html" TargetMode="External"/><Relationship Id="rId69" Type="http://schemas.openxmlformats.org/officeDocument/2006/relationships/hyperlink" Target="https://www.lcsc.com/product-detail/DC-DC-Converters_Texas-Instruments-MC34063ADR_C100023.html" TargetMode="Externa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RALEC-RTT03R330FTP_C103893.html" TargetMode="External"/><Relationship Id="rId72" Type="http://schemas.openxmlformats.org/officeDocument/2006/relationships/hyperlink" Target="https://www.lcsc.com/product-detail/Crystals_Yangxing-Tech-X321532768KGD2SI_C620155.html" TargetMode="External"/><Relationship Id="rId80" Type="http://schemas.openxmlformats.org/officeDocument/2006/relationships/hyperlink" Target="https://www.lcsc.com/product-detail/Chip-Resistor-Surface-Mount_YAGEO-RT0603BRD077K5L_C728597.html" TargetMode="External"/><Relationship Id="rId85" Type="http://schemas.openxmlformats.org/officeDocument/2006/relationships/hyperlink" Target="https://www.lcsc.com/product-detail/Chip-Resistor-Surface-Mount_YAGEO-RC0603JR-07330RL_C105879.html" TargetMode="External"/><Relationship Id="rId93" Type="http://schemas.openxmlformats.org/officeDocument/2006/relationships/hyperlink" Target="https://www.lcsc.com/product-detail/Schottky-Barrier-Diodes-SBD_MDD-Microdiode-Electronics-SS32_C34897.html" TargetMode="External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USB-Connectors_Amphenol-ICC-10118194-0001LF_C132563.html" TargetMode="External"/><Relationship Id="rId33" Type="http://schemas.openxmlformats.org/officeDocument/2006/relationships/hyperlink" Target="https://www.lcsc.com/product-detail/span-style-background-color-ff0-Pin-span-Headers_XFCN-PZ254V-11-06P_C492405.html" TargetMode="External"/><Relationship Id="rId38" Type="http://schemas.openxmlformats.org/officeDocument/2006/relationships/hyperlink" Target="https://www.lcsc.com/product-detail/Female-Headers_BOOMELE-Boom-Precision-Elec-C30734_C30734.html" TargetMode="External"/><Relationship Id="rId46" Type="http://schemas.openxmlformats.org/officeDocument/2006/relationships/hyperlink" Target="https://www.lcsc.com/product-detail/Bipolar-Transistors-BJT_onsemi-MMBT5551LT1G_C41095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67" Type="http://schemas.openxmlformats.org/officeDocument/2006/relationships/hyperlink" Target="https://www.lcsc.com/product-detail/RF-Transceiver-ICs_Microchip-Tech-MICRF220AYQS_C219772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ower-Relays_Ningbo-Songle-Relay-SMI-12VDC-SL-2C_C40676.html" TargetMode="External"/><Relationship Id="rId54" Type="http://schemas.openxmlformats.org/officeDocument/2006/relationships/hyperlink" Target="https://www.lcsc.com/product-detail/Chip-Resistor-Surface-Mount_UNI-ROYAL-Uniroyal-Elec-0603WAF2214T5E_C422956.html" TargetMode="External"/><Relationship Id="rId62" Type="http://schemas.openxmlformats.org/officeDocument/2006/relationships/hyperlink" Target="https://www.lcsc.com/product-detail/Chip-Resistor-Surface-Mount_YAGEO-RC0603FR-07150KL_C114660.html" TargetMode="External"/><Relationship Id="rId70" Type="http://schemas.openxmlformats.org/officeDocument/2006/relationships/hyperlink" Target="https://www.lcsc.com/product-detail/Optocouplers-Phototransistor-Output_RENESAS-PS2801C-1-F3-A_C67112.html" TargetMode="External"/><Relationship Id="rId75" Type="http://schemas.openxmlformats.org/officeDocument/2006/relationships/hyperlink" Target="https://www.lcsc.com/product-detail/Chip-Resistor-Surface-Mount_YAGEO-RT0603BRD0720KL_C723637.html" TargetMode="External"/><Relationship Id="rId83" Type="http://schemas.openxmlformats.org/officeDocument/2006/relationships/hyperlink" Target="https://www.lcsc.com/product-detail/Chip-Resistor-Surface-Mount_YAGEO-AC0603FR-07100KL_C116674.html" TargetMode="External"/><Relationship Id="rId88" Type="http://schemas.openxmlformats.org/officeDocument/2006/relationships/hyperlink" Target="https://www.win-source.net/products/detail/on-semiconductor/ncp81071adr2g.html" TargetMode="External"/><Relationship Id="rId91" Type="http://schemas.openxmlformats.org/officeDocument/2006/relationships/hyperlink" Target="https://www.lcsc.com/product-detail/span-style-background-color-ff0-Pin-span-Headers_Amphenol-ICC-20021121-00010C4LF_C150517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Inductors-SMD_EMTEK-HSC0603-33NJ-T_C251779.html" TargetMode="External"/><Relationship Id="rId36" Type="http://schemas.openxmlformats.org/officeDocument/2006/relationships/hyperlink" Target="https://www.lcsc.com/product-detail/MOSFETs_VBsemi-Elec-IRLML6402TRPBF_C558180.html" TargetMode="External"/><Relationship Id="rId49" Type="http://schemas.openxmlformats.org/officeDocument/2006/relationships/hyperlink" Target="https://www.lcsc.com/product-detail/Chip-Resistor-Surface-Mount_YAGEO-AC0603FR-073K6L_C144660.html" TargetMode="External"/><Relationship Id="rId57" Type="http://schemas.openxmlformats.org/officeDocument/2006/relationships/hyperlink" Target="https://www.lcsc.com/product-detail/Chip-Resistor-Surface-Mount_YAGEO-RC0603FR-073K3L_C10807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MOSFETs_Diodes-Incorporated-DMN13H750S-7_C156273.html" TargetMode="External"/><Relationship Id="rId44" Type="http://schemas.openxmlformats.org/officeDocument/2006/relationships/hyperlink" Target="https://www.lcsc.com/product-detail/Bipolar-Transistors-BJT_Nexperia-BC847B-215_C57668.html" TargetMode="External"/><Relationship Id="rId52" Type="http://schemas.openxmlformats.org/officeDocument/2006/relationships/hyperlink" Target="https://www.lcsc.com/product-detail/Chip-Resistor-Surface-Mount_YAGEO-RC0603FR-072K2L_C114662.html" TargetMode="External"/><Relationship Id="rId60" Type="http://schemas.openxmlformats.org/officeDocument/2006/relationships/hyperlink" Target="https://www.lcsc.com/product-detail/Chip-Resistor-Surface-Mount_YAGEO-RC0603FR-074K7L_C99782.html" TargetMode="External"/><Relationship Id="rId65" Type="http://schemas.openxmlformats.org/officeDocument/2006/relationships/hyperlink" Target="https://www.lcsc.com/product-detail/Microcontroller-Units-MCUs-MPUs-SOCs_STMicroelectronics-STM32F072VBT6_C713240.html" TargetMode="External"/><Relationship Id="rId73" Type="http://schemas.openxmlformats.org/officeDocument/2006/relationships/hyperlink" Target="https://www.lcsc.com/product-detail/Chip-Resistor-Surface-Mount_YAGEO-RC0603FR-072K7L_C114612.html" TargetMode="External"/><Relationship Id="rId78" Type="http://schemas.openxmlformats.org/officeDocument/2006/relationships/hyperlink" Target="https://www.lcsc.com/product-detail/Chip-Resistor-Surface-Mount_YAGEO-RC1206FR-7W1KL_C859155.html" TargetMode="External"/><Relationship Id="rId81" Type="http://schemas.openxmlformats.org/officeDocument/2006/relationships/hyperlink" Target="https://www.lcsc.com/product-detail/Chip-Resistor-Surface-Mount_YAGEO-RC0603FR-07470RL_C114669.html" TargetMode="External"/><Relationship Id="rId86" Type="http://schemas.openxmlformats.org/officeDocument/2006/relationships/hyperlink" Target="https://www.lcsc.com/product-detail/Crystals_JYJE-S1C13523ZWFAC_C2681243.html" TargetMode="External"/><Relationship Id="rId94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Pin-Headers_XFCN-PZ254V-11-02P_C492401.html" TargetMode="External"/><Relationship Id="rId34" Type="http://schemas.openxmlformats.org/officeDocument/2006/relationships/hyperlink" Target="https://www.lcsc.com/product-detail/span-style-background-color-ff0-Pin-span-Headers_DEALON-DZ254R-11-04-63_C2935910.html" TargetMode="External"/><Relationship Id="rId50" Type="http://schemas.openxmlformats.org/officeDocument/2006/relationships/hyperlink" Target="https://www.lcsc.com/product-detail/Chip-Resistor-Surface-Mount_YAGEO-RC0603FR-071K2L_C114605.html" TargetMode="External"/><Relationship Id="rId55" Type="http://schemas.openxmlformats.org/officeDocument/2006/relationships/hyperlink" Target="https://www.lcsc.com/product-detail/Chip-Resistor-Surface-Mount_YAGEO-RC0603FR-0710KL_C98220.html" TargetMode="External"/><Relationship Id="rId76" Type="http://schemas.openxmlformats.org/officeDocument/2006/relationships/hyperlink" Target="https://www.lcsc.com/product-detail/Chip-Resistor-Surface-Mount_YAGEO-RT0603BRE0763K4L_C862245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rystals_HCI-XC32M4-8-000-F18LJDT_C2905353.html" TargetMode="External"/><Relationship Id="rId92" Type="http://schemas.openxmlformats.org/officeDocument/2006/relationships/hyperlink" Target="https://www.lcsc.com/product-detail/Multilayer-Ceramic-Capacitors-MLCC-SMD-SMT_YAGEO-CC1206KKX7R0BB104_C107181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Ambient-Light-Sensors_Everlight-Elec-ALS-PT19-315C-L177-TR8_C146233.html" TargetMode="External"/><Relationship Id="rId24" Type="http://schemas.openxmlformats.org/officeDocument/2006/relationships/hyperlink" Target="https://www.lcsc.com/product-detail/Female-Headers_DEALON-DW254W-11-04-85_C2935994.html" TargetMode="External"/><Relationship Id="rId40" Type="http://schemas.openxmlformats.org/officeDocument/2006/relationships/hyperlink" Target="https://www.lcsc.com/product-detail/Switching-Diode_Diodes-Incorporated-1N4148WS-7-F_C60580.html" TargetMode="External"/><Relationship Id="rId45" Type="http://schemas.openxmlformats.org/officeDocument/2006/relationships/hyperlink" Target="https://www.lcsc.com/product-detail/Bipolar-Transistors-BJT_Nexperia-BC857C-215_C8666.html" TargetMode="External"/><Relationship Id="rId66" Type="http://schemas.openxmlformats.org/officeDocument/2006/relationships/hyperlink" Target="https://www.lcsc.com/product-detail/Buffers-Drivers_Texas-Instruments-SN74LV1T34DBVR_C100024.html" TargetMode="External"/><Relationship Id="rId87" Type="http://schemas.openxmlformats.org/officeDocument/2006/relationships/hyperlink" Target="https://www.win-source.net/products/detail/allegro-microsystems-llc/acs723llctr-20au-t.html" TargetMode="External"/><Relationship Id="rId61" Type="http://schemas.openxmlformats.org/officeDocument/2006/relationships/hyperlink" Target="https://www.lcsc.com/product-detail/Chip-Resistor-Surface-Mount_Viking-Tech-ARG05DTC5002_C2828840.html" TargetMode="External"/><Relationship Id="rId82" Type="http://schemas.openxmlformats.org/officeDocument/2006/relationships/hyperlink" Target="https://www.lcsc.com/product-detail/Chip-Resistor-Surface-Mount_YAGEO-RC0603FR-07200KL_C105574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0" Type="http://schemas.openxmlformats.org/officeDocument/2006/relationships/hyperlink" Target="https://www.lcsc.com/product-detail/Buzzers_Fengming-YS-SBZ9032C03R16_C409828.html" TargetMode="External"/><Relationship Id="rId35" Type="http://schemas.openxmlformats.org/officeDocument/2006/relationships/hyperlink" Target="https://www.lcsc.com/product-detail/MOSFETs_VBsemi-Elec-IRLML2502TRPBF_C558174.html" TargetMode="External"/><Relationship Id="rId56" Type="http://schemas.openxmlformats.org/officeDocument/2006/relationships/hyperlink" Target="https://www.lcsc.com/product-detail/Chip-Resistor-Surface-Mount_YAGEO-RC0603FR-07680RL_C112310.html" TargetMode="External"/><Relationship Id="rId77" Type="http://schemas.openxmlformats.org/officeDocument/2006/relationships/hyperlink" Target="https://www.lcsc.com/product-detail/Chip-Resistor-Surface-Mount_YAGEO-RC0805FR-07100KL_C9634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07"/>
  <sheetViews>
    <sheetView tabSelected="1" topLeftCell="E1" workbookViewId="0">
      <selection activeCell="N93" sqref="N93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2.1406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5"/>
      <c r="L1" s="85"/>
      <c r="M1" s="85"/>
      <c r="N1" s="85"/>
      <c r="O1" s="85"/>
      <c r="P1" s="85"/>
      <c r="Q1" s="85"/>
      <c r="R1" s="85"/>
      <c r="S1" s="86"/>
    </row>
    <row r="2" spans="1:19" ht="32.25" thickBot="1" x14ac:dyDescent="0.3">
      <c r="A2" s="1"/>
      <c r="B2" s="21"/>
      <c r="C2" s="32"/>
      <c r="D2" s="11" t="s">
        <v>0</v>
      </c>
      <c r="E2" s="11"/>
      <c r="F2" s="57" t="s">
        <v>553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8" t="s">
        <v>554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7"/>
    </row>
    <row r="4" spans="1:19" x14ac:dyDescent="0.25">
      <c r="A4" s="1"/>
      <c r="B4" s="22"/>
      <c r="C4" s="33"/>
      <c r="D4" s="13" t="s">
        <v>2</v>
      </c>
      <c r="E4" s="13"/>
      <c r="F4" s="59" t="s">
        <v>554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8"/>
    </row>
    <row r="5" spans="1:19" x14ac:dyDescent="0.25">
      <c r="A5" s="1"/>
      <c r="B5" s="22"/>
      <c r="C5" s="33"/>
      <c r="D5" s="13" t="s">
        <v>3</v>
      </c>
      <c r="E5" s="13"/>
      <c r="F5" s="60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8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8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8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8"/>
    </row>
    <row r="9" spans="1:19" ht="15.75" thickBot="1" x14ac:dyDescent="0.3">
      <c r="A9" s="1"/>
      <c r="B9" s="30" t="s">
        <v>4</v>
      </c>
      <c r="C9" s="30" t="s">
        <v>8</v>
      </c>
      <c r="D9" s="30" t="s">
        <v>15</v>
      </c>
      <c r="E9" s="31" t="s">
        <v>101</v>
      </c>
      <c r="F9" s="63" t="s">
        <v>192</v>
      </c>
      <c r="G9" s="30" t="s">
        <v>244</v>
      </c>
      <c r="H9" s="64" t="s">
        <v>313</v>
      </c>
      <c r="I9" s="30" t="s">
        <v>427</v>
      </c>
      <c r="J9" s="31" t="s">
        <v>361</v>
      </c>
      <c r="K9" s="30" t="s">
        <v>428</v>
      </c>
      <c r="L9" s="31" t="s">
        <v>424</v>
      </c>
      <c r="M9" s="30" t="s">
        <v>429</v>
      </c>
      <c r="N9" s="31" t="s">
        <v>430</v>
      </c>
      <c r="O9" s="30" t="s">
        <v>431</v>
      </c>
      <c r="P9" s="31" t="s">
        <v>432</v>
      </c>
      <c r="Q9" s="30" t="s">
        <v>433</v>
      </c>
      <c r="R9" s="31" t="s">
        <v>434</v>
      </c>
      <c r="S9" s="30" t="s">
        <v>435</v>
      </c>
    </row>
    <row r="10" spans="1:19" ht="24" x14ac:dyDescent="0.25">
      <c r="A10" s="1"/>
      <c r="B10" s="51">
        <f>ROW(B10) - ROW($B$9)</f>
        <v>1</v>
      </c>
      <c r="C10" s="61" t="s">
        <v>9</v>
      </c>
      <c r="D10" s="38" t="s">
        <v>16</v>
      </c>
      <c r="E10" s="38" t="s">
        <v>102</v>
      </c>
      <c r="F10" s="39" t="s">
        <v>426</v>
      </c>
      <c r="G10" s="38" t="s">
        <v>425</v>
      </c>
      <c r="H10" s="39" t="s">
        <v>314</v>
      </c>
      <c r="I10" s="38" t="s">
        <v>437</v>
      </c>
      <c r="J10" s="38" t="s">
        <v>456</v>
      </c>
      <c r="K10" s="38" t="s">
        <v>378</v>
      </c>
      <c r="L10" s="39">
        <v>13</v>
      </c>
      <c r="M10" s="38">
        <f>L10*5</f>
        <v>65</v>
      </c>
      <c r="N10" s="38">
        <v>80</v>
      </c>
      <c r="O10" s="66" t="s">
        <v>457</v>
      </c>
      <c r="P10" s="42">
        <v>2.4500000000000001E-2</v>
      </c>
      <c r="Q10" s="42">
        <f>P10*N10</f>
        <v>1.96</v>
      </c>
      <c r="R10" s="39"/>
      <c r="S10" s="44"/>
    </row>
    <row r="11" spans="1:19" x14ac:dyDescent="0.25">
      <c r="A11" s="1"/>
      <c r="B11" s="52">
        <f t="shared" ref="B11:B104" si="0">ROW(B11) - ROW($B$9)</f>
        <v>2</v>
      </c>
      <c r="C11" s="62" t="s">
        <v>9</v>
      </c>
      <c r="D11" s="40" t="s">
        <v>17</v>
      </c>
      <c r="E11" s="40" t="s">
        <v>103</v>
      </c>
      <c r="F11" s="41" t="s">
        <v>193</v>
      </c>
      <c r="G11" s="40" t="s">
        <v>245</v>
      </c>
      <c r="H11" s="41" t="s">
        <v>315</v>
      </c>
      <c r="I11" s="40" t="s">
        <v>437</v>
      </c>
      <c r="J11" s="41" t="s">
        <v>362</v>
      </c>
      <c r="K11" s="40" t="s">
        <v>379</v>
      </c>
      <c r="L11" s="41">
        <v>1</v>
      </c>
      <c r="M11" s="40">
        <f t="shared" ref="M11" si="1">L11*5</f>
        <v>5</v>
      </c>
      <c r="N11" s="41">
        <v>50</v>
      </c>
      <c r="O11" s="67" t="s">
        <v>457</v>
      </c>
      <c r="P11" s="54">
        <v>1.18E-2</v>
      </c>
      <c r="Q11" s="43">
        <f t="shared" ref="Q11" si="2">P11*N11</f>
        <v>0.59</v>
      </c>
      <c r="R11" s="41"/>
      <c r="S11" s="40"/>
    </row>
    <row r="12" spans="1:19" x14ac:dyDescent="0.25">
      <c r="A12" s="1"/>
      <c r="B12" s="51">
        <f>ROW(B12) - ROW($B$9)</f>
        <v>3</v>
      </c>
      <c r="C12" s="61" t="s">
        <v>9</v>
      </c>
      <c r="D12" s="38" t="s">
        <v>447</v>
      </c>
      <c r="E12" s="65" t="s">
        <v>104</v>
      </c>
      <c r="F12" s="39" t="s">
        <v>194</v>
      </c>
      <c r="G12" s="38" t="s">
        <v>246</v>
      </c>
      <c r="H12" s="39" t="s">
        <v>315</v>
      </c>
      <c r="I12" s="38" t="s">
        <v>437</v>
      </c>
      <c r="J12" s="39" t="s">
        <v>363</v>
      </c>
      <c r="K12" s="38" t="s">
        <v>380</v>
      </c>
      <c r="L12" s="39">
        <v>9</v>
      </c>
      <c r="M12" s="38">
        <f>L12*5</f>
        <v>45</v>
      </c>
      <c r="N12" s="38">
        <v>100</v>
      </c>
      <c r="O12" s="66" t="s">
        <v>457</v>
      </c>
      <c r="P12" s="53">
        <v>4.7000000000000002E-3</v>
      </c>
      <c r="Q12" s="42">
        <f>P12*N12</f>
        <v>0.47000000000000003</v>
      </c>
      <c r="R12" s="39"/>
      <c r="S12" s="38"/>
    </row>
    <row r="13" spans="1:19" ht="48" x14ac:dyDescent="0.25">
      <c r="A13" s="1"/>
      <c r="B13" s="52">
        <f t="shared" si="0"/>
        <v>4</v>
      </c>
      <c r="C13" s="62" t="s">
        <v>9</v>
      </c>
      <c r="D13" s="40" t="s">
        <v>18</v>
      </c>
      <c r="E13" s="40" t="s">
        <v>105</v>
      </c>
      <c r="F13" s="41" t="s">
        <v>426</v>
      </c>
      <c r="G13" s="40" t="s">
        <v>195</v>
      </c>
      <c r="H13" s="41" t="s">
        <v>316</v>
      </c>
      <c r="I13" s="40"/>
      <c r="J13" s="41" t="s">
        <v>458</v>
      </c>
      <c r="K13" s="40" t="s">
        <v>381</v>
      </c>
      <c r="L13" s="41">
        <v>5</v>
      </c>
      <c r="M13" s="40">
        <f t="shared" ref="M13" si="3">L13*5</f>
        <v>25</v>
      </c>
      <c r="N13" s="41">
        <v>27</v>
      </c>
      <c r="O13" s="67" t="s">
        <v>457</v>
      </c>
      <c r="P13" s="54">
        <v>0.28799999999999998</v>
      </c>
      <c r="Q13" s="43">
        <f t="shared" ref="Q13" si="4">P13*N13</f>
        <v>7.7759999999999998</v>
      </c>
      <c r="R13" s="41"/>
      <c r="S13" s="40"/>
    </row>
    <row r="14" spans="1:19" ht="60" x14ac:dyDescent="0.25">
      <c r="A14" s="1"/>
      <c r="B14" s="51">
        <f>ROW(B14) - ROW($B$9)</f>
        <v>5</v>
      </c>
      <c r="C14" s="61" t="s">
        <v>9</v>
      </c>
      <c r="D14" s="38" t="s">
        <v>448</v>
      </c>
      <c r="E14" s="65" t="s">
        <v>106</v>
      </c>
      <c r="F14" s="39" t="s">
        <v>194</v>
      </c>
      <c r="G14" s="38" t="s">
        <v>247</v>
      </c>
      <c r="H14" s="39" t="s">
        <v>315</v>
      </c>
      <c r="I14" s="38" t="s">
        <v>437</v>
      </c>
      <c r="J14" s="39" t="s">
        <v>459</v>
      </c>
      <c r="K14" s="38" t="s">
        <v>379</v>
      </c>
      <c r="L14" s="39">
        <v>37</v>
      </c>
      <c r="M14" s="38">
        <f>L14*5</f>
        <v>185</v>
      </c>
      <c r="N14" s="38">
        <v>200</v>
      </c>
      <c r="O14" s="66" t="s">
        <v>457</v>
      </c>
      <c r="P14" s="53">
        <v>2.7000000000000001E-3</v>
      </c>
      <c r="Q14" s="42">
        <f>P14*N14</f>
        <v>0.54</v>
      </c>
      <c r="R14" s="39"/>
      <c r="S14" s="38"/>
    </row>
    <row r="15" spans="1:19" x14ac:dyDescent="0.25">
      <c r="A15" s="1"/>
      <c r="B15" s="52">
        <f t="shared" si="0"/>
        <v>6</v>
      </c>
      <c r="C15" s="62" t="s">
        <v>9</v>
      </c>
      <c r="D15" s="40" t="s">
        <v>19</v>
      </c>
      <c r="E15" s="40" t="s">
        <v>107</v>
      </c>
      <c r="F15" s="41" t="s">
        <v>426</v>
      </c>
      <c r="G15" s="40" t="s">
        <v>196</v>
      </c>
      <c r="H15" s="41" t="s">
        <v>317</v>
      </c>
      <c r="I15" s="40" t="s">
        <v>437</v>
      </c>
      <c r="J15" s="41" t="s">
        <v>460</v>
      </c>
      <c r="K15" s="40" t="s">
        <v>382</v>
      </c>
      <c r="L15" s="41">
        <v>1</v>
      </c>
      <c r="M15" s="40">
        <f t="shared" ref="M15" si="5">L15*5</f>
        <v>5</v>
      </c>
      <c r="N15" s="41">
        <v>10</v>
      </c>
      <c r="O15" s="67" t="s">
        <v>457</v>
      </c>
      <c r="P15" s="54">
        <v>0.13789999999999999</v>
      </c>
      <c r="Q15" s="43">
        <f t="shared" ref="Q15" si="6">P15*N15</f>
        <v>1.379</v>
      </c>
      <c r="R15" s="41"/>
      <c r="S15" s="40"/>
    </row>
    <row r="16" spans="1:19" x14ac:dyDescent="0.25">
      <c r="A16" s="1"/>
      <c r="B16" s="51">
        <f>ROW(B16) - ROW($B$9)</f>
        <v>7</v>
      </c>
      <c r="C16" s="61" t="s">
        <v>9</v>
      </c>
      <c r="D16" s="38" t="s">
        <v>20</v>
      </c>
      <c r="E16" s="65" t="s">
        <v>108</v>
      </c>
      <c r="F16" s="39" t="s">
        <v>194</v>
      </c>
      <c r="G16" s="38" t="s">
        <v>248</v>
      </c>
      <c r="H16" s="39" t="s">
        <v>315</v>
      </c>
      <c r="I16" s="38" t="s">
        <v>437</v>
      </c>
      <c r="J16" s="39" t="s">
        <v>461</v>
      </c>
      <c r="K16" s="38" t="s">
        <v>383</v>
      </c>
      <c r="L16" s="39">
        <v>1</v>
      </c>
      <c r="M16" s="38">
        <f>L16*5</f>
        <v>5</v>
      </c>
      <c r="N16" s="38">
        <v>100</v>
      </c>
      <c r="O16" s="66" t="s">
        <v>457</v>
      </c>
      <c r="P16" s="53">
        <v>2.5000000000000001E-3</v>
      </c>
      <c r="Q16" s="42">
        <f>P16*N16</f>
        <v>0.25</v>
      </c>
      <c r="R16" s="39"/>
      <c r="S16" s="38"/>
    </row>
    <row r="17" spans="1:19" ht="36" x14ac:dyDescent="0.25">
      <c r="A17" s="1"/>
      <c r="B17" s="52">
        <f t="shared" si="0"/>
        <v>8</v>
      </c>
      <c r="C17" s="62" t="s">
        <v>9</v>
      </c>
      <c r="D17" s="40" t="s">
        <v>21</v>
      </c>
      <c r="E17" s="40" t="s">
        <v>109</v>
      </c>
      <c r="F17" s="41" t="s">
        <v>197</v>
      </c>
      <c r="G17" s="40" t="s">
        <v>249</v>
      </c>
      <c r="H17" s="41" t="s">
        <v>318</v>
      </c>
      <c r="I17" s="40" t="s">
        <v>437</v>
      </c>
      <c r="J17" s="41" t="s">
        <v>462</v>
      </c>
      <c r="K17" s="40" t="s">
        <v>380</v>
      </c>
      <c r="L17" s="41">
        <v>1</v>
      </c>
      <c r="M17" s="40">
        <f t="shared" ref="M17" si="7">L17*5</f>
        <v>5</v>
      </c>
      <c r="N17" s="41">
        <v>6</v>
      </c>
      <c r="O17" s="67" t="s">
        <v>457</v>
      </c>
      <c r="P17" s="54">
        <v>0.19359999999999999</v>
      </c>
      <c r="Q17" s="43">
        <f t="shared" ref="Q17" si="8">P17*N17</f>
        <v>1.1616</v>
      </c>
      <c r="R17" s="41"/>
      <c r="S17" s="40"/>
    </row>
    <row r="18" spans="1:19" x14ac:dyDescent="0.25">
      <c r="A18" s="1"/>
      <c r="B18" s="51">
        <f>ROW(B18) - ROW($B$9)</f>
        <v>9</v>
      </c>
      <c r="C18" s="61" t="s">
        <v>9</v>
      </c>
      <c r="D18" s="38" t="s">
        <v>22</v>
      </c>
      <c r="E18" s="65" t="s">
        <v>110</v>
      </c>
      <c r="F18" s="39" t="s">
        <v>194</v>
      </c>
      <c r="G18" s="38" t="s">
        <v>250</v>
      </c>
      <c r="H18" s="39" t="s">
        <v>315</v>
      </c>
      <c r="I18" s="38" t="s">
        <v>437</v>
      </c>
      <c r="J18" s="39" t="s">
        <v>463</v>
      </c>
      <c r="K18" s="38" t="s">
        <v>384</v>
      </c>
      <c r="L18" s="39">
        <v>2</v>
      </c>
      <c r="M18" s="38">
        <f>L18*5</f>
        <v>10</v>
      </c>
      <c r="N18" s="38">
        <v>100</v>
      </c>
      <c r="O18" s="66" t="s">
        <v>457</v>
      </c>
      <c r="P18" s="53">
        <v>2.5999999999999999E-3</v>
      </c>
      <c r="Q18" s="42">
        <f>P18*N18</f>
        <v>0.26</v>
      </c>
      <c r="R18" s="39"/>
      <c r="S18" s="38"/>
    </row>
    <row r="19" spans="1:19" x14ac:dyDescent="0.25">
      <c r="A19" s="1"/>
      <c r="B19" s="52">
        <f t="shared" si="0"/>
        <v>10</v>
      </c>
      <c r="C19" s="62" t="s">
        <v>9</v>
      </c>
      <c r="D19" s="40" t="s">
        <v>465</v>
      </c>
      <c r="E19" s="40" t="s">
        <v>111</v>
      </c>
      <c r="F19" s="41" t="s">
        <v>194</v>
      </c>
      <c r="G19" s="40" t="s">
        <v>251</v>
      </c>
      <c r="H19" s="41" t="s">
        <v>315</v>
      </c>
      <c r="I19" s="40" t="s">
        <v>437</v>
      </c>
      <c r="J19" s="41" t="s">
        <v>365</v>
      </c>
      <c r="K19" s="40" t="s">
        <v>385</v>
      </c>
      <c r="L19" s="41">
        <v>4</v>
      </c>
      <c r="M19" s="40">
        <f t="shared" ref="M19" si="9">L19*5</f>
        <v>20</v>
      </c>
      <c r="N19" s="41">
        <v>100</v>
      </c>
      <c r="O19" s="67" t="s">
        <v>457</v>
      </c>
      <c r="P19" s="54">
        <v>2.8999999999999998E-3</v>
      </c>
      <c r="Q19" s="43">
        <f t="shared" ref="Q19" si="10">P19*N19</f>
        <v>0.28999999999999998</v>
      </c>
      <c r="R19" s="41"/>
      <c r="S19" s="40"/>
    </row>
    <row r="20" spans="1:19" x14ac:dyDescent="0.25">
      <c r="A20" s="1"/>
      <c r="B20" s="51">
        <f>ROW(B20) - ROW($B$9)</f>
        <v>11</v>
      </c>
      <c r="C20" s="61" t="s">
        <v>9</v>
      </c>
      <c r="D20" s="38" t="s">
        <v>23</v>
      </c>
      <c r="E20" s="65" t="s">
        <v>112</v>
      </c>
      <c r="F20" s="39" t="s">
        <v>193</v>
      </c>
      <c r="G20" s="38" t="s">
        <v>252</v>
      </c>
      <c r="H20" s="39" t="s">
        <v>315</v>
      </c>
      <c r="I20" s="38" t="s">
        <v>437</v>
      </c>
      <c r="J20" s="39" t="s">
        <v>364</v>
      </c>
      <c r="K20" s="38" t="s">
        <v>386</v>
      </c>
      <c r="L20" s="39">
        <v>1</v>
      </c>
      <c r="M20" s="38">
        <f>L20*5</f>
        <v>5</v>
      </c>
      <c r="N20" s="38">
        <v>20</v>
      </c>
      <c r="O20" s="66" t="s">
        <v>457</v>
      </c>
      <c r="P20" s="53">
        <v>3.5200000000000002E-2</v>
      </c>
      <c r="Q20" s="42">
        <f>P20*N20</f>
        <v>0.70400000000000007</v>
      </c>
      <c r="R20" s="39"/>
      <c r="S20" s="38"/>
    </row>
    <row r="21" spans="1:19" x14ac:dyDescent="0.25">
      <c r="A21" s="1"/>
      <c r="B21" s="52">
        <f t="shared" si="0"/>
        <v>12</v>
      </c>
      <c r="C21" s="62" t="s">
        <v>9</v>
      </c>
      <c r="D21" s="40" t="s">
        <v>24</v>
      </c>
      <c r="E21" s="40" t="s">
        <v>113</v>
      </c>
      <c r="F21" s="41" t="s">
        <v>194</v>
      </c>
      <c r="G21" s="40" t="s">
        <v>253</v>
      </c>
      <c r="H21" s="41" t="s">
        <v>319</v>
      </c>
      <c r="I21" s="40" t="s">
        <v>437</v>
      </c>
      <c r="J21" s="41" t="s">
        <v>464</v>
      </c>
      <c r="K21" s="40" t="s">
        <v>387</v>
      </c>
      <c r="L21" s="41">
        <v>1</v>
      </c>
      <c r="M21" s="40">
        <f t="shared" ref="M21" si="11">L21*5</f>
        <v>5</v>
      </c>
      <c r="N21" s="41">
        <v>20</v>
      </c>
      <c r="O21" s="67" t="s">
        <v>457</v>
      </c>
      <c r="P21" s="54">
        <v>3.04E-2</v>
      </c>
      <c r="Q21" s="43">
        <f t="shared" ref="Q21" si="12">P21*N21</f>
        <v>0.60799999999999998</v>
      </c>
      <c r="R21" s="41"/>
      <c r="S21" s="40"/>
    </row>
    <row r="22" spans="1:19" x14ac:dyDescent="0.25">
      <c r="A22" s="1"/>
      <c r="B22" s="52">
        <f t="shared" si="0"/>
        <v>13</v>
      </c>
      <c r="C22" s="61" t="s">
        <v>9</v>
      </c>
      <c r="D22" s="38" t="s">
        <v>25</v>
      </c>
      <c r="E22" s="65" t="s">
        <v>114</v>
      </c>
      <c r="F22" s="39" t="s">
        <v>194</v>
      </c>
      <c r="G22" s="38" t="s">
        <v>254</v>
      </c>
      <c r="H22" s="39" t="s">
        <v>315</v>
      </c>
      <c r="I22" s="38" t="s">
        <v>437</v>
      </c>
      <c r="J22" s="39" t="s">
        <v>466</v>
      </c>
      <c r="K22" s="38" t="s">
        <v>388</v>
      </c>
      <c r="L22" s="39">
        <v>1</v>
      </c>
      <c r="M22" s="38">
        <f t="shared" ref="M22" si="13">L22*5</f>
        <v>5</v>
      </c>
      <c r="N22" s="38">
        <v>100</v>
      </c>
      <c r="O22" s="66" t="s">
        <v>457</v>
      </c>
      <c r="P22" s="53">
        <v>3.3E-3</v>
      </c>
      <c r="Q22" s="42">
        <f t="shared" ref="Q22" si="14">P22*N22</f>
        <v>0.33</v>
      </c>
      <c r="R22" s="39"/>
      <c r="S22" s="38"/>
    </row>
    <row r="23" spans="1:19" x14ac:dyDescent="0.25">
      <c r="A23" s="1"/>
      <c r="B23" s="51">
        <f>ROW(B23) - ROW($B$9)</f>
        <v>14</v>
      </c>
      <c r="C23" s="62" t="s">
        <v>9</v>
      </c>
      <c r="D23" s="40" t="s">
        <v>26</v>
      </c>
      <c r="E23" s="40" t="s">
        <v>115</v>
      </c>
      <c r="F23" s="41" t="s">
        <v>194</v>
      </c>
      <c r="G23" s="40" t="s">
        <v>255</v>
      </c>
      <c r="H23" s="41" t="s">
        <v>319</v>
      </c>
      <c r="I23" s="40" t="s">
        <v>437</v>
      </c>
      <c r="J23" s="41" t="s">
        <v>467</v>
      </c>
      <c r="K23" s="40" t="s">
        <v>389</v>
      </c>
      <c r="L23" s="41">
        <v>1</v>
      </c>
      <c r="M23" s="40">
        <f>L23*5</f>
        <v>5</v>
      </c>
      <c r="N23" s="41">
        <v>20</v>
      </c>
      <c r="O23" s="67" t="s">
        <v>457</v>
      </c>
      <c r="P23" s="54">
        <v>2.9899999999999999E-2</v>
      </c>
      <c r="Q23" s="43">
        <f>P23*N23</f>
        <v>0.59799999999999998</v>
      </c>
      <c r="R23" s="41"/>
      <c r="S23" s="40"/>
    </row>
    <row r="24" spans="1:19" x14ac:dyDescent="0.25">
      <c r="A24" s="1"/>
      <c r="B24" s="52">
        <f t="shared" si="0"/>
        <v>15</v>
      </c>
      <c r="C24" s="61" t="s">
        <v>9</v>
      </c>
      <c r="D24" s="38" t="s">
        <v>27</v>
      </c>
      <c r="E24" s="65" t="s">
        <v>116</v>
      </c>
      <c r="F24" s="39" t="s">
        <v>194</v>
      </c>
      <c r="G24" s="38" t="s">
        <v>256</v>
      </c>
      <c r="H24" s="39" t="s">
        <v>315</v>
      </c>
      <c r="I24" s="38" t="s">
        <v>437</v>
      </c>
      <c r="J24" s="39" t="s">
        <v>468</v>
      </c>
      <c r="K24" s="38" t="s">
        <v>390</v>
      </c>
      <c r="L24" s="39">
        <v>1</v>
      </c>
      <c r="M24" s="38">
        <f t="shared" ref="M24" si="15">L24*5</f>
        <v>5</v>
      </c>
      <c r="N24" s="38">
        <v>100</v>
      </c>
      <c r="O24" s="66" t="s">
        <v>457</v>
      </c>
      <c r="P24" s="53">
        <v>3.0999999999999999E-3</v>
      </c>
      <c r="Q24" s="42">
        <f t="shared" ref="Q24" si="16">P24*N24</f>
        <v>0.31</v>
      </c>
      <c r="R24" s="39"/>
      <c r="S24" s="38"/>
    </row>
    <row r="25" spans="1:19" ht="24" x14ac:dyDescent="0.25">
      <c r="A25" s="1"/>
      <c r="B25" s="51">
        <f>ROW(B25) - ROW($B$9)</f>
        <v>16</v>
      </c>
      <c r="C25" s="62" t="s">
        <v>10</v>
      </c>
      <c r="D25" s="40" t="s">
        <v>28</v>
      </c>
      <c r="E25" s="40" t="s">
        <v>117</v>
      </c>
      <c r="F25" s="41" t="s">
        <v>198</v>
      </c>
      <c r="G25" s="40" t="s">
        <v>257</v>
      </c>
      <c r="H25" s="41" t="s">
        <v>320</v>
      </c>
      <c r="I25" s="40" t="s">
        <v>437</v>
      </c>
      <c r="J25" s="41" t="s">
        <v>469</v>
      </c>
      <c r="K25" s="40" t="s">
        <v>437</v>
      </c>
      <c r="L25" s="41">
        <v>1</v>
      </c>
      <c r="M25" s="40">
        <f>L25*5</f>
        <v>5</v>
      </c>
      <c r="N25" s="41">
        <v>20</v>
      </c>
      <c r="O25" s="67" t="s">
        <v>457</v>
      </c>
      <c r="P25" s="54">
        <v>3.2899999999999999E-2</v>
      </c>
      <c r="Q25" s="43">
        <f>P25*N25</f>
        <v>0.65799999999999992</v>
      </c>
      <c r="R25" s="41"/>
      <c r="S25" s="40"/>
    </row>
    <row r="26" spans="1:19" x14ac:dyDescent="0.25">
      <c r="A26" s="1"/>
      <c r="B26" s="52">
        <f t="shared" si="0"/>
        <v>17</v>
      </c>
      <c r="C26" s="61" t="s">
        <v>10</v>
      </c>
      <c r="D26" s="38" t="s">
        <v>29</v>
      </c>
      <c r="E26" s="65" t="s">
        <v>118</v>
      </c>
      <c r="F26" s="39" t="s">
        <v>198</v>
      </c>
      <c r="G26" s="38" t="s">
        <v>258</v>
      </c>
      <c r="H26" s="39" t="s">
        <v>321</v>
      </c>
      <c r="I26" s="38" t="s">
        <v>437</v>
      </c>
      <c r="J26" s="39" t="s">
        <v>470</v>
      </c>
      <c r="K26" s="38" t="s">
        <v>437</v>
      </c>
      <c r="L26" s="39">
        <v>1</v>
      </c>
      <c r="M26" s="38">
        <f t="shared" ref="M26" si="17">L26*5</f>
        <v>5</v>
      </c>
      <c r="N26" s="38">
        <v>6</v>
      </c>
      <c r="O26" s="66" t="s">
        <v>457</v>
      </c>
      <c r="P26" s="53">
        <v>0.49009999999999998</v>
      </c>
      <c r="Q26" s="42">
        <f t="shared" ref="Q26" si="18">P26*N26</f>
        <v>2.9405999999999999</v>
      </c>
      <c r="R26" s="39"/>
      <c r="S26" s="38"/>
    </row>
    <row r="27" spans="1:19" ht="24" x14ac:dyDescent="0.25">
      <c r="A27" s="1"/>
      <c r="B27" s="51">
        <f>ROW(B27) - ROW($B$9)</f>
        <v>18</v>
      </c>
      <c r="C27" s="62" t="s">
        <v>10</v>
      </c>
      <c r="D27" s="40" t="s">
        <v>30</v>
      </c>
      <c r="E27" s="40" t="s">
        <v>119</v>
      </c>
      <c r="F27" s="41" t="s">
        <v>199</v>
      </c>
      <c r="G27" s="40" t="s">
        <v>199</v>
      </c>
      <c r="H27" s="41" t="s">
        <v>322</v>
      </c>
      <c r="I27" s="40" t="s">
        <v>437</v>
      </c>
      <c r="J27" s="41" t="s">
        <v>471</v>
      </c>
      <c r="K27" s="40" t="s">
        <v>437</v>
      </c>
      <c r="L27" s="41">
        <v>1</v>
      </c>
      <c r="M27" s="40">
        <f>L27*5</f>
        <v>5</v>
      </c>
      <c r="N27" s="41">
        <v>20</v>
      </c>
      <c r="O27" s="67" t="s">
        <v>457</v>
      </c>
      <c r="P27" s="54">
        <v>3.1399999999999997E-2</v>
      </c>
      <c r="Q27" s="43">
        <f>P27*N27</f>
        <v>0.62799999999999989</v>
      </c>
      <c r="R27" s="41"/>
      <c r="S27" s="40"/>
    </row>
    <row r="28" spans="1:19" x14ac:dyDescent="0.25">
      <c r="A28" s="1"/>
      <c r="B28" s="52">
        <f t="shared" si="0"/>
        <v>19</v>
      </c>
      <c r="C28" s="61" t="s">
        <v>10</v>
      </c>
      <c r="D28" s="38" t="s">
        <v>31</v>
      </c>
      <c r="E28" s="65" t="s">
        <v>120</v>
      </c>
      <c r="F28" s="39" t="s">
        <v>200</v>
      </c>
      <c r="G28" s="38" t="s">
        <v>259</v>
      </c>
      <c r="H28" s="39" t="s">
        <v>323</v>
      </c>
      <c r="I28" s="38" t="s">
        <v>437</v>
      </c>
      <c r="J28" s="39" t="s">
        <v>366</v>
      </c>
      <c r="K28" s="38" t="s">
        <v>437</v>
      </c>
      <c r="L28" s="39">
        <v>5</v>
      </c>
      <c r="M28" s="38">
        <f t="shared" ref="M28" si="19">L28*5</f>
        <v>25</v>
      </c>
      <c r="N28" s="38">
        <v>40</v>
      </c>
      <c r="O28" s="66" t="s">
        <v>457</v>
      </c>
      <c r="P28" s="53">
        <v>2.0400000000000001E-2</v>
      </c>
      <c r="Q28" s="42">
        <f t="shared" ref="Q28" si="20">P28*N28</f>
        <v>0.81600000000000006</v>
      </c>
      <c r="R28" s="39"/>
      <c r="S28" s="38"/>
    </row>
    <row r="29" spans="1:19" ht="36" x14ac:dyDescent="0.25">
      <c r="A29" s="1"/>
      <c r="B29" s="51">
        <f>ROW(B29) - ROW($B$9)</f>
        <v>20</v>
      </c>
      <c r="C29" s="62" t="s">
        <v>10</v>
      </c>
      <c r="D29" s="40" t="s">
        <v>32</v>
      </c>
      <c r="E29" s="40" t="s">
        <v>121</v>
      </c>
      <c r="F29" s="41" t="s">
        <v>201</v>
      </c>
      <c r="G29" s="40" t="s">
        <v>260</v>
      </c>
      <c r="H29" s="41" t="s">
        <v>324</v>
      </c>
      <c r="I29" s="40" t="s">
        <v>437</v>
      </c>
      <c r="J29" s="41" t="s">
        <v>472</v>
      </c>
      <c r="K29" s="40" t="s">
        <v>437</v>
      </c>
      <c r="L29" s="41">
        <v>1</v>
      </c>
      <c r="M29" s="40">
        <f>L29*5</f>
        <v>5</v>
      </c>
      <c r="N29" s="41">
        <v>10</v>
      </c>
      <c r="O29" s="67" t="s">
        <v>457</v>
      </c>
      <c r="P29" s="54">
        <v>6.2700000000000006E-2</v>
      </c>
      <c r="Q29" s="43">
        <f>P29*N29</f>
        <v>0.627</v>
      </c>
      <c r="R29" s="41"/>
      <c r="S29" s="40"/>
    </row>
    <row r="30" spans="1:19" x14ac:dyDescent="0.25">
      <c r="A30" s="1"/>
      <c r="B30" s="52">
        <f t="shared" si="0"/>
        <v>21</v>
      </c>
      <c r="C30" s="61" t="s">
        <v>10</v>
      </c>
      <c r="D30" s="38" t="s">
        <v>33</v>
      </c>
      <c r="E30" s="65" t="s">
        <v>122</v>
      </c>
      <c r="F30" s="39" t="s">
        <v>202</v>
      </c>
      <c r="G30" s="38" t="s">
        <v>202</v>
      </c>
      <c r="H30" s="39" t="s">
        <v>325</v>
      </c>
      <c r="I30" s="38" t="s">
        <v>437</v>
      </c>
      <c r="J30" s="39" t="s">
        <v>473</v>
      </c>
      <c r="K30" s="38" t="s">
        <v>437</v>
      </c>
      <c r="L30" s="39">
        <v>1</v>
      </c>
      <c r="M30" s="38">
        <f t="shared" ref="M30" si="21">L30*5</f>
        <v>5</v>
      </c>
      <c r="N30" s="38">
        <v>10</v>
      </c>
      <c r="O30" s="66" t="s">
        <v>457</v>
      </c>
      <c r="P30" s="53">
        <v>8.7099999999999997E-2</v>
      </c>
      <c r="Q30" s="42">
        <f t="shared" ref="Q30" si="22">P30*N30</f>
        <v>0.871</v>
      </c>
      <c r="R30" s="39"/>
      <c r="S30" s="38"/>
    </row>
    <row r="31" spans="1:19" ht="24" x14ac:dyDescent="0.25">
      <c r="A31" s="1"/>
      <c r="B31" s="51">
        <f>ROW(B31) - ROW($B$9)</f>
        <v>22</v>
      </c>
      <c r="C31" s="62" t="s">
        <v>10</v>
      </c>
      <c r="D31" s="40" t="s">
        <v>34</v>
      </c>
      <c r="E31" s="74" t="s">
        <v>551</v>
      </c>
      <c r="F31" s="74" t="s">
        <v>198</v>
      </c>
      <c r="G31" s="40" t="s">
        <v>261</v>
      </c>
      <c r="H31" s="41" t="s">
        <v>325</v>
      </c>
      <c r="I31" s="40" t="s">
        <v>437</v>
      </c>
      <c r="J31" s="41" t="s">
        <v>552</v>
      </c>
      <c r="K31" s="40" t="s">
        <v>437</v>
      </c>
      <c r="L31" s="41">
        <v>1</v>
      </c>
      <c r="M31" s="40">
        <f>L31*5</f>
        <v>5</v>
      </c>
      <c r="N31" s="41">
        <v>20</v>
      </c>
      <c r="O31" s="67" t="s">
        <v>457</v>
      </c>
      <c r="P31" s="54">
        <v>3.6200000000000003E-2</v>
      </c>
      <c r="Q31" s="43">
        <f>P31*N31</f>
        <v>0.72400000000000009</v>
      </c>
      <c r="R31" s="41"/>
      <c r="S31" s="40"/>
    </row>
    <row r="32" spans="1:19" x14ac:dyDescent="0.25">
      <c r="A32" s="1"/>
      <c r="B32" s="52">
        <f t="shared" si="0"/>
        <v>23</v>
      </c>
      <c r="C32" s="61" t="s">
        <v>439</v>
      </c>
      <c r="D32" s="38" t="s">
        <v>35</v>
      </c>
      <c r="E32" s="65" t="s">
        <v>123</v>
      </c>
      <c r="F32" s="39" t="s">
        <v>426</v>
      </c>
      <c r="G32" s="69" t="s">
        <v>203</v>
      </c>
      <c r="H32" s="39" t="s">
        <v>326</v>
      </c>
      <c r="I32" s="38" t="s">
        <v>548</v>
      </c>
      <c r="J32" s="39" t="s">
        <v>547</v>
      </c>
      <c r="K32" s="38" t="s">
        <v>437</v>
      </c>
      <c r="L32" s="39">
        <v>1</v>
      </c>
      <c r="M32" s="38">
        <f t="shared" ref="M32" si="23">L32*5</f>
        <v>5</v>
      </c>
      <c r="N32" s="38">
        <v>6</v>
      </c>
      <c r="O32" s="66" t="s">
        <v>457</v>
      </c>
      <c r="P32" s="53">
        <v>0.61729999999999996</v>
      </c>
      <c r="Q32" s="42">
        <f t="shared" ref="Q32" si="24">P32*N32</f>
        <v>3.7037999999999998</v>
      </c>
      <c r="R32" s="39"/>
      <c r="S32" s="38"/>
    </row>
    <row r="33" spans="1:19" x14ac:dyDescent="0.25">
      <c r="A33" s="1"/>
      <c r="B33" s="51">
        <f>ROW(B33) - ROW($B$9)</f>
        <v>24</v>
      </c>
      <c r="C33" s="62" t="s">
        <v>442</v>
      </c>
      <c r="D33" s="40" t="s">
        <v>36</v>
      </c>
      <c r="E33" s="40" t="s">
        <v>124</v>
      </c>
      <c r="F33" s="41" t="s">
        <v>426</v>
      </c>
      <c r="G33" s="68" t="s">
        <v>204</v>
      </c>
      <c r="H33" s="41" t="s">
        <v>327</v>
      </c>
      <c r="I33" s="40" t="s">
        <v>474</v>
      </c>
      <c r="J33" s="41" t="s">
        <v>477</v>
      </c>
      <c r="K33" s="40" t="s">
        <v>437</v>
      </c>
      <c r="L33" s="41">
        <v>9</v>
      </c>
      <c r="M33" s="40">
        <f>L33*5</f>
        <v>45</v>
      </c>
      <c r="N33" s="41">
        <v>50</v>
      </c>
      <c r="O33" s="67" t="s">
        <v>457</v>
      </c>
      <c r="P33" s="54">
        <v>7.1199999999999999E-2</v>
      </c>
      <c r="Q33" s="43">
        <f>P33*N33</f>
        <v>3.56</v>
      </c>
      <c r="R33" s="41"/>
      <c r="S33" s="40"/>
    </row>
    <row r="34" spans="1:19" x14ac:dyDescent="0.25">
      <c r="A34" s="1"/>
      <c r="B34" s="52">
        <f t="shared" si="0"/>
        <v>25</v>
      </c>
      <c r="C34" s="61" t="s">
        <v>442</v>
      </c>
      <c r="D34" s="38" t="s">
        <v>37</v>
      </c>
      <c r="E34" s="65" t="s">
        <v>124</v>
      </c>
      <c r="F34" s="39" t="s">
        <v>426</v>
      </c>
      <c r="G34" s="69" t="s">
        <v>205</v>
      </c>
      <c r="H34" s="39" t="s">
        <v>327</v>
      </c>
      <c r="I34" s="38" t="s">
        <v>475</v>
      </c>
      <c r="J34" s="39" t="s">
        <v>478</v>
      </c>
      <c r="K34" s="38" t="s">
        <v>437</v>
      </c>
      <c r="L34" s="39">
        <v>5</v>
      </c>
      <c r="M34" s="38">
        <f t="shared" ref="M34" si="25">L34*5</f>
        <v>25</v>
      </c>
      <c r="N34" s="38">
        <v>30</v>
      </c>
      <c r="O34" s="66" t="s">
        <v>457</v>
      </c>
      <c r="P34" s="53">
        <v>0.10539999999999999</v>
      </c>
      <c r="Q34" s="42">
        <f t="shared" ref="Q34" si="26">P34*N34</f>
        <v>3.1619999999999999</v>
      </c>
      <c r="R34" s="39"/>
      <c r="S34" s="38"/>
    </row>
    <row r="35" spans="1:19" x14ac:dyDescent="0.25">
      <c r="A35" s="1"/>
      <c r="B35" s="51">
        <f>ROW(B35) - ROW($B$9)</f>
        <v>26</v>
      </c>
      <c r="C35" s="62" t="s">
        <v>442</v>
      </c>
      <c r="D35" s="40" t="s">
        <v>38</v>
      </c>
      <c r="E35" s="40" t="s">
        <v>124</v>
      </c>
      <c r="F35" s="41" t="s">
        <v>426</v>
      </c>
      <c r="G35" s="68" t="s">
        <v>206</v>
      </c>
      <c r="H35" s="41" t="s">
        <v>327</v>
      </c>
      <c r="I35" s="40" t="s">
        <v>476</v>
      </c>
      <c r="J35" s="41" t="s">
        <v>479</v>
      </c>
      <c r="K35" s="40" t="s">
        <v>437</v>
      </c>
      <c r="L35" s="41">
        <v>1</v>
      </c>
      <c r="M35" s="40">
        <f>L35*5</f>
        <v>5</v>
      </c>
      <c r="N35" s="41">
        <v>10</v>
      </c>
      <c r="O35" s="67" t="s">
        <v>457</v>
      </c>
      <c r="P35" s="54">
        <v>0.1114</v>
      </c>
      <c r="Q35" s="43">
        <f>P35*N35</f>
        <v>1.1139999999999999</v>
      </c>
      <c r="R35" s="41"/>
      <c r="S35" s="40"/>
    </row>
    <row r="36" spans="1:19" ht="36" x14ac:dyDescent="0.25">
      <c r="A36" s="1"/>
      <c r="B36" s="52">
        <f t="shared" si="0"/>
        <v>27</v>
      </c>
      <c r="C36" s="61" t="s">
        <v>443</v>
      </c>
      <c r="D36" s="38" t="s">
        <v>39</v>
      </c>
      <c r="E36" s="65" t="s">
        <v>125</v>
      </c>
      <c r="F36" s="39" t="s">
        <v>426</v>
      </c>
      <c r="G36" s="38" t="s">
        <v>207</v>
      </c>
      <c r="H36" s="39" t="s">
        <v>328</v>
      </c>
      <c r="I36" s="38" t="s">
        <v>437</v>
      </c>
      <c r="J36" s="39" t="s">
        <v>480</v>
      </c>
      <c r="K36" s="38" t="s">
        <v>437</v>
      </c>
      <c r="L36" s="39">
        <v>1</v>
      </c>
      <c r="M36" s="38">
        <f t="shared" ref="M36" si="27">L36*5</f>
        <v>5</v>
      </c>
      <c r="N36" s="38">
        <v>6</v>
      </c>
      <c r="O36" s="66" t="s">
        <v>457</v>
      </c>
      <c r="P36" s="53">
        <v>0.75180000000000002</v>
      </c>
      <c r="Q36" s="42">
        <f t="shared" ref="Q36" si="28">P36*N36</f>
        <v>4.5107999999999997</v>
      </c>
      <c r="R36" s="39"/>
      <c r="S36" s="38"/>
    </row>
    <row r="37" spans="1:19" x14ac:dyDescent="0.25">
      <c r="A37" s="1"/>
      <c r="B37" s="51">
        <f>ROW(B37) - ROW($B$9)</f>
        <v>28</v>
      </c>
      <c r="C37" s="62" t="s">
        <v>439</v>
      </c>
      <c r="D37" s="40" t="s">
        <v>40</v>
      </c>
      <c r="E37" s="40" t="s">
        <v>126</v>
      </c>
      <c r="F37" s="41" t="s">
        <v>426</v>
      </c>
      <c r="G37" s="40" t="s">
        <v>208</v>
      </c>
      <c r="H37" s="41" t="s">
        <v>329</v>
      </c>
      <c r="I37" s="40" t="s">
        <v>437</v>
      </c>
      <c r="J37" s="41" t="s">
        <v>481</v>
      </c>
      <c r="K37" s="40" t="s">
        <v>437</v>
      </c>
      <c r="L37" s="41">
        <v>1</v>
      </c>
      <c r="M37" s="40">
        <f>L37*5</f>
        <v>5</v>
      </c>
      <c r="N37" s="41">
        <v>10</v>
      </c>
      <c r="O37" s="67" t="s">
        <v>457</v>
      </c>
      <c r="P37" s="54">
        <v>6.4299999999999996E-2</v>
      </c>
      <c r="Q37" s="43">
        <f>P37*N37</f>
        <v>0.64300000000000002</v>
      </c>
      <c r="R37" s="41"/>
      <c r="S37" s="40"/>
    </row>
    <row r="38" spans="1:19" x14ac:dyDescent="0.25">
      <c r="A38" s="1"/>
      <c r="B38" s="52">
        <f t="shared" si="0"/>
        <v>29</v>
      </c>
      <c r="C38" s="61" t="s">
        <v>11</v>
      </c>
      <c r="D38" s="38" t="s">
        <v>41</v>
      </c>
      <c r="E38" s="65" t="s">
        <v>127</v>
      </c>
      <c r="F38" s="39" t="s">
        <v>426</v>
      </c>
      <c r="G38" s="38" t="s">
        <v>262</v>
      </c>
      <c r="H38" s="39" t="s">
        <v>330</v>
      </c>
      <c r="I38" s="38" t="s">
        <v>437</v>
      </c>
      <c r="J38" s="39" t="s">
        <v>367</v>
      </c>
      <c r="K38" s="38" t="s">
        <v>437</v>
      </c>
      <c r="L38" s="39">
        <v>1</v>
      </c>
      <c r="M38" s="38">
        <f t="shared" ref="M38" si="29">L38*5</f>
        <v>5</v>
      </c>
      <c r="N38" s="38">
        <v>6</v>
      </c>
      <c r="O38" s="66" t="s">
        <v>457</v>
      </c>
      <c r="P38" s="53">
        <v>0.22120000000000001</v>
      </c>
      <c r="Q38" s="42">
        <f t="shared" ref="Q38" si="30">P38*N38</f>
        <v>1.3271999999999999</v>
      </c>
      <c r="R38" s="39"/>
      <c r="S38" s="38"/>
    </row>
    <row r="39" spans="1:19" ht="36" x14ac:dyDescent="0.25">
      <c r="A39" s="1"/>
      <c r="B39" s="51">
        <f>ROW(B39) - ROW($B$9)</f>
        <v>30</v>
      </c>
      <c r="C39" s="62" t="s">
        <v>12</v>
      </c>
      <c r="D39" s="40" t="s">
        <v>42</v>
      </c>
      <c r="E39" s="40" t="s">
        <v>128</v>
      </c>
      <c r="F39" s="41" t="s">
        <v>209</v>
      </c>
      <c r="G39" s="40" t="s">
        <v>263</v>
      </c>
      <c r="H39" s="41" t="s">
        <v>331</v>
      </c>
      <c r="I39" s="40" t="s">
        <v>437</v>
      </c>
      <c r="J39" s="41" t="s">
        <v>368</v>
      </c>
      <c r="K39" s="40" t="s">
        <v>437</v>
      </c>
      <c r="L39" s="41">
        <v>5</v>
      </c>
      <c r="M39" s="40">
        <f>L39*5</f>
        <v>25</v>
      </c>
      <c r="N39" s="41">
        <v>27</v>
      </c>
      <c r="O39" s="67" t="s">
        <v>457</v>
      </c>
      <c r="P39" s="54">
        <v>1.2012</v>
      </c>
      <c r="Q39" s="43">
        <f>P39*N39</f>
        <v>32.432400000000001</v>
      </c>
      <c r="R39" s="41"/>
      <c r="S39" s="40"/>
    </row>
    <row r="40" spans="1:19" x14ac:dyDescent="0.25">
      <c r="A40" s="1"/>
      <c r="B40" s="52">
        <f t="shared" si="0"/>
        <v>31</v>
      </c>
      <c r="C40" s="61" t="s">
        <v>444</v>
      </c>
      <c r="D40" s="38" t="s">
        <v>43</v>
      </c>
      <c r="E40" s="65" t="s">
        <v>129</v>
      </c>
      <c r="F40" s="39" t="s">
        <v>210</v>
      </c>
      <c r="G40" s="38" t="s">
        <v>264</v>
      </c>
      <c r="H40" s="39" t="s">
        <v>332</v>
      </c>
      <c r="I40" s="38" t="s">
        <v>437</v>
      </c>
      <c r="J40" s="39" t="s">
        <v>482</v>
      </c>
      <c r="K40" s="38" t="s">
        <v>391</v>
      </c>
      <c r="L40" s="39">
        <v>1</v>
      </c>
      <c r="M40" s="38">
        <f t="shared" ref="M40" si="31">L40*5</f>
        <v>5</v>
      </c>
      <c r="N40" s="38">
        <v>10</v>
      </c>
      <c r="O40" s="66" t="s">
        <v>457</v>
      </c>
      <c r="P40" s="53">
        <v>4.0399999999999998E-2</v>
      </c>
      <c r="Q40" s="42">
        <f t="shared" ref="Q40" si="32">P40*N40</f>
        <v>0.40399999999999997</v>
      </c>
      <c r="R40" s="39"/>
      <c r="S40" s="38"/>
    </row>
    <row r="41" spans="1:19" ht="36" x14ac:dyDescent="0.25">
      <c r="A41" s="1"/>
      <c r="B41" s="51">
        <f>ROW(B41) - ROW($B$9)</f>
        <v>32</v>
      </c>
      <c r="C41" s="62" t="s">
        <v>444</v>
      </c>
      <c r="D41" s="40" t="s">
        <v>44</v>
      </c>
      <c r="E41" s="40" t="s">
        <v>130</v>
      </c>
      <c r="F41" s="41" t="s">
        <v>426</v>
      </c>
      <c r="G41" s="40" t="s">
        <v>211</v>
      </c>
      <c r="H41" s="41" t="s">
        <v>333</v>
      </c>
      <c r="I41" s="40" t="s">
        <v>437</v>
      </c>
      <c r="J41" s="41" t="s">
        <v>483</v>
      </c>
      <c r="K41" s="40" t="s">
        <v>392</v>
      </c>
      <c r="L41" s="41">
        <v>1</v>
      </c>
      <c r="M41" s="40">
        <f>L41*5</f>
        <v>5</v>
      </c>
      <c r="N41" s="41">
        <v>6</v>
      </c>
      <c r="O41" s="67" t="s">
        <v>457</v>
      </c>
      <c r="P41" s="54">
        <v>0.47249999999999998</v>
      </c>
      <c r="Q41" s="43">
        <f>P41*N41</f>
        <v>2.835</v>
      </c>
      <c r="R41" s="41"/>
      <c r="S41" s="40"/>
    </row>
    <row r="42" spans="1:19" x14ac:dyDescent="0.25">
      <c r="A42" s="1"/>
      <c r="B42" s="52">
        <f t="shared" si="0"/>
        <v>33</v>
      </c>
      <c r="C42" s="61" t="s">
        <v>444</v>
      </c>
      <c r="D42" s="38" t="s">
        <v>45</v>
      </c>
      <c r="E42" s="65" t="s">
        <v>131</v>
      </c>
      <c r="F42" s="39" t="s">
        <v>212</v>
      </c>
      <c r="G42" s="38" t="s">
        <v>265</v>
      </c>
      <c r="H42" s="39" t="s">
        <v>334</v>
      </c>
      <c r="I42" s="38" t="s">
        <v>437</v>
      </c>
      <c r="J42" s="39" t="s">
        <v>484</v>
      </c>
      <c r="K42" s="38" t="s">
        <v>393</v>
      </c>
      <c r="L42" s="39">
        <v>1</v>
      </c>
      <c r="M42" s="38">
        <f t="shared" ref="M42" si="33">L42*5</f>
        <v>5</v>
      </c>
      <c r="N42" s="38">
        <v>10</v>
      </c>
      <c r="O42" s="66" t="s">
        <v>457</v>
      </c>
      <c r="P42" s="53">
        <v>7.9100000000000004E-2</v>
      </c>
      <c r="Q42" s="42">
        <f t="shared" ref="Q42" si="34">P42*N42</f>
        <v>0.79100000000000004</v>
      </c>
      <c r="R42" s="39"/>
      <c r="S42" s="38"/>
    </row>
    <row r="43" spans="1:19" ht="36" x14ac:dyDescent="0.25">
      <c r="A43" s="1"/>
      <c r="B43" s="51">
        <f>ROW(B43) - ROW($B$9)</f>
        <v>34</v>
      </c>
      <c r="C43" s="62" t="s">
        <v>444</v>
      </c>
      <c r="D43" s="40" t="s">
        <v>46</v>
      </c>
      <c r="E43" s="40" t="s">
        <v>132</v>
      </c>
      <c r="F43" s="41" t="s">
        <v>213</v>
      </c>
      <c r="G43" s="40" t="s">
        <v>266</v>
      </c>
      <c r="H43" s="41" t="s">
        <v>335</v>
      </c>
      <c r="I43" s="40" t="s">
        <v>437</v>
      </c>
      <c r="J43" s="41" t="s">
        <v>485</v>
      </c>
      <c r="K43" s="40" t="s">
        <v>394</v>
      </c>
      <c r="L43" s="41">
        <v>1</v>
      </c>
      <c r="M43" s="40">
        <f>L43*5</f>
        <v>5</v>
      </c>
      <c r="N43" s="41">
        <v>10</v>
      </c>
      <c r="O43" s="67" t="s">
        <v>457</v>
      </c>
      <c r="P43" s="54">
        <v>8.5099999999999995E-2</v>
      </c>
      <c r="Q43" s="43">
        <f>P43*N43</f>
        <v>0.85099999999999998</v>
      </c>
      <c r="R43" s="41"/>
      <c r="S43" s="40"/>
    </row>
    <row r="44" spans="1:19" ht="24" x14ac:dyDescent="0.25">
      <c r="A44" s="1"/>
      <c r="B44" s="52">
        <f t="shared" si="0"/>
        <v>35</v>
      </c>
      <c r="C44" s="61" t="s">
        <v>445</v>
      </c>
      <c r="D44" s="38" t="s">
        <v>47</v>
      </c>
      <c r="E44" s="65" t="s">
        <v>133</v>
      </c>
      <c r="F44" s="39" t="s">
        <v>214</v>
      </c>
      <c r="G44" s="69" t="s">
        <v>267</v>
      </c>
      <c r="H44" s="39" t="s">
        <v>336</v>
      </c>
      <c r="I44" s="38" t="s">
        <v>496</v>
      </c>
      <c r="J44" s="39" t="s">
        <v>486</v>
      </c>
      <c r="K44" s="38" t="s">
        <v>437</v>
      </c>
      <c r="L44" s="39">
        <v>7</v>
      </c>
      <c r="M44" s="38">
        <f t="shared" ref="M44" si="35">L44*5</f>
        <v>35</v>
      </c>
      <c r="N44" s="38">
        <v>40</v>
      </c>
      <c r="O44" s="66" t="s">
        <v>457</v>
      </c>
      <c r="P44" s="53">
        <v>3.5400000000000001E-2</v>
      </c>
      <c r="Q44" s="42">
        <f t="shared" ref="Q44" si="36">P44*N44</f>
        <v>1.4159999999999999</v>
      </c>
      <c r="R44" s="39"/>
      <c r="S44" s="38"/>
    </row>
    <row r="45" spans="1:19" x14ac:dyDescent="0.25">
      <c r="A45" s="1"/>
      <c r="B45" s="51">
        <f>ROW(B45) - ROW($B$9)</f>
        <v>36</v>
      </c>
      <c r="C45" s="62" t="s">
        <v>445</v>
      </c>
      <c r="D45" s="40" t="s">
        <v>48</v>
      </c>
      <c r="E45" s="40" t="s">
        <v>134</v>
      </c>
      <c r="F45" s="41" t="s">
        <v>426</v>
      </c>
      <c r="G45" s="40" t="s">
        <v>268</v>
      </c>
      <c r="H45" s="41" t="s">
        <v>337</v>
      </c>
      <c r="I45" s="40" t="s">
        <v>437</v>
      </c>
      <c r="J45" s="41" t="s">
        <v>487</v>
      </c>
      <c r="K45" s="40" t="s">
        <v>437</v>
      </c>
      <c r="L45" s="41">
        <v>1</v>
      </c>
      <c r="M45" s="40">
        <f>L45*5</f>
        <v>5</v>
      </c>
      <c r="N45" s="41">
        <v>10</v>
      </c>
      <c r="O45" s="67" t="s">
        <v>457</v>
      </c>
      <c r="P45" s="54">
        <v>0.1216</v>
      </c>
      <c r="Q45" s="43">
        <f>P45*N45</f>
        <v>1.216</v>
      </c>
      <c r="R45" s="41"/>
      <c r="S45" s="40"/>
    </row>
    <row r="46" spans="1:19" ht="24" x14ac:dyDescent="0.25">
      <c r="A46" s="1"/>
      <c r="B46" s="52">
        <f t="shared" si="0"/>
        <v>37</v>
      </c>
      <c r="C46" s="61" t="s">
        <v>446</v>
      </c>
      <c r="D46" s="38" t="s">
        <v>49</v>
      </c>
      <c r="E46" s="65" t="s">
        <v>135</v>
      </c>
      <c r="F46" s="39" t="s">
        <v>426</v>
      </c>
      <c r="G46" s="38" t="s">
        <v>215</v>
      </c>
      <c r="H46" s="39" t="s">
        <v>338</v>
      </c>
      <c r="I46" s="38" t="s">
        <v>437</v>
      </c>
      <c r="J46" s="39" t="s">
        <v>488</v>
      </c>
      <c r="K46" s="38" t="s">
        <v>437</v>
      </c>
      <c r="L46" s="39">
        <v>1</v>
      </c>
      <c r="M46" s="38">
        <f t="shared" ref="M46" si="37">L46*5</f>
        <v>5</v>
      </c>
      <c r="N46" s="38">
        <v>6</v>
      </c>
      <c r="O46" s="66" t="s">
        <v>457</v>
      </c>
      <c r="P46" s="53">
        <v>0.34010000000000001</v>
      </c>
      <c r="Q46" s="42">
        <f t="shared" ref="Q46" si="38">P46*N46</f>
        <v>2.0406</v>
      </c>
      <c r="R46" s="39"/>
      <c r="S46" s="38"/>
    </row>
    <row r="47" spans="1:19" x14ac:dyDescent="0.25">
      <c r="A47" s="1"/>
      <c r="B47" s="51">
        <f>ROW(B47) - ROW($B$9)</f>
        <v>38</v>
      </c>
      <c r="C47" s="80" t="s">
        <v>395</v>
      </c>
      <c r="D47" s="68" t="s">
        <v>50</v>
      </c>
      <c r="E47" s="68" t="s">
        <v>136</v>
      </c>
      <c r="F47" s="81" t="s">
        <v>426</v>
      </c>
      <c r="G47" s="68" t="s">
        <v>216</v>
      </c>
      <c r="H47" s="81" t="s">
        <v>437</v>
      </c>
      <c r="I47" s="68" t="s">
        <v>437</v>
      </c>
      <c r="J47" s="81" t="s">
        <v>437</v>
      </c>
      <c r="K47" s="68" t="s">
        <v>437</v>
      </c>
      <c r="L47" s="81">
        <v>2</v>
      </c>
      <c r="M47" s="68">
        <f>L47*5</f>
        <v>10</v>
      </c>
      <c r="N47" s="81" t="s">
        <v>437</v>
      </c>
      <c r="O47" s="82" t="s">
        <v>437</v>
      </c>
      <c r="P47" s="83" t="s">
        <v>437</v>
      </c>
      <c r="Q47" s="84" t="s">
        <v>437</v>
      </c>
      <c r="R47" s="81"/>
      <c r="S47" s="68"/>
    </row>
    <row r="48" spans="1:19" x14ac:dyDescent="0.25">
      <c r="A48" s="1"/>
      <c r="B48" s="52">
        <f t="shared" si="0"/>
        <v>39</v>
      </c>
      <c r="C48" s="61" t="s">
        <v>439</v>
      </c>
      <c r="D48" s="38" t="s">
        <v>51</v>
      </c>
      <c r="E48" s="65" t="s">
        <v>137</v>
      </c>
      <c r="F48" s="39" t="s">
        <v>217</v>
      </c>
      <c r="G48" s="69">
        <v>61300311121</v>
      </c>
      <c r="H48" s="39" t="s">
        <v>339</v>
      </c>
      <c r="I48" s="38" t="s">
        <v>500</v>
      </c>
      <c r="J48" s="39" t="s">
        <v>500</v>
      </c>
      <c r="K48" s="38" t="s">
        <v>437</v>
      </c>
      <c r="L48" s="39">
        <v>2</v>
      </c>
      <c r="M48" s="38">
        <f t="shared" ref="M48" si="39">L48*5</f>
        <v>10</v>
      </c>
      <c r="N48" s="38">
        <v>50</v>
      </c>
      <c r="O48" s="66" t="s">
        <v>457</v>
      </c>
      <c r="P48" s="53">
        <v>1.44E-2</v>
      </c>
      <c r="Q48" s="42">
        <f t="shared" ref="Q48" si="40">P48*N48</f>
        <v>0.72</v>
      </c>
      <c r="R48" s="39"/>
      <c r="S48" s="38"/>
    </row>
    <row r="49" spans="1:19" x14ac:dyDescent="0.25">
      <c r="A49" s="1"/>
      <c r="B49" s="51">
        <f>ROW(B49) - ROW($B$9)</f>
        <v>40</v>
      </c>
      <c r="C49" s="62" t="s">
        <v>439</v>
      </c>
      <c r="D49" s="40" t="s">
        <v>52</v>
      </c>
      <c r="E49" s="40" t="s">
        <v>138</v>
      </c>
      <c r="F49" s="41" t="s">
        <v>218</v>
      </c>
      <c r="G49" s="68">
        <v>61300611121</v>
      </c>
      <c r="H49" s="41" t="s">
        <v>339</v>
      </c>
      <c r="I49" s="40" t="s">
        <v>497</v>
      </c>
      <c r="J49" s="41" t="s">
        <v>489</v>
      </c>
      <c r="K49" s="40" t="s">
        <v>437</v>
      </c>
      <c r="L49" s="41">
        <v>4</v>
      </c>
      <c r="M49" s="40">
        <f>L49*5</f>
        <v>20</v>
      </c>
      <c r="N49" s="41">
        <v>40</v>
      </c>
      <c r="O49" s="67" t="s">
        <v>457</v>
      </c>
      <c r="P49" s="54">
        <v>2.9700000000000001E-2</v>
      </c>
      <c r="Q49" s="43">
        <f>P49*N49</f>
        <v>1.1879999999999999</v>
      </c>
      <c r="R49" s="41"/>
      <c r="S49" s="40"/>
    </row>
    <row r="50" spans="1:19" x14ac:dyDescent="0.25">
      <c r="A50" s="1"/>
      <c r="B50" s="52">
        <f t="shared" si="0"/>
        <v>41</v>
      </c>
      <c r="C50" s="61" t="s">
        <v>439</v>
      </c>
      <c r="D50" s="38" t="s">
        <v>53</v>
      </c>
      <c r="E50" s="65" t="s">
        <v>139</v>
      </c>
      <c r="F50" s="39" t="s">
        <v>219</v>
      </c>
      <c r="G50" s="69" t="s">
        <v>269</v>
      </c>
      <c r="H50" s="39" t="s">
        <v>340</v>
      </c>
      <c r="I50" s="38" t="s">
        <v>490</v>
      </c>
      <c r="J50" s="39" t="s">
        <v>490</v>
      </c>
      <c r="K50" s="38" t="s">
        <v>437</v>
      </c>
      <c r="L50" s="39">
        <v>1</v>
      </c>
      <c r="M50" s="38">
        <f t="shared" ref="M50" si="41">L50*5</f>
        <v>5</v>
      </c>
      <c r="N50" s="38">
        <v>10</v>
      </c>
      <c r="O50" s="66" t="s">
        <v>457</v>
      </c>
      <c r="P50" s="53">
        <v>0.11509999999999999</v>
      </c>
      <c r="Q50" s="42">
        <f t="shared" ref="Q50" si="42">P50*N50</f>
        <v>1.151</v>
      </c>
      <c r="R50" s="39"/>
      <c r="S50" s="38"/>
    </row>
    <row r="51" spans="1:19" ht="24" x14ac:dyDescent="0.25">
      <c r="A51" s="1"/>
      <c r="B51" s="51">
        <f>ROW(B51) - ROW($B$9)</f>
        <v>42</v>
      </c>
      <c r="C51" s="62" t="s">
        <v>439</v>
      </c>
      <c r="D51" s="40" t="s">
        <v>54</v>
      </c>
      <c r="E51" s="40" t="s">
        <v>140</v>
      </c>
      <c r="F51" s="41" t="s">
        <v>220</v>
      </c>
      <c r="G51" s="68">
        <v>61300211121</v>
      </c>
      <c r="H51" s="41" t="s">
        <v>339</v>
      </c>
      <c r="I51" s="40" t="s">
        <v>498</v>
      </c>
      <c r="J51" s="41" t="s">
        <v>491</v>
      </c>
      <c r="K51" s="40" t="s">
        <v>437</v>
      </c>
      <c r="L51" s="41">
        <v>3</v>
      </c>
      <c r="M51" s="40">
        <f>L51*5</f>
        <v>15</v>
      </c>
      <c r="N51" s="41">
        <v>50</v>
      </c>
      <c r="O51" s="67" t="s">
        <v>457</v>
      </c>
      <c r="P51" s="54">
        <v>1.3299999999999999E-2</v>
      </c>
      <c r="Q51" s="43">
        <f>P51*N51</f>
        <v>0.66499999999999992</v>
      </c>
      <c r="R51" s="41"/>
      <c r="S51" s="40"/>
    </row>
    <row r="52" spans="1:19" x14ac:dyDescent="0.25">
      <c r="A52" s="1"/>
      <c r="B52" s="52">
        <f t="shared" si="0"/>
        <v>43</v>
      </c>
      <c r="C52" s="61" t="s">
        <v>439</v>
      </c>
      <c r="D52" s="38" t="s">
        <v>55</v>
      </c>
      <c r="E52" s="65" t="s">
        <v>141</v>
      </c>
      <c r="F52" s="39" t="s">
        <v>221</v>
      </c>
      <c r="G52" s="69">
        <v>61300411121</v>
      </c>
      <c r="H52" s="39" t="s">
        <v>339</v>
      </c>
      <c r="I52" s="38" t="s">
        <v>499</v>
      </c>
      <c r="J52" s="39" t="s">
        <v>492</v>
      </c>
      <c r="K52" s="38" t="s">
        <v>437</v>
      </c>
      <c r="L52" s="39">
        <v>1</v>
      </c>
      <c r="M52" s="38">
        <f t="shared" ref="M52" si="43">L52*5</f>
        <v>5</v>
      </c>
      <c r="N52" s="38">
        <v>20</v>
      </c>
      <c r="O52" s="66" t="s">
        <v>457</v>
      </c>
      <c r="P52" s="53">
        <v>2.18E-2</v>
      </c>
      <c r="Q52" s="42">
        <f t="shared" ref="Q52" si="44">P52*N52</f>
        <v>0.436</v>
      </c>
      <c r="R52" s="39"/>
      <c r="S52" s="38"/>
    </row>
    <row r="53" spans="1:19" ht="24" x14ac:dyDescent="0.25">
      <c r="A53" s="1"/>
      <c r="B53" s="51">
        <f>ROW(B53) - ROW($B$9)</f>
        <v>44</v>
      </c>
      <c r="C53" s="62" t="s">
        <v>13</v>
      </c>
      <c r="D53" s="40" t="s">
        <v>56</v>
      </c>
      <c r="E53" s="40" t="s">
        <v>142</v>
      </c>
      <c r="F53" s="41" t="s">
        <v>222</v>
      </c>
      <c r="G53" s="40" t="s">
        <v>270</v>
      </c>
      <c r="H53" s="41" t="s">
        <v>323</v>
      </c>
      <c r="I53" s="40" t="s">
        <v>437</v>
      </c>
      <c r="J53" s="41" t="s">
        <v>493</v>
      </c>
      <c r="K53" s="40" t="s">
        <v>437</v>
      </c>
      <c r="L53" s="41">
        <v>9</v>
      </c>
      <c r="M53" s="40">
        <f>L53*5</f>
        <v>45</v>
      </c>
      <c r="N53" s="41">
        <v>47</v>
      </c>
      <c r="O53" s="67" t="s">
        <v>457</v>
      </c>
      <c r="P53" s="54">
        <v>0.31269999999999998</v>
      </c>
      <c r="Q53" s="43">
        <f>P53*N53</f>
        <v>14.696899999999999</v>
      </c>
      <c r="R53" s="41"/>
      <c r="S53" s="40"/>
    </row>
    <row r="54" spans="1:19" x14ac:dyDescent="0.25">
      <c r="A54" s="1"/>
      <c r="B54" s="52">
        <f t="shared" si="0"/>
        <v>45</v>
      </c>
      <c r="C54" s="61" t="s">
        <v>13</v>
      </c>
      <c r="D54" s="38" t="s">
        <v>57</v>
      </c>
      <c r="E54" s="65" t="s">
        <v>143</v>
      </c>
      <c r="F54" s="39" t="s">
        <v>223</v>
      </c>
      <c r="G54" s="38" t="s">
        <v>271</v>
      </c>
      <c r="H54" s="39" t="s">
        <v>341</v>
      </c>
      <c r="I54" s="38" t="s">
        <v>437</v>
      </c>
      <c r="J54" s="39" t="s">
        <v>494</v>
      </c>
      <c r="K54" s="38" t="s">
        <v>437</v>
      </c>
      <c r="L54" s="39">
        <v>1</v>
      </c>
      <c r="M54" s="38">
        <f t="shared" ref="M54" si="45">L54*5</f>
        <v>5</v>
      </c>
      <c r="N54" s="38">
        <v>10</v>
      </c>
      <c r="O54" s="66" t="s">
        <v>457</v>
      </c>
      <c r="P54" s="53">
        <v>7.0800000000000002E-2</v>
      </c>
      <c r="Q54" s="42">
        <f t="shared" ref="Q54" si="46">P54*N54</f>
        <v>0.70799999999999996</v>
      </c>
      <c r="R54" s="39"/>
      <c r="S54" s="38"/>
    </row>
    <row r="55" spans="1:19" x14ac:dyDescent="0.25">
      <c r="A55" s="1"/>
      <c r="B55" s="51">
        <f>ROW(B55) - ROW($B$9)</f>
        <v>46</v>
      </c>
      <c r="C55" s="62" t="s">
        <v>13</v>
      </c>
      <c r="D55" s="40" t="s">
        <v>58</v>
      </c>
      <c r="E55" s="40" t="s">
        <v>144</v>
      </c>
      <c r="F55" s="41" t="s">
        <v>224</v>
      </c>
      <c r="G55" s="40" t="s">
        <v>272</v>
      </c>
      <c r="H55" s="41" t="s">
        <v>342</v>
      </c>
      <c r="I55" s="40" t="s">
        <v>437</v>
      </c>
      <c r="J55" s="41" t="s">
        <v>437</v>
      </c>
      <c r="K55" s="40" t="s">
        <v>437</v>
      </c>
      <c r="L55" s="41">
        <v>2</v>
      </c>
      <c r="M55" s="40">
        <f>L55*5</f>
        <v>10</v>
      </c>
      <c r="N55" s="41">
        <v>40</v>
      </c>
      <c r="O55" s="67" t="s">
        <v>457</v>
      </c>
      <c r="P55" s="54">
        <v>0.72070000000000001</v>
      </c>
      <c r="Q55" s="43">
        <f>P55*N55</f>
        <v>28.827999999999999</v>
      </c>
      <c r="R55" s="41"/>
      <c r="S55" s="40"/>
    </row>
    <row r="56" spans="1:19" x14ac:dyDescent="0.25">
      <c r="A56" s="1"/>
      <c r="B56" s="52">
        <f t="shared" si="0"/>
        <v>47</v>
      </c>
      <c r="C56" s="61" t="s">
        <v>13</v>
      </c>
      <c r="D56" s="38" t="s">
        <v>59</v>
      </c>
      <c r="E56" s="65" t="s">
        <v>145</v>
      </c>
      <c r="F56" s="39" t="s">
        <v>223</v>
      </c>
      <c r="G56" s="38" t="s">
        <v>273</v>
      </c>
      <c r="H56" s="39" t="s">
        <v>341</v>
      </c>
      <c r="I56" s="38" t="s">
        <v>437</v>
      </c>
      <c r="J56" s="39" t="s">
        <v>495</v>
      </c>
      <c r="K56" s="38" t="s">
        <v>437</v>
      </c>
      <c r="L56" s="39">
        <v>2</v>
      </c>
      <c r="M56" s="38">
        <f t="shared" ref="M56" si="47">L56*5</f>
        <v>10</v>
      </c>
      <c r="N56" s="38">
        <v>15</v>
      </c>
      <c r="O56" s="66" t="s">
        <v>457</v>
      </c>
      <c r="P56" s="53">
        <v>0.1182</v>
      </c>
      <c r="Q56" s="42">
        <f t="shared" ref="Q56" si="48">P56*N56</f>
        <v>1.7729999999999999</v>
      </c>
      <c r="R56" s="39"/>
      <c r="S56" s="38"/>
    </row>
    <row r="57" spans="1:19" x14ac:dyDescent="0.25">
      <c r="A57" s="1"/>
      <c r="B57" s="51">
        <f>ROW(B57) - ROW($B$9)</f>
        <v>48</v>
      </c>
      <c r="C57" s="62" t="s">
        <v>13</v>
      </c>
      <c r="D57" s="40" t="s">
        <v>60</v>
      </c>
      <c r="E57" s="40" t="s">
        <v>146</v>
      </c>
      <c r="F57" s="41" t="s">
        <v>223</v>
      </c>
      <c r="G57" s="40" t="s">
        <v>274</v>
      </c>
      <c r="H57" s="41" t="s">
        <v>323</v>
      </c>
      <c r="I57" s="40" t="s">
        <v>437</v>
      </c>
      <c r="J57" s="41" t="s">
        <v>369</v>
      </c>
      <c r="K57" s="40" t="s">
        <v>437</v>
      </c>
      <c r="L57" s="41">
        <v>6</v>
      </c>
      <c r="M57" s="40">
        <f>L57*5</f>
        <v>30</v>
      </c>
      <c r="N57" s="41">
        <v>20</v>
      </c>
      <c r="O57" s="67" t="s">
        <v>457</v>
      </c>
      <c r="P57" s="54">
        <v>3.3500000000000002E-2</v>
      </c>
      <c r="Q57" s="43">
        <f>P57*N57</f>
        <v>0.67</v>
      </c>
      <c r="R57" s="41"/>
      <c r="S57" s="40"/>
    </row>
    <row r="58" spans="1:19" ht="24" x14ac:dyDescent="0.25">
      <c r="A58" s="1"/>
      <c r="B58" s="52">
        <f t="shared" si="0"/>
        <v>49</v>
      </c>
      <c r="C58" s="61" t="s">
        <v>13</v>
      </c>
      <c r="D58" s="38" t="s">
        <v>61</v>
      </c>
      <c r="E58" s="65" t="s">
        <v>147</v>
      </c>
      <c r="F58" s="39" t="s">
        <v>223</v>
      </c>
      <c r="G58" s="38" t="s">
        <v>275</v>
      </c>
      <c r="H58" s="39" t="s">
        <v>343</v>
      </c>
      <c r="I58" s="38" t="s">
        <v>437</v>
      </c>
      <c r="J58" s="39" t="s">
        <v>501</v>
      </c>
      <c r="K58" s="38" t="s">
        <v>437</v>
      </c>
      <c r="L58" s="39">
        <v>10</v>
      </c>
      <c r="M58" s="38">
        <f t="shared" ref="M58" si="49">L58*5</f>
        <v>50</v>
      </c>
      <c r="N58" s="38">
        <v>60</v>
      </c>
      <c r="O58" s="66" t="s">
        <v>457</v>
      </c>
      <c r="P58" s="53">
        <v>1.9099999999999999E-2</v>
      </c>
      <c r="Q58" s="42">
        <f t="shared" ref="Q58" si="50">P58*N58</f>
        <v>1.1459999999999999</v>
      </c>
      <c r="R58" s="39"/>
      <c r="S58" s="38"/>
    </row>
    <row r="59" spans="1:19" ht="24" x14ac:dyDescent="0.25">
      <c r="A59" s="1"/>
      <c r="B59" s="51">
        <f>ROW(B59) - ROW($B$9)</f>
        <v>50</v>
      </c>
      <c r="C59" s="62" t="s">
        <v>13</v>
      </c>
      <c r="D59" s="40" t="s">
        <v>62</v>
      </c>
      <c r="E59" s="40" t="s">
        <v>148</v>
      </c>
      <c r="F59" s="41" t="s">
        <v>223</v>
      </c>
      <c r="G59" s="40" t="s">
        <v>276</v>
      </c>
      <c r="H59" s="41" t="s">
        <v>343</v>
      </c>
      <c r="I59" s="40" t="s">
        <v>437</v>
      </c>
      <c r="J59" s="41" t="s">
        <v>502</v>
      </c>
      <c r="K59" s="40" t="s">
        <v>437</v>
      </c>
      <c r="L59" s="41">
        <v>2</v>
      </c>
      <c r="M59" s="40">
        <f>L59*5</f>
        <v>10</v>
      </c>
      <c r="N59" s="41">
        <v>20</v>
      </c>
      <c r="O59" s="67" t="s">
        <v>457</v>
      </c>
      <c r="P59" s="54">
        <v>2.0299999999999999E-2</v>
      </c>
      <c r="Q59" s="43">
        <f>P59*N59</f>
        <v>0.40599999999999997</v>
      </c>
      <c r="R59" s="41"/>
      <c r="S59" s="40"/>
    </row>
    <row r="60" spans="1:19" x14ac:dyDescent="0.25">
      <c r="A60" s="1"/>
      <c r="B60" s="52">
        <f t="shared" si="0"/>
        <v>51</v>
      </c>
      <c r="C60" s="61" t="s">
        <v>13</v>
      </c>
      <c r="D60" s="38" t="s">
        <v>63</v>
      </c>
      <c r="E60" s="65" t="s">
        <v>149</v>
      </c>
      <c r="F60" s="39" t="s">
        <v>223</v>
      </c>
      <c r="G60" s="38" t="s">
        <v>277</v>
      </c>
      <c r="H60" s="39" t="s">
        <v>321</v>
      </c>
      <c r="I60" s="38" t="s">
        <v>437</v>
      </c>
      <c r="J60" s="39" t="s">
        <v>503</v>
      </c>
      <c r="K60" s="38" t="s">
        <v>437</v>
      </c>
      <c r="L60" s="39">
        <v>3</v>
      </c>
      <c r="M60" s="38">
        <f t="shared" ref="M60" si="51">L60*5</f>
        <v>15</v>
      </c>
      <c r="N60" s="38">
        <v>20</v>
      </c>
      <c r="O60" s="66" t="s">
        <v>457</v>
      </c>
      <c r="P60" s="53">
        <v>2.9899999999999999E-2</v>
      </c>
      <c r="Q60" s="42">
        <f t="shared" ref="Q60" si="52">P60*N60</f>
        <v>0.59799999999999998</v>
      </c>
      <c r="R60" s="39"/>
      <c r="S60" s="38"/>
    </row>
    <row r="61" spans="1:19" ht="24" x14ac:dyDescent="0.25">
      <c r="A61" s="1"/>
      <c r="B61" s="51">
        <f>ROW(B61) - ROW($B$9)</f>
        <v>52</v>
      </c>
      <c r="C61" s="62" t="s">
        <v>13</v>
      </c>
      <c r="D61" s="40" t="s">
        <v>64</v>
      </c>
      <c r="E61" s="40" t="s">
        <v>150</v>
      </c>
      <c r="F61" s="41" t="s">
        <v>441</v>
      </c>
      <c r="G61" s="40" t="s">
        <v>225</v>
      </c>
      <c r="H61" s="41" t="s">
        <v>344</v>
      </c>
      <c r="I61" s="40" t="s">
        <v>437</v>
      </c>
      <c r="J61" s="41" t="s">
        <v>504</v>
      </c>
      <c r="K61" s="40" t="s">
        <v>437</v>
      </c>
      <c r="L61" s="41">
        <v>1</v>
      </c>
      <c r="M61" s="40">
        <f>L61*5</f>
        <v>5</v>
      </c>
      <c r="N61" s="41">
        <v>10</v>
      </c>
      <c r="O61" s="67" t="s">
        <v>457</v>
      </c>
      <c r="P61" s="54">
        <v>0.3261</v>
      </c>
      <c r="Q61" s="43">
        <f>P61*N61</f>
        <v>3.2610000000000001</v>
      </c>
      <c r="R61" s="41"/>
      <c r="S61" s="40"/>
    </row>
    <row r="62" spans="1:19" ht="36" x14ac:dyDescent="0.25">
      <c r="A62" s="1"/>
      <c r="B62" s="52">
        <f t="shared" si="0"/>
        <v>53</v>
      </c>
      <c r="C62" s="61" t="s">
        <v>13</v>
      </c>
      <c r="D62" s="38" t="s">
        <v>65</v>
      </c>
      <c r="E62" s="65" t="s">
        <v>151</v>
      </c>
      <c r="F62" s="39" t="s">
        <v>223</v>
      </c>
      <c r="G62" s="38" t="s">
        <v>278</v>
      </c>
      <c r="H62" s="39" t="s">
        <v>345</v>
      </c>
      <c r="I62" s="38" t="s">
        <v>437</v>
      </c>
      <c r="J62" s="39" t="s">
        <v>370</v>
      </c>
      <c r="K62" s="38" t="s">
        <v>437</v>
      </c>
      <c r="L62" s="39">
        <v>1</v>
      </c>
      <c r="M62" s="38">
        <f t="shared" ref="M62" si="53">L62*5</f>
        <v>5</v>
      </c>
      <c r="N62" s="38">
        <v>10</v>
      </c>
      <c r="O62" s="66" t="s">
        <v>457</v>
      </c>
      <c r="P62" s="53">
        <v>4.3700000000000003E-2</v>
      </c>
      <c r="Q62" s="42">
        <f t="shared" ref="Q62" si="54">P62*N62</f>
        <v>0.43700000000000006</v>
      </c>
      <c r="R62" s="39"/>
      <c r="S62" s="38"/>
    </row>
    <row r="63" spans="1:19" ht="24" x14ac:dyDescent="0.25">
      <c r="A63" s="1"/>
      <c r="B63" s="51">
        <f>ROW(B63) - ROW($B$9)</f>
        <v>54</v>
      </c>
      <c r="C63" s="62" t="s">
        <v>14</v>
      </c>
      <c r="D63" s="40" t="s">
        <v>66</v>
      </c>
      <c r="E63" s="40" t="s">
        <v>152</v>
      </c>
      <c r="F63" s="41" t="s">
        <v>226</v>
      </c>
      <c r="G63" s="40" t="s">
        <v>279</v>
      </c>
      <c r="H63" s="41" t="s">
        <v>315</v>
      </c>
      <c r="I63" s="40" t="s">
        <v>437</v>
      </c>
      <c r="J63" s="41" t="s">
        <v>505</v>
      </c>
      <c r="K63" s="40" t="s">
        <v>396</v>
      </c>
      <c r="L63" s="41">
        <v>1</v>
      </c>
      <c r="M63" s="40">
        <f>L63*5</f>
        <v>5</v>
      </c>
      <c r="N63" s="41">
        <v>100</v>
      </c>
      <c r="O63" s="67" t="s">
        <v>457</v>
      </c>
      <c r="P63" s="54">
        <v>2.0999999999999999E-3</v>
      </c>
      <c r="Q63" s="43">
        <f>P63*N63</f>
        <v>0.21</v>
      </c>
      <c r="R63" s="41"/>
      <c r="S63" s="40"/>
    </row>
    <row r="64" spans="1:19" x14ac:dyDescent="0.25">
      <c r="A64" s="1"/>
      <c r="B64" s="52">
        <f t="shared" si="0"/>
        <v>55</v>
      </c>
      <c r="C64" s="61" t="s">
        <v>14</v>
      </c>
      <c r="D64" s="38" t="s">
        <v>67</v>
      </c>
      <c r="E64" s="65" t="s">
        <v>153</v>
      </c>
      <c r="F64" s="39" t="s">
        <v>226</v>
      </c>
      <c r="G64" s="38" t="s">
        <v>280</v>
      </c>
      <c r="H64" s="39" t="s">
        <v>315</v>
      </c>
      <c r="I64" s="38" t="s">
        <v>437</v>
      </c>
      <c r="J64" s="39" t="s">
        <v>506</v>
      </c>
      <c r="K64" s="38" t="s">
        <v>397</v>
      </c>
      <c r="L64" s="39">
        <v>1</v>
      </c>
      <c r="M64" s="38">
        <f t="shared" ref="M64" si="55">L64*5</f>
        <v>5</v>
      </c>
      <c r="N64" s="38">
        <v>100</v>
      </c>
      <c r="O64" s="66" t="s">
        <v>457</v>
      </c>
      <c r="P64" s="53">
        <v>1.1999999999999999E-3</v>
      </c>
      <c r="Q64" s="42">
        <f t="shared" ref="Q64" si="56">P64*N64</f>
        <v>0.12</v>
      </c>
      <c r="R64" s="39"/>
      <c r="S64" s="38"/>
    </row>
    <row r="65" spans="1:19" ht="36" x14ac:dyDescent="0.25">
      <c r="A65" s="1"/>
      <c r="B65" s="51">
        <f>ROW(B65) - ROW($B$9)</f>
        <v>56</v>
      </c>
      <c r="C65" s="62" t="s">
        <v>14</v>
      </c>
      <c r="D65" s="40" t="s">
        <v>68</v>
      </c>
      <c r="E65" s="40" t="s">
        <v>154</v>
      </c>
      <c r="F65" s="41" t="s">
        <v>226</v>
      </c>
      <c r="G65" s="40" t="s">
        <v>436</v>
      </c>
      <c r="H65" s="41" t="s">
        <v>346</v>
      </c>
      <c r="I65" s="40" t="s">
        <v>437</v>
      </c>
      <c r="J65" s="41" t="s">
        <v>507</v>
      </c>
      <c r="K65" s="40" t="s">
        <v>398</v>
      </c>
      <c r="L65" s="41">
        <v>1</v>
      </c>
      <c r="M65" s="40">
        <f>L65*5</f>
        <v>5</v>
      </c>
      <c r="N65" s="41">
        <v>50</v>
      </c>
      <c r="O65" s="67" t="s">
        <v>457</v>
      </c>
      <c r="P65" s="54">
        <v>3.8E-3</v>
      </c>
      <c r="Q65" s="43">
        <f>P65*N65</f>
        <v>0.19</v>
      </c>
      <c r="R65" s="41"/>
      <c r="S65" s="40"/>
    </row>
    <row r="66" spans="1:19" ht="24" x14ac:dyDescent="0.25">
      <c r="A66" s="1"/>
      <c r="B66" s="51">
        <f>ROW(B66) - ROW($B$9)</f>
        <v>57</v>
      </c>
      <c r="C66" s="61" t="s">
        <v>14</v>
      </c>
      <c r="D66" s="38" t="s">
        <v>455</v>
      </c>
      <c r="E66" s="65" t="s">
        <v>549</v>
      </c>
      <c r="F66" s="39" t="s">
        <v>227</v>
      </c>
      <c r="G66" s="38" t="s">
        <v>281</v>
      </c>
      <c r="H66" s="39" t="s">
        <v>315</v>
      </c>
      <c r="I66" s="38" t="s">
        <v>437</v>
      </c>
      <c r="J66" s="39" t="s">
        <v>376</v>
      </c>
      <c r="K66" s="38" t="s">
        <v>400</v>
      </c>
      <c r="L66" s="39">
        <v>15</v>
      </c>
      <c r="M66" s="38">
        <f>L66*5</f>
        <v>75</v>
      </c>
      <c r="N66" s="38">
        <v>100</v>
      </c>
      <c r="O66" s="66" t="s">
        <v>457</v>
      </c>
      <c r="P66" s="53">
        <v>1.1999999999999999E-3</v>
      </c>
      <c r="Q66" s="42">
        <f>P66*N66</f>
        <v>0.12</v>
      </c>
      <c r="R66" s="39"/>
      <c r="S66" s="38"/>
    </row>
    <row r="67" spans="1:19" x14ac:dyDescent="0.25">
      <c r="A67" s="1"/>
      <c r="B67" s="52">
        <f t="shared" si="0"/>
        <v>58</v>
      </c>
      <c r="C67" s="62" t="s">
        <v>14</v>
      </c>
      <c r="D67" s="40" t="s">
        <v>69</v>
      </c>
      <c r="E67" s="40" t="s">
        <v>155</v>
      </c>
      <c r="F67" s="41" t="s">
        <v>226</v>
      </c>
      <c r="G67" s="40" t="s">
        <v>282</v>
      </c>
      <c r="H67" s="41" t="s">
        <v>315</v>
      </c>
      <c r="I67" s="40" t="s">
        <v>437</v>
      </c>
      <c r="J67" s="41" t="s">
        <v>508</v>
      </c>
      <c r="K67" s="40" t="s">
        <v>401</v>
      </c>
      <c r="L67" s="41">
        <v>2</v>
      </c>
      <c r="M67" s="40">
        <f t="shared" ref="M67" si="57">L67*5</f>
        <v>10</v>
      </c>
      <c r="N67" s="41">
        <v>100</v>
      </c>
      <c r="O67" s="67" t="s">
        <v>457</v>
      </c>
      <c r="P67" s="54">
        <v>1.5E-3</v>
      </c>
      <c r="Q67" s="43">
        <f t="shared" ref="Q67" si="58">P67*N67</f>
        <v>0.15</v>
      </c>
      <c r="R67" s="41"/>
      <c r="S67" s="40"/>
    </row>
    <row r="68" spans="1:19" ht="36" x14ac:dyDescent="0.25">
      <c r="A68" s="1"/>
      <c r="B68" s="51">
        <f>ROW(B68) - ROW($B$9)</f>
        <v>59</v>
      </c>
      <c r="C68" s="61" t="s">
        <v>14</v>
      </c>
      <c r="D68" s="38" t="s">
        <v>70</v>
      </c>
      <c r="E68" s="65" t="s">
        <v>156</v>
      </c>
      <c r="F68" s="39" t="s">
        <v>226</v>
      </c>
      <c r="G68" s="38" t="s">
        <v>283</v>
      </c>
      <c r="H68" s="39" t="s">
        <v>347</v>
      </c>
      <c r="I68" s="38" t="s">
        <v>437</v>
      </c>
      <c r="J68" s="39" t="s">
        <v>509</v>
      </c>
      <c r="K68" s="38" t="s">
        <v>402</v>
      </c>
      <c r="L68" s="39">
        <v>1</v>
      </c>
      <c r="M68" s="38">
        <f>L68*5</f>
        <v>5</v>
      </c>
      <c r="N68" s="38">
        <v>100</v>
      </c>
      <c r="O68" s="66" t="s">
        <v>457</v>
      </c>
      <c r="P68" s="53">
        <v>1.6999999999999999E-3</v>
      </c>
      <c r="Q68" s="42">
        <f>P68*N68</f>
        <v>0.16999999999999998</v>
      </c>
      <c r="R68" s="39"/>
      <c r="S68" s="38"/>
    </row>
    <row r="69" spans="1:19" ht="36" x14ac:dyDescent="0.25">
      <c r="A69" s="1"/>
      <c r="B69" s="52">
        <f t="shared" si="0"/>
        <v>60</v>
      </c>
      <c r="C69" s="62" t="s">
        <v>14</v>
      </c>
      <c r="D69" s="40" t="s">
        <v>449</v>
      </c>
      <c r="E69" s="40" t="s">
        <v>157</v>
      </c>
      <c r="F69" s="41" t="s">
        <v>227</v>
      </c>
      <c r="G69" s="40" t="s">
        <v>284</v>
      </c>
      <c r="H69" s="41" t="s">
        <v>315</v>
      </c>
      <c r="I69" s="40" t="s">
        <v>437</v>
      </c>
      <c r="J69" s="41" t="s">
        <v>371</v>
      </c>
      <c r="K69" s="40" t="s">
        <v>399</v>
      </c>
      <c r="L69" s="41">
        <v>20</v>
      </c>
      <c r="M69" s="40">
        <f t="shared" ref="M69" si="59">L69*5</f>
        <v>100</v>
      </c>
      <c r="N69" s="41">
        <v>200</v>
      </c>
      <c r="O69" s="67" t="s">
        <v>457</v>
      </c>
      <c r="P69" s="54">
        <v>1E-3</v>
      </c>
      <c r="Q69" s="43">
        <f t="shared" ref="Q69" si="60">P69*N69</f>
        <v>0.2</v>
      </c>
      <c r="R69" s="41"/>
      <c r="S69" s="40"/>
    </row>
    <row r="70" spans="1:19" x14ac:dyDescent="0.25">
      <c r="A70" s="1"/>
      <c r="B70" s="51">
        <f>ROW(B70) - ROW($B$9)</f>
        <v>61</v>
      </c>
      <c r="C70" s="61" t="s">
        <v>14</v>
      </c>
      <c r="D70" s="38" t="s">
        <v>71</v>
      </c>
      <c r="E70" s="65" t="s">
        <v>158</v>
      </c>
      <c r="F70" s="39" t="s">
        <v>227</v>
      </c>
      <c r="G70" s="38" t="s">
        <v>285</v>
      </c>
      <c r="H70" s="39" t="s">
        <v>315</v>
      </c>
      <c r="I70" s="38" t="s">
        <v>437</v>
      </c>
      <c r="J70" s="39" t="s">
        <v>530</v>
      </c>
      <c r="K70" s="38" t="s">
        <v>403</v>
      </c>
      <c r="L70" s="39">
        <v>1</v>
      </c>
      <c r="M70" s="38">
        <f>L70*5</f>
        <v>5</v>
      </c>
      <c r="N70" s="38">
        <v>100</v>
      </c>
      <c r="O70" s="66" t="s">
        <v>457</v>
      </c>
      <c r="P70" s="53">
        <v>1.1999999999999999E-3</v>
      </c>
      <c r="Q70" s="42">
        <f>P70*N70</f>
        <v>0.12</v>
      </c>
      <c r="R70" s="39"/>
      <c r="S70" s="38"/>
    </row>
    <row r="71" spans="1:19" x14ac:dyDescent="0.25">
      <c r="A71" s="1"/>
      <c r="B71" s="52">
        <f t="shared" si="0"/>
        <v>62</v>
      </c>
      <c r="C71" s="62" t="s">
        <v>14</v>
      </c>
      <c r="D71" s="40" t="s">
        <v>72</v>
      </c>
      <c r="E71" s="40" t="s">
        <v>159</v>
      </c>
      <c r="F71" s="41" t="s">
        <v>226</v>
      </c>
      <c r="G71" s="40" t="s">
        <v>286</v>
      </c>
      <c r="H71" s="41" t="s">
        <v>315</v>
      </c>
      <c r="I71" s="40" t="s">
        <v>437</v>
      </c>
      <c r="J71" s="41" t="s">
        <v>510</v>
      </c>
      <c r="K71" s="40" t="s">
        <v>404</v>
      </c>
      <c r="L71" s="41">
        <v>3</v>
      </c>
      <c r="M71" s="40">
        <f t="shared" ref="M71" si="61">L71*5</f>
        <v>15</v>
      </c>
      <c r="N71" s="41">
        <v>100</v>
      </c>
      <c r="O71" s="67" t="s">
        <v>457</v>
      </c>
      <c r="P71" s="54">
        <v>1.1999999999999999E-3</v>
      </c>
      <c r="Q71" s="43">
        <f t="shared" ref="Q71" si="62">P71*N71</f>
        <v>0.12</v>
      </c>
      <c r="R71" s="41"/>
      <c r="S71" s="40"/>
    </row>
    <row r="72" spans="1:19" x14ac:dyDescent="0.25">
      <c r="A72" s="1"/>
      <c r="B72" s="51">
        <f>ROW(B72) - ROW($B$9)</f>
        <v>63</v>
      </c>
      <c r="C72" s="61" t="s">
        <v>14</v>
      </c>
      <c r="D72" s="38" t="s">
        <v>454</v>
      </c>
      <c r="E72" s="65" t="s">
        <v>160</v>
      </c>
      <c r="F72" s="39" t="s">
        <v>226</v>
      </c>
      <c r="G72" s="38" t="s">
        <v>287</v>
      </c>
      <c r="H72" s="39" t="s">
        <v>348</v>
      </c>
      <c r="I72" s="38" t="s">
        <v>437</v>
      </c>
      <c r="J72" s="39" t="s">
        <v>511</v>
      </c>
      <c r="K72" s="38" t="s">
        <v>405</v>
      </c>
      <c r="L72" s="39">
        <v>8</v>
      </c>
      <c r="M72" s="38">
        <f>L72*5</f>
        <v>40</v>
      </c>
      <c r="N72" s="38">
        <v>100</v>
      </c>
      <c r="O72" s="66" t="s">
        <v>457</v>
      </c>
      <c r="P72" s="53">
        <v>1.1999999999999999E-3</v>
      </c>
      <c r="Q72" s="42">
        <f>P72*N72</f>
        <v>0.12</v>
      </c>
      <c r="R72" s="39"/>
      <c r="S72" s="38"/>
    </row>
    <row r="73" spans="1:19" x14ac:dyDescent="0.25">
      <c r="A73" s="1"/>
      <c r="B73" s="52">
        <f t="shared" si="0"/>
        <v>64</v>
      </c>
      <c r="C73" s="62" t="s">
        <v>14</v>
      </c>
      <c r="D73" s="40" t="s">
        <v>73</v>
      </c>
      <c r="E73" s="40" t="s">
        <v>161</v>
      </c>
      <c r="F73" s="41" t="s">
        <v>226</v>
      </c>
      <c r="G73" s="40" t="s">
        <v>288</v>
      </c>
      <c r="H73" s="41" t="s">
        <v>315</v>
      </c>
      <c r="I73" s="40" t="s">
        <v>437</v>
      </c>
      <c r="J73" s="41" t="s">
        <v>531</v>
      </c>
      <c r="K73" s="40" t="s">
        <v>406</v>
      </c>
      <c r="L73" s="41">
        <v>2</v>
      </c>
      <c r="M73" s="40">
        <f t="shared" ref="M73" si="63">L73*5</f>
        <v>10</v>
      </c>
      <c r="N73" s="41">
        <v>100</v>
      </c>
      <c r="O73" s="67" t="s">
        <v>457</v>
      </c>
      <c r="P73" s="54">
        <v>1.1999999999999999E-3</v>
      </c>
      <c r="Q73" s="43">
        <f t="shared" ref="Q73" si="64">P73*N73</f>
        <v>0.12</v>
      </c>
      <c r="R73" s="41"/>
      <c r="S73" s="40"/>
    </row>
    <row r="74" spans="1:19" ht="24" x14ac:dyDescent="0.25">
      <c r="A74" s="1"/>
      <c r="B74" s="51">
        <f>ROW(B74) - ROW($B$9)</f>
        <v>65</v>
      </c>
      <c r="C74" s="61" t="s">
        <v>14</v>
      </c>
      <c r="D74" s="38" t="s">
        <v>451</v>
      </c>
      <c r="E74" s="65" t="s">
        <v>162</v>
      </c>
      <c r="F74" s="39" t="s">
        <v>226</v>
      </c>
      <c r="G74" s="38" t="s">
        <v>289</v>
      </c>
      <c r="H74" s="39" t="s">
        <v>315</v>
      </c>
      <c r="I74" s="38" t="s">
        <v>437</v>
      </c>
      <c r="J74" s="39" t="s">
        <v>512</v>
      </c>
      <c r="K74" s="38" t="s">
        <v>407</v>
      </c>
      <c r="L74" s="39">
        <v>13</v>
      </c>
      <c r="M74" s="38">
        <f>L74*5</f>
        <v>65</v>
      </c>
      <c r="N74" s="38">
        <v>100</v>
      </c>
      <c r="O74" s="66" t="s">
        <v>457</v>
      </c>
      <c r="P74" s="53">
        <v>1E-3</v>
      </c>
      <c r="Q74" s="42">
        <f>P74*N74</f>
        <v>0.1</v>
      </c>
      <c r="R74" s="39"/>
      <c r="S74" s="38"/>
    </row>
    <row r="75" spans="1:19" x14ac:dyDescent="0.25">
      <c r="A75" s="1"/>
      <c r="B75" s="52">
        <f t="shared" si="0"/>
        <v>66</v>
      </c>
      <c r="C75" s="62" t="s">
        <v>14</v>
      </c>
      <c r="D75" s="40" t="s">
        <v>550</v>
      </c>
      <c r="E75" s="40" t="s">
        <v>163</v>
      </c>
      <c r="F75" s="41" t="s">
        <v>227</v>
      </c>
      <c r="G75" s="40" t="s">
        <v>290</v>
      </c>
      <c r="H75" s="41" t="s">
        <v>315</v>
      </c>
      <c r="I75" s="40" t="s">
        <v>437</v>
      </c>
      <c r="J75" s="41" t="s">
        <v>532</v>
      </c>
      <c r="K75" s="40" t="s">
        <v>409</v>
      </c>
      <c r="L75" s="41">
        <v>2</v>
      </c>
      <c r="M75" s="40">
        <f t="shared" ref="M75" si="65">L75*5</f>
        <v>10</v>
      </c>
      <c r="N75" s="41">
        <v>20</v>
      </c>
      <c r="O75" s="67" t="s">
        <v>457</v>
      </c>
      <c r="P75" s="54">
        <v>2.92E-2</v>
      </c>
      <c r="Q75" s="43">
        <f t="shared" ref="Q75" si="66">P75*N75</f>
        <v>0.58399999999999996</v>
      </c>
      <c r="R75" s="41"/>
      <c r="S75" s="40"/>
    </row>
    <row r="76" spans="1:19" x14ac:dyDescent="0.25">
      <c r="A76" s="1"/>
      <c r="B76" s="51">
        <f>ROW(B76) - ROW($B$9)</f>
        <v>67</v>
      </c>
      <c r="C76" s="61" t="s">
        <v>14</v>
      </c>
      <c r="D76" s="38" t="s">
        <v>74</v>
      </c>
      <c r="E76" s="65" t="s">
        <v>164</v>
      </c>
      <c r="F76" s="39" t="s">
        <v>227</v>
      </c>
      <c r="G76" s="38" t="s">
        <v>291</v>
      </c>
      <c r="H76" s="39" t="s">
        <v>315</v>
      </c>
      <c r="I76" s="38" t="s">
        <v>437</v>
      </c>
      <c r="J76" s="39" t="s">
        <v>533</v>
      </c>
      <c r="K76" s="38" t="s">
        <v>410</v>
      </c>
      <c r="L76" s="39">
        <v>1</v>
      </c>
      <c r="M76" s="38">
        <f>L76*5</f>
        <v>5</v>
      </c>
      <c r="N76" s="38">
        <v>20</v>
      </c>
      <c r="O76" s="66" t="s">
        <v>457</v>
      </c>
      <c r="P76" s="53">
        <v>0.03</v>
      </c>
      <c r="Q76" s="42">
        <f>P76*N76</f>
        <v>0.6</v>
      </c>
      <c r="R76" s="39"/>
      <c r="S76" s="38"/>
    </row>
    <row r="77" spans="1:19" x14ac:dyDescent="0.25">
      <c r="A77" s="1"/>
      <c r="B77" s="52">
        <f t="shared" si="0"/>
        <v>68</v>
      </c>
      <c r="C77" s="62" t="s">
        <v>14</v>
      </c>
      <c r="D77" s="40" t="s">
        <v>452</v>
      </c>
      <c r="E77" s="40" t="s">
        <v>165</v>
      </c>
      <c r="F77" s="41" t="s">
        <v>226</v>
      </c>
      <c r="G77" s="40" t="s">
        <v>292</v>
      </c>
      <c r="H77" s="41" t="s">
        <v>315</v>
      </c>
      <c r="I77" s="40" t="s">
        <v>437</v>
      </c>
      <c r="J77" s="41" t="s">
        <v>513</v>
      </c>
      <c r="K77" s="40" t="s">
        <v>411</v>
      </c>
      <c r="L77" s="41">
        <v>3</v>
      </c>
      <c r="M77" s="40">
        <f t="shared" ref="M77" si="67">L77*5</f>
        <v>15</v>
      </c>
      <c r="N77" s="41">
        <v>100</v>
      </c>
      <c r="O77" s="67" t="s">
        <v>457</v>
      </c>
      <c r="P77" s="54">
        <v>1.1999999999999999E-3</v>
      </c>
      <c r="Q77" s="43">
        <f t="shared" ref="Q77" si="68">P77*N77</f>
        <v>0.12</v>
      </c>
      <c r="R77" s="41"/>
      <c r="S77" s="40"/>
    </row>
    <row r="78" spans="1:19" ht="48" x14ac:dyDescent="0.25">
      <c r="A78" s="1"/>
      <c r="B78" s="51">
        <f>ROW(B78) - ROW($B$9)</f>
        <v>69</v>
      </c>
      <c r="C78" s="61" t="s">
        <v>14</v>
      </c>
      <c r="D78" s="38" t="s">
        <v>450</v>
      </c>
      <c r="E78" s="65" t="s">
        <v>166</v>
      </c>
      <c r="F78" s="39" t="s">
        <v>226</v>
      </c>
      <c r="G78" s="38" t="s">
        <v>293</v>
      </c>
      <c r="H78" s="39" t="s">
        <v>315</v>
      </c>
      <c r="I78" s="38" t="s">
        <v>437</v>
      </c>
      <c r="J78" s="39" t="s">
        <v>514</v>
      </c>
      <c r="K78" s="38" t="s">
        <v>408</v>
      </c>
      <c r="L78" s="39">
        <v>24</v>
      </c>
      <c r="M78" s="38">
        <f>L78*5</f>
        <v>120</v>
      </c>
      <c r="N78" s="38">
        <v>200</v>
      </c>
      <c r="O78" s="66" t="s">
        <v>457</v>
      </c>
      <c r="P78" s="53">
        <v>1.1999999999999999E-3</v>
      </c>
      <c r="Q78" s="42">
        <f>P78*N78</f>
        <v>0.24</v>
      </c>
      <c r="R78" s="39"/>
      <c r="S78" s="38"/>
    </row>
    <row r="79" spans="1:19" x14ac:dyDescent="0.25">
      <c r="A79" s="1"/>
      <c r="B79" s="52">
        <f t="shared" si="0"/>
        <v>70</v>
      </c>
      <c r="C79" s="62" t="s">
        <v>14</v>
      </c>
      <c r="D79" s="40" t="s">
        <v>75</v>
      </c>
      <c r="E79" s="40" t="s">
        <v>167</v>
      </c>
      <c r="F79" s="41" t="s">
        <v>228</v>
      </c>
      <c r="G79" s="40" t="s">
        <v>294</v>
      </c>
      <c r="H79" s="41" t="s">
        <v>315</v>
      </c>
      <c r="I79" s="40" t="s">
        <v>437</v>
      </c>
      <c r="J79" s="41" t="s">
        <v>372</v>
      </c>
      <c r="K79" s="40" t="s">
        <v>412</v>
      </c>
      <c r="L79" s="41">
        <v>1</v>
      </c>
      <c r="M79" s="40">
        <f t="shared" ref="M79" si="69">L79*5</f>
        <v>5</v>
      </c>
      <c r="N79" s="41">
        <v>100</v>
      </c>
      <c r="O79" s="67" t="s">
        <v>457</v>
      </c>
      <c r="P79" s="54">
        <v>2.2000000000000001E-3</v>
      </c>
      <c r="Q79" s="43">
        <f t="shared" ref="Q79" si="70">P79*N79</f>
        <v>0.22</v>
      </c>
      <c r="R79" s="41"/>
      <c r="S79" s="40"/>
    </row>
    <row r="80" spans="1:19" x14ac:dyDescent="0.25">
      <c r="A80" s="1"/>
      <c r="B80" s="51">
        <f>ROW(B80) - ROW($B$9)</f>
        <v>71</v>
      </c>
      <c r="C80" s="61" t="s">
        <v>14</v>
      </c>
      <c r="D80" s="38" t="s">
        <v>76</v>
      </c>
      <c r="E80" s="65" t="s">
        <v>168</v>
      </c>
      <c r="F80" s="39" t="s">
        <v>229</v>
      </c>
      <c r="G80" s="38" t="s">
        <v>295</v>
      </c>
      <c r="H80" s="39" t="s">
        <v>315</v>
      </c>
      <c r="I80" s="38" t="s">
        <v>437</v>
      </c>
      <c r="J80" s="39" t="s">
        <v>373</v>
      </c>
      <c r="K80" s="38" t="s">
        <v>407</v>
      </c>
      <c r="L80" s="39">
        <v>1</v>
      </c>
      <c r="M80" s="38">
        <f>L80*5</f>
        <v>5</v>
      </c>
      <c r="N80" s="38">
        <v>50</v>
      </c>
      <c r="O80" s="66" t="s">
        <v>457</v>
      </c>
      <c r="P80" s="53">
        <v>1.6899999999999998E-2</v>
      </c>
      <c r="Q80" s="42">
        <f>P80*N80</f>
        <v>0.84499999999999997</v>
      </c>
      <c r="R80" s="39"/>
      <c r="S80" s="38"/>
    </row>
    <row r="81" spans="1:19" x14ac:dyDescent="0.25">
      <c r="A81" s="1"/>
      <c r="B81" s="52">
        <f t="shared" si="0"/>
        <v>72</v>
      </c>
      <c r="C81" s="62" t="s">
        <v>14</v>
      </c>
      <c r="D81" s="40" t="s">
        <v>77</v>
      </c>
      <c r="E81" s="40" t="s">
        <v>169</v>
      </c>
      <c r="F81" s="41" t="s">
        <v>227</v>
      </c>
      <c r="G81" s="40" t="s">
        <v>296</v>
      </c>
      <c r="H81" s="41" t="s">
        <v>315</v>
      </c>
      <c r="I81" s="40" t="s">
        <v>437</v>
      </c>
      <c r="J81" s="41" t="s">
        <v>374</v>
      </c>
      <c r="K81" s="40" t="s">
        <v>413</v>
      </c>
      <c r="L81" s="41">
        <v>1</v>
      </c>
      <c r="M81" s="40">
        <f t="shared" ref="M81" si="71">L81*5</f>
        <v>5</v>
      </c>
      <c r="N81" s="41">
        <v>100</v>
      </c>
      <c r="O81" s="67" t="s">
        <v>457</v>
      </c>
      <c r="P81" s="54">
        <v>1.2999999999999999E-3</v>
      </c>
      <c r="Q81" s="43">
        <f t="shared" ref="Q81" si="72">P81*N81</f>
        <v>0.13</v>
      </c>
      <c r="R81" s="41"/>
      <c r="S81" s="40"/>
    </row>
    <row r="82" spans="1:19" x14ac:dyDescent="0.25">
      <c r="A82" s="1"/>
      <c r="B82" s="51">
        <f>ROW(B82) - ROW($B$9)</f>
        <v>73</v>
      </c>
      <c r="C82" s="61" t="s">
        <v>14</v>
      </c>
      <c r="D82" s="38" t="s">
        <v>78</v>
      </c>
      <c r="E82" s="65" t="s">
        <v>170</v>
      </c>
      <c r="F82" s="39" t="s">
        <v>226</v>
      </c>
      <c r="G82" s="38" t="s">
        <v>297</v>
      </c>
      <c r="H82" s="39" t="s">
        <v>315</v>
      </c>
      <c r="I82" s="38" t="s">
        <v>437</v>
      </c>
      <c r="J82" s="39" t="s">
        <v>539</v>
      </c>
      <c r="K82" s="38" t="s">
        <v>414</v>
      </c>
      <c r="L82" s="39">
        <v>2</v>
      </c>
      <c r="M82" s="38">
        <f>L82*5</f>
        <v>10</v>
      </c>
      <c r="N82" s="38">
        <v>100</v>
      </c>
      <c r="O82" s="66" t="s">
        <v>457</v>
      </c>
      <c r="P82" s="53">
        <v>1.1999999999999999E-3</v>
      </c>
      <c r="Q82" s="42">
        <f>P82*N82</f>
        <v>0.12</v>
      </c>
      <c r="R82" s="39"/>
      <c r="S82" s="38"/>
    </row>
    <row r="83" spans="1:19" x14ac:dyDescent="0.25">
      <c r="A83" s="1"/>
      <c r="B83" s="52">
        <f t="shared" si="0"/>
        <v>74</v>
      </c>
      <c r="C83" s="62" t="s">
        <v>14</v>
      </c>
      <c r="D83" s="40" t="s">
        <v>453</v>
      </c>
      <c r="E83" s="40" t="s">
        <v>171</v>
      </c>
      <c r="F83" s="41" t="s">
        <v>226</v>
      </c>
      <c r="G83" s="68" t="s">
        <v>298</v>
      </c>
      <c r="H83" s="41" t="s">
        <v>315</v>
      </c>
      <c r="I83" s="40" t="s">
        <v>541</v>
      </c>
      <c r="J83" s="41" t="s">
        <v>540</v>
      </c>
      <c r="K83" s="40" t="s">
        <v>412</v>
      </c>
      <c r="L83" s="41">
        <v>5</v>
      </c>
      <c r="M83" s="40">
        <f t="shared" ref="M83" si="73">L83*5</f>
        <v>25</v>
      </c>
      <c r="N83" s="41">
        <v>100</v>
      </c>
      <c r="O83" s="67" t="s">
        <v>457</v>
      </c>
      <c r="P83" s="54">
        <v>2E-3</v>
      </c>
      <c r="Q83" s="43">
        <f t="shared" ref="Q83" si="74">P83*N83</f>
        <v>0.2</v>
      </c>
      <c r="R83" s="41"/>
      <c r="S83" s="40"/>
    </row>
    <row r="84" spans="1:19" x14ac:dyDescent="0.25">
      <c r="A84" s="1"/>
      <c r="B84" s="51">
        <f>ROW(B84) - ROW($B$9)</f>
        <v>75</v>
      </c>
      <c r="C84" s="61" t="s">
        <v>14</v>
      </c>
      <c r="D84" s="38" t="s">
        <v>79</v>
      </c>
      <c r="E84" s="65" t="s">
        <v>542</v>
      </c>
      <c r="F84" s="39" t="s">
        <v>226</v>
      </c>
      <c r="G84" s="38" t="s">
        <v>299</v>
      </c>
      <c r="H84" s="39" t="s">
        <v>315</v>
      </c>
      <c r="I84" s="38" t="s">
        <v>437</v>
      </c>
      <c r="J84" s="39" t="s">
        <v>543</v>
      </c>
      <c r="K84" s="38" t="s">
        <v>415</v>
      </c>
      <c r="L84" s="39">
        <v>2</v>
      </c>
      <c r="M84" s="38">
        <f>L84*5</f>
        <v>10</v>
      </c>
      <c r="N84" s="38">
        <v>100</v>
      </c>
      <c r="O84" s="66" t="s">
        <v>457</v>
      </c>
      <c r="P84" s="53">
        <v>1.2999999999999999E-3</v>
      </c>
      <c r="Q84" s="42">
        <f>P84*N84</f>
        <v>0.13</v>
      </c>
      <c r="R84" s="39"/>
      <c r="S84" s="38"/>
    </row>
    <row r="85" spans="1:19" x14ac:dyDescent="0.25">
      <c r="A85" s="1"/>
      <c r="B85" s="52">
        <f t="shared" si="0"/>
        <v>76</v>
      </c>
      <c r="C85" s="62" t="s">
        <v>14</v>
      </c>
      <c r="D85" s="40" t="s">
        <v>80</v>
      </c>
      <c r="E85" s="40" t="s">
        <v>172</v>
      </c>
      <c r="F85" s="41" t="s">
        <v>227</v>
      </c>
      <c r="G85" s="40" t="s">
        <v>300</v>
      </c>
      <c r="H85" s="41" t="s">
        <v>315</v>
      </c>
      <c r="I85" s="40" t="s">
        <v>437</v>
      </c>
      <c r="J85" s="41" t="s">
        <v>375</v>
      </c>
      <c r="K85" s="40" t="s">
        <v>416</v>
      </c>
      <c r="L85" s="41">
        <v>2</v>
      </c>
      <c r="M85" s="40">
        <f t="shared" ref="M85" si="75">L85*5</f>
        <v>10</v>
      </c>
      <c r="N85" s="41">
        <v>100</v>
      </c>
      <c r="O85" s="67" t="s">
        <v>457</v>
      </c>
      <c r="P85" s="54">
        <v>1.1000000000000001E-3</v>
      </c>
      <c r="Q85" s="43">
        <f t="shared" ref="Q85" si="76">P85*N85</f>
        <v>0.11</v>
      </c>
      <c r="R85" s="41"/>
      <c r="S85" s="40"/>
    </row>
    <row r="86" spans="1:19" x14ac:dyDescent="0.25">
      <c r="A86" s="1"/>
      <c r="B86" s="51">
        <f>ROW(B86) - ROW($B$9)</f>
        <v>77</v>
      </c>
      <c r="C86" s="61" t="s">
        <v>14</v>
      </c>
      <c r="D86" s="38" t="s">
        <v>81</v>
      </c>
      <c r="E86" s="65" t="s">
        <v>173</v>
      </c>
      <c r="F86" s="39" t="s">
        <v>230</v>
      </c>
      <c r="G86" s="38" t="s">
        <v>516</v>
      </c>
      <c r="H86" s="39" t="s">
        <v>349</v>
      </c>
      <c r="I86" s="38" t="s">
        <v>437</v>
      </c>
      <c r="J86" s="39" t="s">
        <v>515</v>
      </c>
      <c r="K86" s="38" t="s">
        <v>417</v>
      </c>
      <c r="L86" s="39">
        <v>2</v>
      </c>
      <c r="M86" s="38">
        <f>L86*5</f>
        <v>10</v>
      </c>
      <c r="N86" s="38">
        <v>50</v>
      </c>
      <c r="O86" s="66" t="s">
        <v>457</v>
      </c>
      <c r="P86" s="53">
        <v>0.01</v>
      </c>
      <c r="Q86" s="42">
        <f>P86*N86</f>
        <v>0.5</v>
      </c>
      <c r="R86" s="39"/>
      <c r="S86" s="38"/>
    </row>
    <row r="87" spans="1:19" x14ac:dyDescent="0.25">
      <c r="A87" s="1"/>
      <c r="B87" s="52">
        <f t="shared" si="0"/>
        <v>78</v>
      </c>
      <c r="C87" s="62" t="s">
        <v>14</v>
      </c>
      <c r="D87" s="40" t="s">
        <v>82</v>
      </c>
      <c r="E87" s="40" t="s">
        <v>518</v>
      </c>
      <c r="F87" s="41" t="s">
        <v>226</v>
      </c>
      <c r="G87" s="40" t="s">
        <v>301</v>
      </c>
      <c r="H87" s="41" t="s">
        <v>315</v>
      </c>
      <c r="I87" s="40" t="s">
        <v>437</v>
      </c>
      <c r="J87" s="41" t="s">
        <v>517</v>
      </c>
      <c r="K87" s="40" t="s">
        <v>418</v>
      </c>
      <c r="L87" s="41">
        <v>2</v>
      </c>
      <c r="M87" s="40">
        <f t="shared" ref="M87" si="77">L87*5</f>
        <v>10</v>
      </c>
      <c r="N87" s="41">
        <v>100</v>
      </c>
      <c r="O87" s="67" t="s">
        <v>457</v>
      </c>
      <c r="P87" s="54">
        <v>1.1999999999999999E-3</v>
      </c>
      <c r="Q87" s="43">
        <f t="shared" ref="Q87" si="78">P87*N87</f>
        <v>0.12</v>
      </c>
      <c r="R87" s="41"/>
      <c r="S87" s="40"/>
    </row>
    <row r="88" spans="1:19" x14ac:dyDescent="0.25">
      <c r="A88" s="1"/>
      <c r="B88" s="51">
        <f>ROW(B88) - ROW($B$9)</f>
        <v>79</v>
      </c>
      <c r="C88" s="61" t="s">
        <v>14</v>
      </c>
      <c r="D88" s="38" t="s">
        <v>83</v>
      </c>
      <c r="E88" s="65" t="s">
        <v>174</v>
      </c>
      <c r="F88" s="39" t="s">
        <v>227</v>
      </c>
      <c r="G88" s="38" t="s">
        <v>302</v>
      </c>
      <c r="H88" s="39" t="s">
        <v>315</v>
      </c>
      <c r="I88" s="38" t="s">
        <v>437</v>
      </c>
      <c r="J88" s="39" t="s">
        <v>534</v>
      </c>
      <c r="K88" s="38" t="s">
        <v>419</v>
      </c>
      <c r="L88" s="39">
        <v>1</v>
      </c>
      <c r="M88" s="38">
        <f>L88*5</f>
        <v>5</v>
      </c>
      <c r="N88" s="38">
        <v>50</v>
      </c>
      <c r="O88" s="66" t="s">
        <v>457</v>
      </c>
      <c r="P88" s="53">
        <v>8.8000000000000005E-3</v>
      </c>
      <c r="Q88" s="42">
        <f>P88*N88</f>
        <v>0.44</v>
      </c>
      <c r="R88" s="39"/>
      <c r="S88" s="38"/>
    </row>
    <row r="89" spans="1:19" x14ac:dyDescent="0.25">
      <c r="A89" s="1"/>
      <c r="B89" s="52">
        <f t="shared" si="0"/>
        <v>80</v>
      </c>
      <c r="C89" s="62" t="s">
        <v>14</v>
      </c>
      <c r="D89" s="40" t="s">
        <v>84</v>
      </c>
      <c r="E89" s="40" t="s">
        <v>175</v>
      </c>
      <c r="F89" s="41" t="s">
        <v>227</v>
      </c>
      <c r="G89" s="40" t="s">
        <v>303</v>
      </c>
      <c r="H89" s="41" t="s">
        <v>315</v>
      </c>
      <c r="I89" s="40" t="s">
        <v>437</v>
      </c>
      <c r="J89" s="41" t="s">
        <v>535</v>
      </c>
      <c r="K89" s="40" t="s">
        <v>420</v>
      </c>
      <c r="L89" s="41">
        <v>1</v>
      </c>
      <c r="M89" s="40">
        <f t="shared" ref="M89" si="79">L89*5</f>
        <v>5</v>
      </c>
      <c r="N89" s="41">
        <v>20</v>
      </c>
      <c r="O89" s="67" t="s">
        <v>457</v>
      </c>
      <c r="P89" s="54">
        <v>2.7900000000000001E-2</v>
      </c>
      <c r="Q89" s="43">
        <f t="shared" ref="Q89" si="80">P89*N89</f>
        <v>0.55800000000000005</v>
      </c>
      <c r="R89" s="41"/>
      <c r="S89" s="40"/>
    </row>
    <row r="90" spans="1:19" ht="84" x14ac:dyDescent="0.25">
      <c r="A90" s="1"/>
      <c r="B90" s="52">
        <f t="shared" si="0"/>
        <v>81</v>
      </c>
      <c r="C90" s="75" t="s">
        <v>231</v>
      </c>
      <c r="D90" s="69" t="s">
        <v>85</v>
      </c>
      <c r="E90" s="69" t="s">
        <v>176</v>
      </c>
      <c r="F90" s="76" t="s">
        <v>426</v>
      </c>
      <c r="G90" s="69" t="s">
        <v>231</v>
      </c>
      <c r="H90" s="76" t="s">
        <v>437</v>
      </c>
      <c r="I90" s="69" t="s">
        <v>437</v>
      </c>
      <c r="J90" s="76" t="s">
        <v>437</v>
      </c>
      <c r="K90" s="69" t="s">
        <v>437</v>
      </c>
      <c r="L90" s="76">
        <v>42</v>
      </c>
      <c r="M90" s="69">
        <f t="shared" ref="M90" si="81">L90*5</f>
        <v>210</v>
      </c>
      <c r="N90" s="69" t="s">
        <v>437</v>
      </c>
      <c r="O90" s="77" t="s">
        <v>437</v>
      </c>
      <c r="P90" s="78" t="s">
        <v>437</v>
      </c>
      <c r="Q90" s="79" t="s">
        <v>437</v>
      </c>
      <c r="R90" s="76"/>
      <c r="S90" s="69"/>
    </row>
    <row r="91" spans="1:19" x14ac:dyDescent="0.25">
      <c r="A91" s="1"/>
      <c r="B91" s="51">
        <f>ROW(B91) - ROW($B$9)</f>
        <v>82</v>
      </c>
      <c r="C91" s="62" t="s">
        <v>536</v>
      </c>
      <c r="D91" s="40" t="s">
        <v>86</v>
      </c>
      <c r="E91" s="40" t="s">
        <v>177</v>
      </c>
      <c r="F91" s="41" t="s">
        <v>426</v>
      </c>
      <c r="G91" s="40" t="s">
        <v>232</v>
      </c>
      <c r="H91" s="41" t="s">
        <v>350</v>
      </c>
      <c r="I91" s="40" t="s">
        <v>437</v>
      </c>
      <c r="J91" s="41" t="s">
        <v>519</v>
      </c>
      <c r="K91" s="40" t="s">
        <v>437</v>
      </c>
      <c r="L91" s="41">
        <v>7</v>
      </c>
      <c r="M91" s="40">
        <f>L91*5</f>
        <v>35</v>
      </c>
      <c r="N91" s="41">
        <v>37</v>
      </c>
      <c r="O91" s="67" t="s">
        <v>457</v>
      </c>
      <c r="P91" s="54">
        <v>0.6905</v>
      </c>
      <c r="Q91" s="43">
        <f>P91*N91</f>
        <v>25.548500000000001</v>
      </c>
      <c r="R91" s="41"/>
      <c r="S91" s="40"/>
    </row>
    <row r="92" spans="1:19" x14ac:dyDescent="0.25">
      <c r="A92" s="1"/>
      <c r="B92" s="52">
        <f t="shared" si="0"/>
        <v>83</v>
      </c>
      <c r="C92" s="61" t="s">
        <v>537</v>
      </c>
      <c r="D92" s="38" t="s">
        <v>87</v>
      </c>
      <c r="E92" s="65" t="s">
        <v>178</v>
      </c>
      <c r="F92" s="39" t="s">
        <v>233</v>
      </c>
      <c r="G92" s="38" t="s">
        <v>304</v>
      </c>
      <c r="H92" s="39" t="s">
        <v>351</v>
      </c>
      <c r="I92" s="38"/>
      <c r="J92" s="39" t="s">
        <v>437</v>
      </c>
      <c r="K92" s="38" t="s">
        <v>437</v>
      </c>
      <c r="L92" s="39">
        <v>2</v>
      </c>
      <c r="M92" s="38">
        <f t="shared" ref="M92" si="82">L92*5</f>
        <v>10</v>
      </c>
      <c r="N92" s="38">
        <v>12</v>
      </c>
      <c r="O92" s="66" t="s">
        <v>544</v>
      </c>
      <c r="P92" s="53">
        <v>8.8239999999999998</v>
      </c>
      <c r="Q92" s="42">
        <f t="shared" ref="Q92" si="83">P92*N92</f>
        <v>105.88800000000001</v>
      </c>
      <c r="R92" s="39"/>
      <c r="S92" s="38"/>
    </row>
    <row r="93" spans="1:19" ht="36" x14ac:dyDescent="0.25">
      <c r="A93" s="1"/>
      <c r="B93" s="51">
        <f>ROW(B93) - ROW($B$9)</f>
        <v>84</v>
      </c>
      <c r="C93" s="62" t="s">
        <v>537</v>
      </c>
      <c r="D93" s="40" t="s">
        <v>88</v>
      </c>
      <c r="E93" s="40" t="s">
        <v>179</v>
      </c>
      <c r="F93" s="41" t="s">
        <v>233</v>
      </c>
      <c r="G93" s="40" t="s">
        <v>305</v>
      </c>
      <c r="H93" s="41" t="s">
        <v>352</v>
      </c>
      <c r="I93" s="40" t="s">
        <v>437</v>
      </c>
      <c r="J93" s="41" t="s">
        <v>520</v>
      </c>
      <c r="K93" s="40" t="s">
        <v>437</v>
      </c>
      <c r="L93" s="41">
        <v>1</v>
      </c>
      <c r="M93" s="40">
        <f>L93*5</f>
        <v>5</v>
      </c>
      <c r="N93" s="41">
        <v>6</v>
      </c>
      <c r="O93" s="67" t="s">
        <v>457</v>
      </c>
      <c r="P93" s="54">
        <v>0.39779999999999999</v>
      </c>
      <c r="Q93" s="43">
        <f>P93*N93</f>
        <v>2.3868</v>
      </c>
      <c r="R93" s="41"/>
      <c r="S93" s="40"/>
    </row>
    <row r="94" spans="1:19" x14ac:dyDescent="0.25">
      <c r="A94" s="1"/>
      <c r="B94" s="52">
        <f t="shared" si="0"/>
        <v>85</v>
      </c>
      <c r="C94" s="61" t="s">
        <v>537</v>
      </c>
      <c r="D94" s="38" t="s">
        <v>89</v>
      </c>
      <c r="E94" s="65" t="s">
        <v>180</v>
      </c>
      <c r="F94" s="39" t="s">
        <v>234</v>
      </c>
      <c r="G94" s="38" t="s">
        <v>306</v>
      </c>
      <c r="H94" s="39" t="s">
        <v>352</v>
      </c>
      <c r="I94" s="38" t="s">
        <v>437</v>
      </c>
      <c r="J94" s="39" t="s">
        <v>521</v>
      </c>
      <c r="K94" s="38" t="s">
        <v>437</v>
      </c>
      <c r="L94" s="39">
        <v>1</v>
      </c>
      <c r="M94" s="38">
        <f t="shared" ref="M94" si="84">L94*5</f>
        <v>5</v>
      </c>
      <c r="N94" s="38">
        <v>6</v>
      </c>
      <c r="O94" s="66" t="s">
        <v>457</v>
      </c>
      <c r="P94" s="53">
        <v>1.0309999999999999</v>
      </c>
      <c r="Q94" s="42">
        <f t="shared" ref="Q94" si="85">P94*N94</f>
        <v>6.1859999999999999</v>
      </c>
      <c r="R94" s="39"/>
      <c r="S94" s="38"/>
    </row>
    <row r="95" spans="1:19" x14ac:dyDescent="0.25">
      <c r="A95" s="1"/>
      <c r="B95" s="51">
        <f>ROW(B95) - ROW($B$9)</f>
        <v>86</v>
      </c>
      <c r="C95" s="62" t="s">
        <v>537</v>
      </c>
      <c r="D95" s="40" t="s">
        <v>90</v>
      </c>
      <c r="E95" s="40" t="s">
        <v>181</v>
      </c>
      <c r="F95" s="41" t="s">
        <v>235</v>
      </c>
      <c r="G95" s="40" t="s">
        <v>307</v>
      </c>
      <c r="H95" s="41" t="s">
        <v>353</v>
      </c>
      <c r="I95" s="40" t="s">
        <v>437</v>
      </c>
      <c r="J95" s="41" t="s">
        <v>522</v>
      </c>
      <c r="K95" s="40" t="s">
        <v>437</v>
      </c>
      <c r="L95" s="41">
        <v>1</v>
      </c>
      <c r="M95" s="40">
        <f>L95*5</f>
        <v>5</v>
      </c>
      <c r="N95" s="41">
        <v>6</v>
      </c>
      <c r="O95" s="67" t="s">
        <v>457</v>
      </c>
      <c r="P95" s="54">
        <v>7.3596000000000004</v>
      </c>
      <c r="Q95" s="43">
        <f>P95*N95</f>
        <v>44.157600000000002</v>
      </c>
      <c r="R95" s="41"/>
      <c r="S95" s="40"/>
    </row>
    <row r="96" spans="1:19" x14ac:dyDescent="0.25">
      <c r="A96" s="1"/>
      <c r="B96" s="52">
        <f t="shared" si="0"/>
        <v>87</v>
      </c>
      <c r="C96" s="61" t="s">
        <v>537</v>
      </c>
      <c r="D96" s="38" t="s">
        <v>91</v>
      </c>
      <c r="E96" s="65" t="s">
        <v>182</v>
      </c>
      <c r="F96" s="39" t="s">
        <v>233</v>
      </c>
      <c r="G96" s="38" t="s">
        <v>308</v>
      </c>
      <c r="H96" s="39" t="s">
        <v>321</v>
      </c>
      <c r="I96" s="38" t="s">
        <v>437</v>
      </c>
      <c r="J96" s="39" t="s">
        <v>437</v>
      </c>
      <c r="K96" s="38" t="s">
        <v>437</v>
      </c>
      <c r="L96" s="39">
        <v>1</v>
      </c>
      <c r="M96" s="38">
        <f t="shared" ref="M96" si="86">L96*5</f>
        <v>5</v>
      </c>
      <c r="N96" s="38">
        <v>8</v>
      </c>
      <c r="O96" s="66" t="s">
        <v>544</v>
      </c>
      <c r="P96" s="53">
        <v>6.944</v>
      </c>
      <c r="Q96" s="42">
        <f t="shared" ref="Q96" si="87">P96*N96</f>
        <v>55.552</v>
      </c>
      <c r="R96" s="39"/>
      <c r="S96" s="38"/>
    </row>
    <row r="97" spans="1:19" ht="24" x14ac:dyDescent="0.25">
      <c r="A97" s="1"/>
      <c r="B97" s="51">
        <f>ROW(B97) - ROW($B$9)</f>
        <v>88</v>
      </c>
      <c r="C97" s="62" t="s">
        <v>537</v>
      </c>
      <c r="D97" s="40" t="s">
        <v>92</v>
      </c>
      <c r="E97" s="40" t="s">
        <v>183</v>
      </c>
      <c r="F97" s="41" t="s">
        <v>440</v>
      </c>
      <c r="G97" s="40" t="s">
        <v>236</v>
      </c>
      <c r="H97" s="41" t="s">
        <v>354</v>
      </c>
      <c r="I97" s="40" t="s">
        <v>437</v>
      </c>
      <c r="J97" s="41" t="s">
        <v>437</v>
      </c>
      <c r="K97" s="40" t="s">
        <v>437</v>
      </c>
      <c r="L97" s="41">
        <v>1</v>
      </c>
      <c r="M97" s="40">
        <f>L97*5</f>
        <v>5</v>
      </c>
      <c r="N97" s="41">
        <v>7</v>
      </c>
      <c r="O97" s="67" t="s">
        <v>544</v>
      </c>
      <c r="P97" s="54">
        <v>8.2669999999999995</v>
      </c>
      <c r="Q97" s="43">
        <f>P97*N97</f>
        <v>57.869</v>
      </c>
      <c r="R97" s="41"/>
      <c r="S97" s="40"/>
    </row>
    <row r="98" spans="1:19" ht="24" x14ac:dyDescent="0.25">
      <c r="A98" s="1"/>
      <c r="B98" s="52">
        <f t="shared" si="0"/>
        <v>89</v>
      </c>
      <c r="C98" s="61" t="s">
        <v>537</v>
      </c>
      <c r="D98" s="38" t="s">
        <v>93</v>
      </c>
      <c r="E98" s="65" t="s">
        <v>184</v>
      </c>
      <c r="F98" s="39" t="s">
        <v>438</v>
      </c>
      <c r="G98" s="38" t="s">
        <v>237</v>
      </c>
      <c r="H98" s="39" t="s">
        <v>355</v>
      </c>
      <c r="I98" s="38" t="s">
        <v>437</v>
      </c>
      <c r="J98" s="39" t="s">
        <v>523</v>
      </c>
      <c r="K98" s="38" t="s">
        <v>437</v>
      </c>
      <c r="L98" s="39">
        <v>4</v>
      </c>
      <c r="M98" s="38">
        <f t="shared" ref="M98" si="88">L98*5</f>
        <v>20</v>
      </c>
      <c r="N98" s="38">
        <v>25</v>
      </c>
      <c r="O98" s="66" t="s">
        <v>457</v>
      </c>
      <c r="P98" s="53">
        <v>0.41510000000000002</v>
      </c>
      <c r="Q98" s="42">
        <f t="shared" ref="Q98" si="89">P98*N98</f>
        <v>10.377500000000001</v>
      </c>
      <c r="R98" s="39"/>
      <c r="S98" s="38"/>
    </row>
    <row r="99" spans="1:19" x14ac:dyDescent="0.25">
      <c r="A99" s="1"/>
      <c r="B99" s="51">
        <f>ROW(B99) - ROW($B$9)</f>
        <v>90</v>
      </c>
      <c r="C99" s="62" t="s">
        <v>537</v>
      </c>
      <c r="D99" s="40" t="s">
        <v>94</v>
      </c>
      <c r="E99" s="40" t="s">
        <v>185</v>
      </c>
      <c r="F99" s="41" t="s">
        <v>238</v>
      </c>
      <c r="G99" s="40" t="s">
        <v>309</v>
      </c>
      <c r="H99" s="41" t="s">
        <v>352</v>
      </c>
      <c r="I99" s="40" t="s">
        <v>437</v>
      </c>
      <c r="J99" s="41" t="s">
        <v>524</v>
      </c>
      <c r="K99" s="40" t="s">
        <v>437</v>
      </c>
      <c r="L99" s="41">
        <v>3</v>
      </c>
      <c r="M99" s="40">
        <f>L99*5</f>
        <v>15</v>
      </c>
      <c r="N99" s="41">
        <v>20</v>
      </c>
      <c r="O99" s="67" t="s">
        <v>457</v>
      </c>
      <c r="P99" s="54">
        <v>0.24310000000000001</v>
      </c>
      <c r="Q99" s="43">
        <f>P99*N99</f>
        <v>4.8620000000000001</v>
      </c>
      <c r="R99" s="41"/>
      <c r="S99" s="40"/>
    </row>
    <row r="100" spans="1:19" s="71" customFormat="1" ht="36" x14ac:dyDescent="0.25">
      <c r="A100" s="70"/>
      <c r="B100" s="52">
        <f t="shared" si="0"/>
        <v>91</v>
      </c>
      <c r="C100" s="61" t="s">
        <v>537</v>
      </c>
      <c r="D100" s="38" t="s">
        <v>95</v>
      </c>
      <c r="E100" s="65" t="s">
        <v>186</v>
      </c>
      <c r="F100" s="39" t="s">
        <v>239</v>
      </c>
      <c r="G100" s="38" t="s">
        <v>310</v>
      </c>
      <c r="H100" s="39" t="s">
        <v>352</v>
      </c>
      <c r="I100" s="38" t="s">
        <v>437</v>
      </c>
      <c r="J100" s="39" t="s">
        <v>525</v>
      </c>
      <c r="K100" s="38" t="s">
        <v>437</v>
      </c>
      <c r="L100" s="39">
        <v>1</v>
      </c>
      <c r="M100" s="38">
        <f t="shared" ref="M100" si="90">L100*5</f>
        <v>5</v>
      </c>
      <c r="N100" s="38">
        <v>11</v>
      </c>
      <c r="O100" s="66" t="s">
        <v>544</v>
      </c>
      <c r="P100" s="53">
        <v>4.7060000000000004</v>
      </c>
      <c r="Q100" s="42">
        <f t="shared" ref="Q100" si="91">P100*N100</f>
        <v>51.766000000000005</v>
      </c>
      <c r="R100" s="72" t="s">
        <v>546</v>
      </c>
      <c r="S100" s="38"/>
    </row>
    <row r="101" spans="1:19" x14ac:dyDescent="0.25">
      <c r="A101" s="1"/>
      <c r="B101" s="51">
        <f>ROW(B101) - ROW($B$9)</f>
        <v>92</v>
      </c>
      <c r="C101" s="62" t="s">
        <v>537</v>
      </c>
      <c r="D101" s="40" t="s">
        <v>96</v>
      </c>
      <c r="E101" s="40" t="s">
        <v>187</v>
      </c>
      <c r="F101" s="41" t="s">
        <v>240</v>
      </c>
      <c r="G101" s="40" t="s">
        <v>311</v>
      </c>
      <c r="H101" s="41" t="s">
        <v>356</v>
      </c>
      <c r="I101" s="40" t="s">
        <v>437</v>
      </c>
      <c r="J101" s="41" t="s">
        <v>526</v>
      </c>
      <c r="K101" s="40" t="s">
        <v>437</v>
      </c>
      <c r="L101" s="41">
        <v>1</v>
      </c>
      <c r="M101" s="40">
        <f>L101*5</f>
        <v>5</v>
      </c>
      <c r="N101" s="41">
        <v>6</v>
      </c>
      <c r="O101" s="67" t="s">
        <v>457</v>
      </c>
      <c r="P101" s="54">
        <v>4.0076000000000001</v>
      </c>
      <c r="Q101" s="43">
        <f>P101*N101</f>
        <v>24.0456</v>
      </c>
      <c r="R101" s="73" t="s">
        <v>545</v>
      </c>
      <c r="S101" s="40"/>
    </row>
    <row r="102" spans="1:19" x14ac:dyDescent="0.25">
      <c r="A102" s="1"/>
      <c r="B102" s="52">
        <f t="shared" si="0"/>
        <v>93</v>
      </c>
      <c r="C102" s="61" t="s">
        <v>537</v>
      </c>
      <c r="D102" s="38" t="s">
        <v>97</v>
      </c>
      <c r="E102" s="65" t="s">
        <v>188</v>
      </c>
      <c r="F102" s="39" t="s">
        <v>426</v>
      </c>
      <c r="G102" s="38" t="s">
        <v>241</v>
      </c>
      <c r="H102" s="39" t="s">
        <v>357</v>
      </c>
      <c r="I102" s="38" t="s">
        <v>437</v>
      </c>
      <c r="J102" s="39" t="s">
        <v>527</v>
      </c>
      <c r="K102" s="38" t="s">
        <v>437</v>
      </c>
      <c r="L102" s="39">
        <v>1</v>
      </c>
      <c r="M102" s="38">
        <f t="shared" ref="M102" si="92">L102*5</f>
        <v>5</v>
      </c>
      <c r="N102" s="38">
        <v>6</v>
      </c>
      <c r="O102" s="66" t="s">
        <v>457</v>
      </c>
      <c r="P102" s="53">
        <v>0.996</v>
      </c>
      <c r="Q102" s="42">
        <f t="shared" ref="Q102" si="93">P102*N102</f>
        <v>5.976</v>
      </c>
      <c r="R102" s="39"/>
      <c r="S102" s="38"/>
    </row>
    <row r="103" spans="1:19" ht="36" x14ac:dyDescent="0.25">
      <c r="A103" s="1"/>
      <c r="B103" s="51">
        <f>ROW(B103) - ROW($B$9)</f>
        <v>94</v>
      </c>
      <c r="C103" s="62" t="s">
        <v>538</v>
      </c>
      <c r="D103" s="40" t="s">
        <v>98</v>
      </c>
      <c r="E103" s="40" t="s">
        <v>189</v>
      </c>
      <c r="F103" s="41" t="s">
        <v>426</v>
      </c>
      <c r="G103" s="40" t="s">
        <v>242</v>
      </c>
      <c r="H103" s="41" t="s">
        <v>358</v>
      </c>
      <c r="I103" s="40" t="s">
        <v>437</v>
      </c>
      <c r="J103" s="41" t="s">
        <v>528</v>
      </c>
      <c r="K103" s="40" t="s">
        <v>421</v>
      </c>
      <c r="L103" s="41">
        <v>1</v>
      </c>
      <c r="M103" s="40">
        <f>L103*5</f>
        <v>5</v>
      </c>
      <c r="N103" s="41">
        <v>6</v>
      </c>
      <c r="O103" s="67" t="s">
        <v>457</v>
      </c>
      <c r="P103" s="54">
        <v>0.19889999999999999</v>
      </c>
      <c r="Q103" s="43">
        <f>P103*N103</f>
        <v>1.1934</v>
      </c>
      <c r="R103" s="41"/>
      <c r="S103" s="40"/>
    </row>
    <row r="104" spans="1:19" ht="36" x14ac:dyDescent="0.25">
      <c r="A104" s="1"/>
      <c r="B104" s="52">
        <f t="shared" si="0"/>
        <v>95</v>
      </c>
      <c r="C104" s="61" t="s">
        <v>538</v>
      </c>
      <c r="D104" s="38" t="s">
        <v>99</v>
      </c>
      <c r="E104" s="65" t="s">
        <v>190</v>
      </c>
      <c r="F104" s="39" t="s">
        <v>426</v>
      </c>
      <c r="G104" s="38" t="s">
        <v>312</v>
      </c>
      <c r="H104" s="39" t="s">
        <v>359</v>
      </c>
      <c r="I104" s="38" t="s">
        <v>437</v>
      </c>
      <c r="J104" s="39" t="s">
        <v>377</v>
      </c>
      <c r="K104" s="38" t="s">
        <v>422</v>
      </c>
      <c r="L104" s="39">
        <v>1</v>
      </c>
      <c r="M104" s="38">
        <f t="shared" ref="M104" si="94">L104*5</f>
        <v>5</v>
      </c>
      <c r="N104" s="38">
        <v>10</v>
      </c>
      <c r="O104" s="66" t="s">
        <v>457</v>
      </c>
      <c r="P104" s="53">
        <v>9.9900000000000003E-2</v>
      </c>
      <c r="Q104" s="42">
        <f t="shared" ref="Q104" si="95">P104*N104</f>
        <v>0.999</v>
      </c>
      <c r="R104" s="39"/>
      <c r="S104" s="38"/>
    </row>
    <row r="105" spans="1:19" ht="36.75" thickBot="1" x14ac:dyDescent="0.3">
      <c r="A105" s="1"/>
      <c r="B105" s="51">
        <f>ROW(B105) - ROW($B$9)</f>
        <v>96</v>
      </c>
      <c r="C105" s="62" t="s">
        <v>538</v>
      </c>
      <c r="D105" s="40" t="s">
        <v>100</v>
      </c>
      <c r="E105" s="40" t="s">
        <v>191</v>
      </c>
      <c r="F105" s="41" t="s">
        <v>426</v>
      </c>
      <c r="G105" s="40" t="s">
        <v>243</v>
      </c>
      <c r="H105" s="41" t="s">
        <v>360</v>
      </c>
      <c r="I105" s="40" t="s">
        <v>437</v>
      </c>
      <c r="J105" s="41" t="s">
        <v>529</v>
      </c>
      <c r="K105" s="40" t="s">
        <v>423</v>
      </c>
      <c r="L105" s="41">
        <v>1</v>
      </c>
      <c r="M105" s="40">
        <f>L105*5</f>
        <v>5</v>
      </c>
      <c r="N105" s="41">
        <v>10</v>
      </c>
      <c r="O105" s="67" t="s">
        <v>457</v>
      </c>
      <c r="P105" s="54">
        <v>0.2218</v>
      </c>
      <c r="Q105" s="43">
        <f>P105*N105</f>
        <v>2.218</v>
      </c>
      <c r="R105" s="41"/>
      <c r="S105" s="40"/>
    </row>
    <row r="106" spans="1:19" ht="19.5" thickBot="1" x14ac:dyDescent="0.3">
      <c r="A106" s="1"/>
      <c r="B106" s="45"/>
      <c r="C106" s="46"/>
      <c r="D106" s="47"/>
      <c r="E106" s="48"/>
      <c r="F106" s="49"/>
      <c r="G106" s="50"/>
      <c r="H106" s="49"/>
      <c r="I106" s="50"/>
      <c r="J106" s="49"/>
      <c r="K106" s="50"/>
      <c r="L106" s="50"/>
      <c r="M106" s="50"/>
      <c r="N106" s="93" t="s">
        <v>5</v>
      </c>
      <c r="O106" s="94"/>
      <c r="P106" s="94"/>
      <c r="Q106" s="55">
        <f>SUM(Q10:Q105)</f>
        <v>546.86429999999996</v>
      </c>
      <c r="R106" s="89"/>
      <c r="S106" s="90"/>
    </row>
    <row r="107" spans="1:19" ht="19.5" thickBot="1" x14ac:dyDescent="0.3">
      <c r="A107" s="1"/>
      <c r="B107" s="25"/>
      <c r="C107" s="37"/>
      <c r="D107" s="9"/>
      <c r="E107" s="10"/>
      <c r="F107" s="10"/>
      <c r="G107" s="10"/>
      <c r="H107" s="10"/>
      <c r="I107" s="10"/>
      <c r="J107" s="10"/>
      <c r="K107" s="10"/>
      <c r="L107" s="10"/>
      <c r="M107" s="10"/>
      <c r="N107" s="93" t="s">
        <v>6</v>
      </c>
      <c r="O107" s="94"/>
      <c r="P107" s="94"/>
      <c r="Q107" s="56">
        <f>Q106/5</f>
        <v>109.37285999999999</v>
      </c>
      <c r="R107" s="91"/>
      <c r="S107" s="92"/>
    </row>
  </sheetData>
  <mergeCells count="5">
    <mergeCell ref="K1:S1"/>
    <mergeCell ref="S3:S8"/>
    <mergeCell ref="R106:S107"/>
    <mergeCell ref="N106:P106"/>
    <mergeCell ref="N107:P107"/>
  </mergeCells>
  <hyperlinks>
    <hyperlink ref="O10" r:id="rId1"/>
    <hyperlink ref="O12" r:id="rId2"/>
    <hyperlink ref="O13" r:id="rId3"/>
    <hyperlink ref="O14" r:id="rId4"/>
    <hyperlink ref="O15" r:id="rId5"/>
    <hyperlink ref="O16" r:id="rId6"/>
    <hyperlink ref="O18" r:id="rId7"/>
    <hyperlink ref="O17" r:id="rId8"/>
    <hyperlink ref="O19" r:id="rId9"/>
    <hyperlink ref="O21" r:id="rId10"/>
    <hyperlink ref="O20" r:id="rId11"/>
    <hyperlink ref="O22" r:id="rId12"/>
    <hyperlink ref="O23" r:id="rId13"/>
    <hyperlink ref="O24" r:id="rId14"/>
    <hyperlink ref="O25" r:id="rId15"/>
    <hyperlink ref="O26" r:id="rId16"/>
    <hyperlink ref="O27" r:id="rId17"/>
    <hyperlink ref="O30" r:id="rId18"/>
    <hyperlink ref="O29" r:id="rId19"/>
    <hyperlink ref="O33" r:id="rId20"/>
    <hyperlink ref="O34" r:id="rId21"/>
    <hyperlink ref="O35" r:id="rId22"/>
    <hyperlink ref="O36" r:id="rId23"/>
    <hyperlink ref="O37" r:id="rId24"/>
    <hyperlink ref="O38" r:id="rId25"/>
    <hyperlink ref="O41" r:id="rId26"/>
    <hyperlink ref="O42" r:id="rId27"/>
    <hyperlink ref="O43" r:id="rId28"/>
    <hyperlink ref="O45" r:id="rId29"/>
    <hyperlink ref="O46" r:id="rId30"/>
    <hyperlink ref="O53" r:id="rId31"/>
    <hyperlink ref="O40" r:id="rId32"/>
    <hyperlink ref="O49" r:id="rId33"/>
    <hyperlink ref="O52" r:id="rId34"/>
    <hyperlink ref="O54" r:id="rId35"/>
    <hyperlink ref="O56" r:id="rId36"/>
    <hyperlink ref="O44" r:id="rId37"/>
    <hyperlink ref="O50" r:id="rId38"/>
    <hyperlink ref="O51" r:id="rId39"/>
    <hyperlink ref="O28" r:id="rId40"/>
    <hyperlink ref="O39" r:id="rId41"/>
    <hyperlink ref="O48" r:id="rId42"/>
    <hyperlink ref="O57" r:id="rId43"/>
    <hyperlink ref="O58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6" r:id="rId52"/>
    <hyperlink ref="O67" r:id="rId53"/>
    <hyperlink ref="O68" r:id="rId54"/>
    <hyperlink ref="O69" r:id="rId55"/>
    <hyperlink ref="O71" r:id="rId56"/>
    <hyperlink ref="O72" r:id="rId57"/>
    <hyperlink ref="O74" r:id="rId58"/>
    <hyperlink ref="O77" r:id="rId59"/>
    <hyperlink ref="O78" r:id="rId60"/>
    <hyperlink ref="O86" r:id="rId61"/>
    <hyperlink ref="O87" r:id="rId62"/>
    <hyperlink ref="O91" r:id="rId63"/>
    <hyperlink ref="O94" r:id="rId64"/>
    <hyperlink ref="O95" r:id="rId65"/>
    <hyperlink ref="O99" r:id="rId66"/>
    <hyperlink ref="O101" r:id="rId67"/>
    <hyperlink ref="O102" r:id="rId68"/>
    <hyperlink ref="O93" r:id="rId69"/>
    <hyperlink ref="O98" r:id="rId70"/>
    <hyperlink ref="O103" r:id="rId71"/>
    <hyperlink ref="O105" r:id="rId72"/>
    <hyperlink ref="O70" r:id="rId73"/>
    <hyperlink ref="O73" r:id="rId74"/>
    <hyperlink ref="O75" r:id="rId75"/>
    <hyperlink ref="O76" r:id="rId76"/>
    <hyperlink ref="O79" r:id="rId77"/>
    <hyperlink ref="O80" r:id="rId78"/>
    <hyperlink ref="O88" r:id="rId79"/>
    <hyperlink ref="O89" r:id="rId80"/>
    <hyperlink ref="O81" r:id="rId81"/>
    <hyperlink ref="O82" r:id="rId82"/>
    <hyperlink ref="O83" r:id="rId83"/>
    <hyperlink ref="O84" r:id="rId84"/>
    <hyperlink ref="O85" r:id="rId85"/>
    <hyperlink ref="O104" r:id="rId86"/>
    <hyperlink ref="O92" r:id="rId87"/>
    <hyperlink ref="O96" r:id="rId88"/>
    <hyperlink ref="O97" r:id="rId89"/>
    <hyperlink ref="O55" r:id="rId90"/>
    <hyperlink ref="O32" r:id="rId91"/>
    <hyperlink ref="O11" r:id="rId92"/>
    <hyperlink ref="O31" r:id="rId93"/>
  </hyperlinks>
  <pageMargins left="0.7" right="0.7" top="0.75" bottom="0.75" header="0.3" footer="0.3"/>
  <pageSetup paperSize="9" orientation="portrait" r:id="rId94"/>
  <drawing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2023-02-20T12:01:49Z</dcterms:modified>
</cp:coreProperties>
</file>