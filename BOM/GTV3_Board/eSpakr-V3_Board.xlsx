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OliverStanton-WaterMonitor\BOM\GTV3_Board\"/>
    </mc:Choice>
  </mc:AlternateContent>
  <bookViews>
    <workbookView xWindow="-120" yWindow="-120" windowWidth="29040" windowHeight="15840" activeTab="1"/>
  </bookViews>
  <sheets>
    <sheet name="5 Boards" sheetId="1" r:id="rId1"/>
    <sheet name="10 Boards" sheetId="2" r:id="rId2"/>
  </sheets>
  <calcPr calcId="162913"/>
</workbook>
</file>

<file path=xl/calcChain.xml><?xml version="1.0" encoding="utf-8"?>
<calcChain xmlns="http://schemas.openxmlformats.org/spreadsheetml/2006/main">
  <c r="Q114" i="2" l="1"/>
  <c r="M11" i="2" l="1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10" i="2"/>
  <c r="M111" i="2"/>
  <c r="M112" i="2"/>
  <c r="M10" i="2"/>
  <c r="Q112" i="2"/>
  <c r="B112" i="2"/>
  <c r="Q111" i="2"/>
  <c r="B111" i="2"/>
  <c r="Q110" i="2"/>
  <c r="B110" i="2"/>
  <c r="Q109" i="2"/>
  <c r="B109" i="2"/>
  <c r="Q108" i="2"/>
  <c r="B108" i="2"/>
  <c r="Q107" i="2"/>
  <c r="B107" i="2"/>
  <c r="Q106" i="2"/>
  <c r="B106" i="2"/>
  <c r="Q105" i="2"/>
  <c r="B105" i="2"/>
  <c r="Q104" i="2"/>
  <c r="B104" i="2"/>
  <c r="Q103" i="2"/>
  <c r="B103" i="2"/>
  <c r="Q102" i="2"/>
  <c r="B102" i="2"/>
  <c r="Q101" i="2"/>
  <c r="B101" i="2"/>
  <c r="Q100" i="2"/>
  <c r="B100" i="2"/>
  <c r="Q99" i="2"/>
  <c r="B99" i="2"/>
  <c r="Q98" i="2"/>
  <c r="B98" i="2"/>
  <c r="Q97" i="2"/>
  <c r="B97" i="2"/>
  <c r="Q96" i="2"/>
  <c r="B96" i="2"/>
  <c r="Q95" i="2"/>
  <c r="B95" i="2"/>
  <c r="Q94" i="2"/>
  <c r="B94" i="2"/>
  <c r="Q93" i="2"/>
  <c r="B93" i="2"/>
  <c r="Q92" i="2"/>
  <c r="B92" i="2"/>
  <c r="Q91" i="2"/>
  <c r="B91" i="2"/>
  <c r="B90" i="2"/>
  <c r="Q89" i="2"/>
  <c r="B89" i="2"/>
  <c r="Q88" i="2"/>
  <c r="B88" i="2"/>
  <c r="Q87" i="2"/>
  <c r="B87" i="2"/>
  <c r="Q86" i="2"/>
  <c r="B86" i="2"/>
  <c r="Q85" i="2"/>
  <c r="B85" i="2"/>
  <c r="Q84" i="2"/>
  <c r="B84" i="2"/>
  <c r="Q83" i="2"/>
  <c r="B83" i="2"/>
  <c r="Q82" i="2"/>
  <c r="B82" i="2"/>
  <c r="Q81" i="2"/>
  <c r="B81" i="2"/>
  <c r="Q80" i="2"/>
  <c r="B80" i="2"/>
  <c r="Q79" i="2"/>
  <c r="B79" i="2"/>
  <c r="Q78" i="2"/>
  <c r="B78" i="2"/>
  <c r="Q77" i="2"/>
  <c r="B77" i="2"/>
  <c r="Q76" i="2"/>
  <c r="B76" i="2"/>
  <c r="Q75" i="2"/>
  <c r="B75" i="2"/>
  <c r="Q74" i="2"/>
  <c r="B74" i="2"/>
  <c r="Q73" i="2"/>
  <c r="B73" i="2"/>
  <c r="Q72" i="2"/>
  <c r="B72" i="2"/>
  <c r="Q71" i="2"/>
  <c r="B71" i="2"/>
  <c r="Q70" i="2"/>
  <c r="B70" i="2"/>
  <c r="Q69" i="2"/>
  <c r="B69" i="2"/>
  <c r="Q68" i="2"/>
  <c r="B68" i="2"/>
  <c r="Q67" i="2"/>
  <c r="B67" i="2"/>
  <c r="Q66" i="2"/>
  <c r="B66" i="2"/>
  <c r="Q65" i="2"/>
  <c r="B65" i="2"/>
  <c r="Q64" i="2"/>
  <c r="B64" i="2"/>
  <c r="Q63" i="2"/>
  <c r="B63" i="2"/>
  <c r="Q62" i="2"/>
  <c r="B62" i="2"/>
  <c r="Q61" i="2"/>
  <c r="B61" i="2"/>
  <c r="Q60" i="2"/>
  <c r="B60" i="2"/>
  <c r="Q59" i="2"/>
  <c r="B59" i="2"/>
  <c r="Q58" i="2"/>
  <c r="B58" i="2"/>
  <c r="Q57" i="2"/>
  <c r="B57" i="2"/>
  <c r="Q56" i="2"/>
  <c r="B56" i="2"/>
  <c r="Q55" i="2"/>
  <c r="B55" i="2"/>
  <c r="Q54" i="2"/>
  <c r="B54" i="2"/>
  <c r="Q53" i="2"/>
  <c r="B53" i="2"/>
  <c r="Q52" i="2"/>
  <c r="B52" i="2"/>
  <c r="Q51" i="2"/>
  <c r="B51" i="2"/>
  <c r="Q50" i="2"/>
  <c r="B50" i="2"/>
  <c r="Q49" i="2"/>
  <c r="B49" i="2"/>
  <c r="Q48" i="2"/>
  <c r="B48" i="2"/>
  <c r="B47" i="2"/>
  <c r="Q46" i="2"/>
  <c r="B46" i="2"/>
  <c r="Q45" i="2"/>
  <c r="B45" i="2"/>
  <c r="Q44" i="2"/>
  <c r="B44" i="2"/>
  <c r="Q43" i="2"/>
  <c r="B43" i="2"/>
  <c r="Q42" i="2"/>
  <c r="B42" i="2"/>
  <c r="Q41" i="2"/>
  <c r="B41" i="2"/>
  <c r="Q40" i="2"/>
  <c r="B40" i="2"/>
  <c r="Q39" i="2"/>
  <c r="B39" i="2"/>
  <c r="Q38" i="2"/>
  <c r="B38" i="2"/>
  <c r="Q37" i="2"/>
  <c r="B37" i="2"/>
  <c r="B36" i="2"/>
  <c r="Q35" i="2"/>
  <c r="B35" i="2"/>
  <c r="Q34" i="2"/>
  <c r="B34" i="2"/>
  <c r="Q33" i="2"/>
  <c r="B33" i="2"/>
  <c r="Q32" i="2"/>
  <c r="B32" i="2"/>
  <c r="Q31" i="2"/>
  <c r="B31" i="2"/>
  <c r="Q30" i="2"/>
  <c r="B30" i="2"/>
  <c r="Q29" i="2"/>
  <c r="B29" i="2"/>
  <c r="Q28" i="2"/>
  <c r="B28" i="2"/>
  <c r="Q27" i="2"/>
  <c r="B27" i="2"/>
  <c r="Q26" i="2"/>
  <c r="B26" i="2"/>
  <c r="Q25" i="2"/>
  <c r="B25" i="2"/>
  <c r="Q24" i="2"/>
  <c r="B24" i="2"/>
  <c r="Q23" i="2"/>
  <c r="B23" i="2"/>
  <c r="Q22" i="2"/>
  <c r="B22" i="2"/>
  <c r="Q21" i="2"/>
  <c r="B21" i="2"/>
  <c r="Q20" i="2"/>
  <c r="B20" i="2"/>
  <c r="Q19" i="2"/>
  <c r="B19" i="2"/>
  <c r="Q18" i="2"/>
  <c r="B18" i="2"/>
  <c r="Q17" i="2"/>
  <c r="B17" i="2"/>
  <c r="Q16" i="2"/>
  <c r="B16" i="2"/>
  <c r="Q15" i="2"/>
  <c r="B15" i="2"/>
  <c r="Q14" i="2"/>
  <c r="B14" i="2"/>
  <c r="Q13" i="2"/>
  <c r="B13" i="2"/>
  <c r="Q12" i="2"/>
  <c r="B12" i="2"/>
  <c r="Q11" i="2"/>
  <c r="B11" i="2"/>
  <c r="Q10" i="2"/>
  <c r="B10" i="2"/>
  <c r="Q113" i="2" l="1"/>
  <c r="Q112" i="1" l="1"/>
  <c r="M112" i="1"/>
  <c r="B112" i="1"/>
  <c r="Q111" i="1" l="1"/>
  <c r="M111" i="1"/>
  <c r="Q110" i="1" l="1"/>
  <c r="M110" i="1"/>
  <c r="B110" i="1"/>
  <c r="B111" i="1"/>
  <c r="B109" i="1" l="1"/>
  <c r="Q109" i="1"/>
  <c r="M108" i="1"/>
  <c r="M107" i="1"/>
  <c r="Q106" i="1"/>
  <c r="Q107" i="1"/>
  <c r="Q108" i="1"/>
  <c r="M106" i="1"/>
  <c r="B106" i="1" l="1"/>
  <c r="B107" i="1"/>
  <c r="B108" i="1"/>
  <c r="Q105" i="1" l="1"/>
  <c r="M105" i="1"/>
  <c r="B105" i="1"/>
  <c r="Q104" i="1"/>
  <c r="M104" i="1"/>
  <c r="B104" i="1"/>
  <c r="Q103" i="1"/>
  <c r="M103" i="1"/>
  <c r="B103" i="1"/>
  <c r="Q102" i="1"/>
  <c r="M102" i="1"/>
  <c r="B102" i="1"/>
  <c r="Q101" i="1"/>
  <c r="M101" i="1"/>
  <c r="B101" i="1"/>
  <c r="Q100" i="1"/>
  <c r="M100" i="1"/>
  <c r="B100" i="1"/>
  <c r="Q99" i="1"/>
  <c r="M99" i="1"/>
  <c r="B99" i="1"/>
  <c r="Q98" i="1"/>
  <c r="M98" i="1"/>
  <c r="B98" i="1"/>
  <c r="Q97" i="1"/>
  <c r="M97" i="1"/>
  <c r="B97" i="1"/>
  <c r="Q96" i="1"/>
  <c r="M96" i="1"/>
  <c r="B96" i="1"/>
  <c r="Q95" i="1"/>
  <c r="M95" i="1"/>
  <c r="B95" i="1"/>
  <c r="Q94" i="1"/>
  <c r="M94" i="1"/>
  <c r="B94" i="1"/>
  <c r="Q93" i="1"/>
  <c r="M93" i="1"/>
  <c r="B93" i="1"/>
  <c r="Q92" i="1"/>
  <c r="M92" i="1"/>
  <c r="B92" i="1"/>
  <c r="Q91" i="1"/>
  <c r="M91" i="1"/>
  <c r="B91" i="1"/>
  <c r="M90" i="1"/>
  <c r="B90" i="1"/>
  <c r="Q89" i="1"/>
  <c r="M89" i="1"/>
  <c r="B89" i="1"/>
  <c r="Q88" i="1"/>
  <c r="M88" i="1"/>
  <c r="B88" i="1"/>
  <c r="Q87" i="1"/>
  <c r="M87" i="1"/>
  <c r="B87" i="1"/>
  <c r="Q86" i="1"/>
  <c r="M86" i="1"/>
  <c r="B86" i="1"/>
  <c r="Q85" i="1"/>
  <c r="M85" i="1"/>
  <c r="B85" i="1"/>
  <c r="Q84" i="1"/>
  <c r="M84" i="1"/>
  <c r="B84" i="1"/>
  <c r="Q83" i="1"/>
  <c r="M83" i="1"/>
  <c r="B83" i="1"/>
  <c r="Q82" i="1"/>
  <c r="M82" i="1"/>
  <c r="B82" i="1"/>
  <c r="Q81" i="1"/>
  <c r="M81" i="1"/>
  <c r="B81" i="1"/>
  <c r="Q80" i="1"/>
  <c r="M80" i="1"/>
  <c r="B80" i="1"/>
  <c r="Q79" i="1"/>
  <c r="M79" i="1"/>
  <c r="B79" i="1"/>
  <c r="Q78" i="1"/>
  <c r="M78" i="1"/>
  <c r="B78" i="1"/>
  <c r="Q77" i="1"/>
  <c r="M77" i="1"/>
  <c r="B77" i="1"/>
  <c r="Q76" i="1"/>
  <c r="M76" i="1"/>
  <c r="B76" i="1"/>
  <c r="Q75" i="1"/>
  <c r="M75" i="1"/>
  <c r="B75" i="1"/>
  <c r="Q74" i="1"/>
  <c r="M74" i="1"/>
  <c r="B74" i="1"/>
  <c r="Q73" i="1"/>
  <c r="M73" i="1"/>
  <c r="B73" i="1"/>
  <c r="Q72" i="1"/>
  <c r="M72" i="1"/>
  <c r="B72" i="1"/>
  <c r="Q71" i="1"/>
  <c r="M71" i="1"/>
  <c r="B71" i="1"/>
  <c r="Q70" i="1"/>
  <c r="M70" i="1"/>
  <c r="B70" i="1"/>
  <c r="Q69" i="1"/>
  <c r="M69" i="1"/>
  <c r="B69" i="1"/>
  <c r="Q68" i="1"/>
  <c r="M68" i="1"/>
  <c r="B68" i="1"/>
  <c r="Q67" i="1"/>
  <c r="M67" i="1"/>
  <c r="B67" i="1"/>
  <c r="Q66" i="1"/>
  <c r="M66" i="1"/>
  <c r="B66" i="1"/>
  <c r="Q65" i="1"/>
  <c r="M65" i="1"/>
  <c r="B65" i="1"/>
  <c r="Q64" i="1"/>
  <c r="M64" i="1"/>
  <c r="B64" i="1"/>
  <c r="Q63" i="1"/>
  <c r="M63" i="1"/>
  <c r="B63" i="1"/>
  <c r="Q62" i="1"/>
  <c r="M62" i="1"/>
  <c r="B62" i="1"/>
  <c r="Q61" i="1"/>
  <c r="M61" i="1"/>
  <c r="B61" i="1"/>
  <c r="Q60" i="1"/>
  <c r="M60" i="1"/>
  <c r="B60" i="1"/>
  <c r="Q59" i="1"/>
  <c r="M59" i="1"/>
  <c r="B59" i="1"/>
  <c r="Q58" i="1"/>
  <c r="M58" i="1"/>
  <c r="B58" i="1"/>
  <c r="Q57" i="1"/>
  <c r="M57" i="1"/>
  <c r="B57" i="1"/>
  <c r="Q56" i="1"/>
  <c r="M56" i="1"/>
  <c r="B56" i="1"/>
  <c r="Q55" i="1"/>
  <c r="M55" i="1"/>
  <c r="B55" i="1"/>
  <c r="Q54" i="1"/>
  <c r="M54" i="1"/>
  <c r="B54" i="1"/>
  <c r="Q53" i="1"/>
  <c r="M53" i="1"/>
  <c r="B53" i="1"/>
  <c r="Q52" i="1"/>
  <c r="M52" i="1"/>
  <c r="B52" i="1"/>
  <c r="Q51" i="1"/>
  <c r="M51" i="1"/>
  <c r="B51" i="1"/>
  <c r="Q50" i="1"/>
  <c r="M50" i="1"/>
  <c r="B50" i="1"/>
  <c r="Q49" i="1"/>
  <c r="M49" i="1"/>
  <c r="B49" i="1"/>
  <c r="Q48" i="1"/>
  <c r="M48" i="1"/>
  <c r="B48" i="1"/>
  <c r="M47" i="1"/>
  <c r="B47" i="1"/>
  <c r="Q46" i="1"/>
  <c r="M46" i="1"/>
  <c r="B46" i="1"/>
  <c r="Q45" i="1"/>
  <c r="M45" i="1"/>
  <c r="B45" i="1"/>
  <c r="Q44" i="1"/>
  <c r="M44" i="1"/>
  <c r="B44" i="1"/>
  <c r="Q43" i="1"/>
  <c r="M43" i="1"/>
  <c r="B43" i="1"/>
  <c r="Q42" i="1"/>
  <c r="M42" i="1"/>
  <c r="B42" i="1"/>
  <c r="Q41" i="1"/>
  <c r="M41" i="1"/>
  <c r="B41" i="1"/>
  <c r="Q40" i="1"/>
  <c r="M40" i="1"/>
  <c r="B40" i="1"/>
  <c r="Q39" i="1"/>
  <c r="M39" i="1"/>
  <c r="B39" i="1"/>
  <c r="Q38" i="1"/>
  <c r="M38" i="1"/>
  <c r="B38" i="1"/>
  <c r="Q37" i="1"/>
  <c r="M37" i="1"/>
  <c r="B37" i="1"/>
  <c r="M36" i="1"/>
  <c r="B36" i="1"/>
  <c r="Q35" i="1"/>
  <c r="M35" i="1"/>
  <c r="B35" i="1"/>
  <c r="Q34" i="1"/>
  <c r="M34" i="1"/>
  <c r="B34" i="1"/>
  <c r="Q33" i="1"/>
  <c r="M33" i="1"/>
  <c r="B33" i="1"/>
  <c r="Q32" i="1"/>
  <c r="Q113" i="1" s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/>
  <c r="Q10" i="1"/>
  <c r="M11" i="1"/>
  <c r="M10" i="1"/>
  <c r="B11" i="1"/>
  <c r="B10" i="1"/>
  <c r="Q114" i="1" l="1"/>
</calcChain>
</file>

<file path=xl/sharedStrings.xml><?xml version="1.0" encoding="utf-8"?>
<sst xmlns="http://schemas.openxmlformats.org/spreadsheetml/2006/main" count="2136" uniqueCount="590">
  <si>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</si>
  <si>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</si>
  <si>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</si>
  <si>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</si>
  <si>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</si>
  <si>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</si>
  <si>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</si>
  <si>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</si>
  <si>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</si>
  <si>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Capacitor</t>
  </si>
  <si>
    <t>Diode</t>
  </si>
  <si>
    <t>USB Connector</t>
  </si>
  <si>
    <t>Relay</t>
  </si>
  <si>
    <t>Mosfet</t>
  </si>
  <si>
    <t>Resistor</t>
  </si>
  <si>
    <t>Designator</t>
  </si>
  <si>
    <t>C1, C4, C17, C21, C23, C24, C31, C43, C58, C61, C63, C65, C67</t>
  </si>
  <si>
    <t>C2</t>
  </si>
  <si>
    <t>C5, C7, C12, C13, C16</t>
  </si>
  <si>
    <t>C9</t>
  </si>
  <si>
    <t>C20</t>
  </si>
  <si>
    <t>C32</t>
  </si>
  <si>
    <t>C34, C35</t>
  </si>
  <si>
    <t>C56</t>
  </si>
  <si>
    <t>C70</t>
  </si>
  <si>
    <t>C74</t>
  </si>
  <si>
    <t>C75</t>
  </si>
  <si>
    <t>C77</t>
  </si>
  <si>
    <t>D1</t>
  </si>
  <si>
    <t>D2</t>
  </si>
  <si>
    <t>D3</t>
  </si>
  <si>
    <t>D4, D5, D8, D9, D10</t>
  </si>
  <si>
    <t>D6</t>
  </si>
  <si>
    <t>D7</t>
  </si>
  <si>
    <t>D11</t>
  </si>
  <si>
    <t>J1</t>
  </si>
  <si>
    <t>J2, J3, J4, J5, J6, J7, J8, J9, J11</t>
  </si>
  <si>
    <t>J10, J12, J13, J16, J17</t>
  </si>
  <si>
    <t>J14</t>
  </si>
  <si>
    <t>J15</t>
  </si>
  <si>
    <t>J18</t>
  </si>
  <si>
    <t>J19</t>
  </si>
  <si>
    <t>K1, K2, K3, K4, K5</t>
  </si>
  <si>
    <t>L1</t>
  </si>
  <si>
    <t>L2</t>
  </si>
  <si>
    <t>L3</t>
  </si>
  <si>
    <t>L4</t>
  </si>
  <si>
    <t>LED1, LED2, LED3, LED4, LED5, LED6, LED7</t>
  </si>
  <si>
    <t>LED8</t>
  </si>
  <si>
    <t>LS1</t>
  </si>
  <si>
    <t>P1, P7</t>
  </si>
  <si>
    <t>P2, P6</t>
  </si>
  <si>
    <t>P3, P4, P5, P8</t>
  </si>
  <si>
    <t>P13</t>
  </si>
  <si>
    <t>P19, P27, P28</t>
  </si>
  <si>
    <t>P20</t>
  </si>
  <si>
    <t>Q1, Q3, Q4, Q22, Q23, Q25, Q26, Q27, Q28</t>
  </si>
  <si>
    <t>Q2</t>
  </si>
  <si>
    <t>Q5, Q6</t>
  </si>
  <si>
    <t>Q7, Q21</t>
  </si>
  <si>
    <t>Q8, Q33, Q34, Q35, Q36, Q37</t>
  </si>
  <si>
    <t>Q9, Q10, Q11, Q12, Q13, Q14, Q15, Q16, Q29, Q30</t>
  </si>
  <si>
    <t>Q17, Q24</t>
  </si>
  <si>
    <t>Q18, Q19, Q31</t>
  </si>
  <si>
    <t>Q20</t>
  </si>
  <si>
    <t>Q32</t>
  </si>
  <si>
    <t>R1</t>
  </si>
  <si>
    <t>R2</t>
  </si>
  <si>
    <t>R3</t>
  </si>
  <si>
    <t>R7, R10</t>
  </si>
  <si>
    <t>R11</t>
  </si>
  <si>
    <t>R13</t>
  </si>
  <si>
    <t>R14, R15, R17</t>
  </si>
  <si>
    <t>R24, R25</t>
  </si>
  <si>
    <t>R32</t>
  </si>
  <si>
    <t>R64</t>
  </si>
  <si>
    <t>R65</t>
  </si>
  <si>
    <t>R81</t>
  </si>
  <si>
    <t>R83, R84</t>
  </si>
  <si>
    <t>R91, R92</t>
  </si>
  <si>
    <t>R93, R94</t>
  </si>
  <si>
    <t>R95, R96</t>
  </si>
  <si>
    <t>R97, R98</t>
  </si>
  <si>
    <t>R103</t>
  </si>
  <si>
    <t>R112</t>
  </si>
  <si>
    <t>SB1, SB2, SB3, SB4, SB5, SB6, SB7, SB8, SB9, SB10, SB11, SB12, SB13, SB14, SB15, SB16, SB17, SB18, SB19, SB20, SB21, SB22, SB23, SB24, SB25, SB26, SB27, SB28, SB29, SB30, SB31, SB32, SB33, SB34, SB35, SB36, SB37, SB38, SB39, SB40, SB41, SB42</t>
  </si>
  <si>
    <t>SW1, SW2, SW3, SW4, SW5, SW6, SW7</t>
  </si>
  <si>
    <t>U1, U2</t>
  </si>
  <si>
    <t>U3</t>
  </si>
  <si>
    <t>U4</t>
  </si>
  <si>
    <t>U5</t>
  </si>
  <si>
    <t>U6</t>
  </si>
  <si>
    <t>U7</t>
  </si>
  <si>
    <t>U8, U9, U14, U15</t>
  </si>
  <si>
    <t>U10, U11, U12</t>
  </si>
  <si>
    <t>U13</t>
  </si>
  <si>
    <t>U16</t>
  </si>
  <si>
    <t>U17</t>
  </si>
  <si>
    <t>X1</t>
  </si>
  <si>
    <t>X2</t>
  </si>
  <si>
    <t>X3</t>
  </si>
  <si>
    <t>Description</t>
  </si>
  <si>
    <t>CAP ALUM 10uF 25V SMD</t>
  </si>
  <si>
    <t>CAP CER 0.1UF 100V X7R 1206</t>
  </si>
  <si>
    <t>CAP CER 1UF 25V X5R 0603</t>
  </si>
  <si>
    <t>470uF ±20% 50V 12.5mm 13.5mm 1000hrs 105℃ -40℃~+105℃ SMD,12.5x13.5mm Aluminum Electrolytic Capacitors - SMD RoHS</t>
  </si>
  <si>
    <t>CAP CER 0.1UF 50V Y5V 0603</t>
  </si>
  <si>
    <t>CAP ALUM 100UF 20% 25V SMD</t>
  </si>
  <si>
    <t>CAP CER 470pF 10% X7R 50V 0603 SMD</t>
  </si>
  <si>
    <t>Cap Tant Solid 1uF 25V A CASE 10% (3.2 X 1.6 X 1.6mm) Inward L SMD 3216-18 8 Ohm 125°C T/R</t>
  </si>
  <si>
    <t>CAP 30pF NP0 0603 50 V ±5 % SMD</t>
  </si>
  <si>
    <t>CAP CER 20PF 50V C0G/NPO 0603</t>
  </si>
  <si>
    <t>CAP CER 0.047UF 100V X7R 1206</t>
  </si>
  <si>
    <t>CAP CER 0.47uF 50V X7R 0603</t>
  </si>
  <si>
    <t>CAP CER 1.2PF 50V C0G/NPO 0603</t>
  </si>
  <si>
    <t>CAP CER 2.2UF 50V X5R 0603</t>
  </si>
  <si>
    <t>CAP CER 1.5PF 50V C0G/NPO 0603</t>
  </si>
  <si>
    <t>40V 500mV@2A 2A SMA(DO-214AC) Schottky Barrier Diodes (SBD) ROHS</t>
  </si>
  <si>
    <t>DIODE ZENER 16V 1.5W SMA</t>
  </si>
  <si>
    <t>800uA 43.5A 9.2V 6.4V 5V 7V Bi-Directional SMA TVS ROHS</t>
  </si>
  <si>
    <t>DIODE GEN PURP 75V 150MA SOD323</t>
  </si>
  <si>
    <t>1uA 5.3A 113V 77.8V 70V 86V Unidirectional SMB(DO-214AA) TVS ROHS</t>
  </si>
  <si>
    <t>SCHOTTKY DIODE SMB 100V 5A</t>
  </si>
  <si>
    <t>CONN HEADER SMD 10POS 1.27MM</t>
  </si>
  <si>
    <t>TERMINAL BLOCK, PLUGGABLE, 5.08,</t>
  </si>
  <si>
    <t>1 Inner bore SMA Board Edge Bend -55℃~+155℃ 50Ω Plugin RF Connectors / Coaxial Connectors ROHS</t>
  </si>
  <si>
    <t>4 PIN 2.54mm 3A Female Headers</t>
  </si>
  <si>
    <t>CONN RCPT USB2.0 MICRO B SMD R/A</t>
  </si>
  <si>
    <t>12V 5A DPDT (2 Form C) Electromagnetic Relay-Single Coil DIP-8 Power Relays ROHS</t>
  </si>
  <si>
    <t>500mA 10uH ±20% 320mΩ 0805 Inductors</t>
  </si>
  <si>
    <t>Inductor Power Shielded Wirewound 220uH 20% 1KHz Ferrite 1.3A 310mOhm DCR Blister T/R</t>
  </si>
  <si>
    <t>FIXED IND 39NH 530MA 456MOHM SMD</t>
  </si>
  <si>
    <t>600mA 33nH ±5% 220mΩ SMD,1.8x1.2x1.02mm Inductors (SMD) ROHS</t>
  </si>
  <si>
    <t>LED RED CLEAR CHIP SMD</t>
  </si>
  <si>
    <t>SENSOR PHOTO 630NM 2SMD</t>
  </si>
  <si>
    <t>NO 2700Hz 85dB @ 3V, 10cm 3V Φ9mm SMD,9x3.2mm Buzzers RoHS</t>
  </si>
  <si>
    <t>Test Point ON</t>
  </si>
  <si>
    <t>CONN HEADER VERT 3POS 2.54MM</t>
  </si>
  <si>
    <t>CONN HEADER VERT 6POS 2.54MM</t>
  </si>
  <si>
    <t>CONN HDR 16POS 0.1 TIN PCB</t>
  </si>
  <si>
    <t>CONN HEADER VERT 2POS 2.54MM</t>
  </si>
  <si>
    <t>CONN HEADER VERT 4POS 2.54MM</t>
  </si>
  <si>
    <t>MOSFET N-CH 130V 1A SOT23</t>
  </si>
  <si>
    <t>MOSFET N-CH 20V 4.2A SOT23</t>
  </si>
  <si>
    <t>MOSFET N-CH 55V 110A D2PAK</t>
  </si>
  <si>
    <t>MOSFET P-CH 20V 3.7A SOT23</t>
  </si>
  <si>
    <t>TRANS NPN 40V 0.6A SMD SOT23-3</t>
  </si>
  <si>
    <t>NPN Ic=100mA Vceo=45V hfe=200~450 P=250mW</t>
  </si>
  <si>
    <t>PNP Ic=-100mA Vceo=-45V hfe=420~800 P=250mW</t>
  </si>
  <si>
    <t>TRANS NPN 160V 0.6A SOT-23</t>
  </si>
  <si>
    <t>60V 80A 2.5W 7mΩ@10V,20A 3V@250μA N Channel SOP-8_150mil MOSFETs ROHS</t>
  </si>
  <si>
    <t>30V 4.1A 60mΩ@10V,4.1A 350mW 3V@250uA P Channel SOT-23 MOSFETs ROHS</t>
  </si>
  <si>
    <t>Res Thick Film 0603 3.6K Ohm 1% 1/10W ±100ppm/°C Molded SMD Paper T/R</t>
  </si>
  <si>
    <t>RES 1.2K OHM 1% 1/10W 0603</t>
  </si>
  <si>
    <t>±1% 1/10W Thick Film Resistors 75V ±600ppm/℃ -55℃~+155℃ 0.33Ω 0603 Chip Resistor - Surface Mount ROHS</t>
  </si>
  <si>
    <t>RES SMD 470K OHM 5% 1/10W 0603</t>
  </si>
  <si>
    <t>100mW Thick Film Resistors 75V ±1% ±100ppm/℃ -55℃~+155℃ 2.21MΩ 0603 Chip Resistor - Surface Mount ROHS</t>
  </si>
  <si>
    <t>RES SMD 10K Ohm 1% 1/10W 0603</t>
  </si>
  <si>
    <t>RES 2.7K OHM 1% 1/10W 0603</t>
  </si>
  <si>
    <t>RES SMD 680 OHM 1% 1/10W 0603</t>
  </si>
  <si>
    <t>RES SMD 3.3K OHM 1% 1/10W 0603</t>
  </si>
  <si>
    <t>RES SMD 47OHM 0.1W 0603</t>
  </si>
  <si>
    <t>RES SMD 1K OHM 1% 1/10W 0603</t>
  </si>
  <si>
    <t>RES SMD 20K OHM 0.1% 1/10W 0603</t>
  </si>
  <si>
    <t>RES SMD 63.4KOHM 0.1% 1/10W 0603</t>
  </si>
  <si>
    <t>RES SMD 0R, 1%, 0.1W, 0603</t>
  </si>
  <si>
    <t>RES SMD 4.7K OHM 1% 1/10W 0603</t>
  </si>
  <si>
    <t>RES 100K OHM 1% 1/8W 0805</t>
  </si>
  <si>
    <t>RES 1K OHM 1% 1/2W 1206</t>
  </si>
  <si>
    <t>RES 470 OHM 1% 1/10W 0603</t>
  </si>
  <si>
    <t>RES SMD 200K OHM 1% 1/10W 0603</t>
  </si>
  <si>
    <t>RES 100K OHM 1% 1/10W 0603</t>
  </si>
  <si>
    <t>RES  SMD 330R 100 mW 0603</t>
  </si>
  <si>
    <t>RES SMD 50K ±0.5% ±25ppm/℃ 0805</t>
  </si>
  <si>
    <t>RES 150 OHM 0.5% 1/10W 0603</t>
  </si>
  <si>
    <t>RES SMD 7.5K OHM 0.1% 1/10W 0603</t>
  </si>
  <si>
    <t>Solder Bridge ON</t>
  </si>
  <si>
    <t>SWITCH TACTILE SPST-NO 0.05A 12V</t>
  </si>
  <si>
    <t>SENSOR CURRENT HALL 20A DC</t>
  </si>
  <si>
    <t>1.5-A boost, buck, inverting switching regulator, operation from 0°C to 70°C 8-SOIC 0 to 70</t>
  </si>
  <si>
    <t>IC REG LINEAR 3.3V 1A SOT223</t>
  </si>
  <si>
    <t>IC MCU 32BIT 128KB FLASH 100LQFP</t>
  </si>
  <si>
    <t>IC GATE DRVR LOW-SIDE 8SOIC</t>
  </si>
  <si>
    <t>IC OR CTRLR N+1 8MSOP</t>
  </si>
  <si>
    <t>TransistorOptocouplers DC 1 2500Vrms SOP-4_P1.27 Optocouplers RoHS</t>
  </si>
  <si>
    <t>IC BUF NON-INVERT 5.5V SOT23-5</t>
  </si>
  <si>
    <t>SOT-23-6 Comparators ROHS</t>
  </si>
  <si>
    <t>RF RX ASK/OOK 300-450MHZ 16QSOP</t>
  </si>
  <si>
    <t>Through Hole Biometric Sensors ROHS</t>
  </si>
  <si>
    <t>8MHz SMD Crystal Resonator 18pF 200Ω ±20ppm ±30ppm -40℃~+85℃ SMD3225-4P Crystals ROHS</t>
  </si>
  <si>
    <t>13.52313MHz In-line passive crystal oscillator 20pF 60Ω ±20ppm ±30ppm -40℃~+85℃ HC-49S-2P Crystals ROHS</t>
  </si>
  <si>
    <t>32.768kHz SMD Crystal Resonator 12.5pF ±20ppm -40℃~+85℃ SMD3215-2P Crystals ROHS</t>
  </si>
  <si>
    <t>Footprint</t>
  </si>
  <si>
    <t>Cap-1206</t>
  </si>
  <si>
    <t>Cap0603</t>
  </si>
  <si>
    <t>VT1H471MI135000CE0</t>
  </si>
  <si>
    <t>UWX1E101MCL1GB</t>
  </si>
  <si>
    <t>CAP-CASE A</t>
  </si>
  <si>
    <t>SMA</t>
  </si>
  <si>
    <t>SMAJ5.0CA</t>
  </si>
  <si>
    <t>SOD-323</t>
  </si>
  <si>
    <t>SMB</t>
  </si>
  <si>
    <t>SS510B</t>
  </si>
  <si>
    <t>FTSH-105-01-L-DV-K-TR</t>
  </si>
  <si>
    <t>TBP01R1-508-02BE</t>
  </si>
  <si>
    <t>TBP01R1-508-03BE</t>
  </si>
  <si>
    <t>TBP01R1-508-04BE</t>
  </si>
  <si>
    <t>HJ-SMA508</t>
  </si>
  <si>
    <t>DW254W-11-04-85</t>
  </si>
  <si>
    <t>DIP-8</t>
  </si>
  <si>
    <t>Ind0805</t>
  </si>
  <si>
    <t>SLF12575T-221M1R3-PF</t>
  </si>
  <si>
    <t>IND 0402</t>
  </si>
  <si>
    <t>IND 0603</t>
  </si>
  <si>
    <t>LED 0402</t>
  </si>
  <si>
    <t>YS-SBZ9032C03R16</t>
  </si>
  <si>
    <t>TEST POINT</t>
  </si>
  <si>
    <t>HDR1X3</t>
  </si>
  <si>
    <t>HDR1X6</t>
  </si>
  <si>
    <t>HDR2X8</t>
  </si>
  <si>
    <t>HDR1X2</t>
  </si>
  <si>
    <t>HDR1X4</t>
  </si>
  <si>
    <t>SOT23-3</t>
  </si>
  <si>
    <t>SOT-23</t>
  </si>
  <si>
    <t>D2Pak</t>
  </si>
  <si>
    <t>RU6085H</t>
  </si>
  <si>
    <t>RES-0603</t>
  </si>
  <si>
    <t>Res-0603</t>
  </si>
  <si>
    <t>RES-0805</t>
  </si>
  <si>
    <t>Res-1206</t>
  </si>
  <si>
    <t>RES 0805</t>
  </si>
  <si>
    <t>Solder Bridge</t>
  </si>
  <si>
    <t>TL3300CF160Q</t>
  </si>
  <si>
    <t>SOIC-8</t>
  </si>
  <si>
    <t>SOT-223</t>
  </si>
  <si>
    <t>LQFP-100</t>
  </si>
  <si>
    <t>LTC4359CMS8#PBF</t>
  </si>
  <si>
    <t>PS2801C-1-F3-A</t>
  </si>
  <si>
    <t>SOT-23-5</t>
  </si>
  <si>
    <t>SOT-23-6</t>
  </si>
  <si>
    <t>16-QSOP</t>
  </si>
  <si>
    <t>AS312</t>
  </si>
  <si>
    <t>XC32M4-8.000-F18LJDT</t>
  </si>
  <si>
    <t>X321532768KGD2SI</t>
  </si>
  <si>
    <t>Manufacturer Part Number</t>
  </si>
  <si>
    <t>CC1206KKX7R0BB104</t>
  </si>
  <si>
    <t>CC0603KRX5R8BB105</t>
  </si>
  <si>
    <t>CC0603ZRY5V9BB104</t>
  </si>
  <si>
    <t>CC0603KRX7R9BB471</t>
  </si>
  <si>
    <t>T491A105K025AT</t>
  </si>
  <si>
    <t>CC0603JRNPO9BN300</t>
  </si>
  <si>
    <t>CC0603JRNPO9BN200</t>
  </si>
  <si>
    <t>CC1206JRX7R0BB473</t>
  </si>
  <si>
    <t>UMK107B7474KA-TR</t>
  </si>
  <si>
    <t>CC0603CRNPO9BN1R2</t>
  </si>
  <si>
    <t>UMK107BBJ225MA-T</t>
  </si>
  <si>
    <t>CC0603CRNPO9BN1R5</t>
  </si>
  <si>
    <t>SS24A</t>
  </si>
  <si>
    <t>1SMA5930BT3G</t>
  </si>
  <si>
    <t>1N4148WS-7-F</t>
  </si>
  <si>
    <t>SMBJ70A/TR13</t>
  </si>
  <si>
    <t>SS32</t>
  </si>
  <si>
    <t>10118194-0001LF</t>
  </si>
  <si>
    <t>SMI-12VDC-SL-2C</t>
  </si>
  <si>
    <t>MGFL2012F100MT-LF</t>
  </si>
  <si>
    <t>LQW15AN39NG80D</t>
  </si>
  <si>
    <t>HSC0603-33NJ-T</t>
  </si>
  <si>
    <t>XZMDK68W-2</t>
  </si>
  <si>
    <t>ALS-PT19-315C/L177/TR8</t>
  </si>
  <si>
    <t>PPTC082LFBN-RC</t>
  </si>
  <si>
    <t>DMN13H750S-7</t>
  </si>
  <si>
    <t>IRLML2502TRPBF</t>
  </si>
  <si>
    <t>IRF3205STRLPBF</t>
  </si>
  <si>
    <t>IRLML6402TRPBF</t>
  </si>
  <si>
    <t>MMBT2222A-7-F</t>
  </si>
  <si>
    <t>BC847B,215</t>
  </si>
  <si>
    <t>BC857C,215</t>
  </si>
  <si>
    <t>MMBT5551LT1G</t>
  </si>
  <si>
    <t>AO3407</t>
  </si>
  <si>
    <t>AC0603FR-073K6L</t>
  </si>
  <si>
    <t>RC0603FR-071K2L</t>
  </si>
  <si>
    <t>RC0603FR-072K2L</t>
  </si>
  <si>
    <t>AC0603JR-07470KL</t>
  </si>
  <si>
    <t>0603WAF2214T5E</t>
  </si>
  <si>
    <t>RC0603FR-0710KL</t>
  </si>
  <si>
    <t>RC0603FR-072K7L</t>
  </si>
  <si>
    <t>RC0603FR-07680RL</t>
  </si>
  <si>
    <t>RC0603FR-073K3L</t>
  </si>
  <si>
    <t>RC0603FR-0747RL</t>
  </si>
  <si>
    <t>RC0603FR-071KL</t>
  </si>
  <si>
    <t>RT0603BRD0720KL</t>
  </si>
  <si>
    <t>RT0603BRE0763K4L</t>
  </si>
  <si>
    <t>RC0603FR-070RL</t>
  </si>
  <si>
    <t>RC0603FR-074K7L</t>
  </si>
  <si>
    <t>RC0805FR-07100KL</t>
  </si>
  <si>
    <t>RC1206FR-7W1KL</t>
  </si>
  <si>
    <t>RC0603FR-07470RL</t>
  </si>
  <si>
    <t>RC0603FR-07200KL</t>
  </si>
  <si>
    <t>RC0603FR-07100KL</t>
  </si>
  <si>
    <t>RC0603FR-071ML</t>
  </si>
  <si>
    <t>RC0603JR-07330RL</t>
  </si>
  <si>
    <t>RC0603FR-07150KL</t>
  </si>
  <si>
    <t>RC0603DR-07150RL</t>
  </si>
  <si>
    <t>RT0603BRD077K5L</t>
  </si>
  <si>
    <t>ACS723LLCTR-20AU-T</t>
  </si>
  <si>
    <t>MC34063ADR</t>
  </si>
  <si>
    <t>LMS8117AMP-3.3/NOPB</t>
  </si>
  <si>
    <t>STM32F072VBT6</t>
  </si>
  <si>
    <t>NCP81071ADR2G</t>
  </si>
  <si>
    <t>SN74LV1T34DBVR</t>
  </si>
  <si>
    <t>TPS3700DDCR</t>
  </si>
  <si>
    <t>MICRF220AYQS</t>
  </si>
  <si>
    <t>S1C13523ZWFAC</t>
  </si>
  <si>
    <t>Manufacturer</t>
  </si>
  <si>
    <t>ROQANG</t>
  </si>
  <si>
    <t>Yageo</t>
  </si>
  <si>
    <t>Changzhou Huawei Elec</t>
  </si>
  <si>
    <t>Nichicon</t>
  </si>
  <si>
    <t>KEMET</t>
  </si>
  <si>
    <t>Taiyo Yuden</t>
  </si>
  <si>
    <t>Yangzhou</t>
  </si>
  <si>
    <t>ON Semiconductor</t>
  </si>
  <si>
    <t>Shandong Jingdao Microelectronics</t>
  </si>
  <si>
    <t>Diodes</t>
  </si>
  <si>
    <t>Brightking</t>
  </si>
  <si>
    <t>MDD</t>
  </si>
  <si>
    <t>Samtec</t>
  </si>
  <si>
    <t>CUI Devices</t>
  </si>
  <si>
    <t>HJ Tech</t>
  </si>
  <si>
    <t>Amphenol FCI</t>
  </si>
  <si>
    <t>Ningbo Songle Relay</t>
  </si>
  <si>
    <t>Microgate</t>
  </si>
  <si>
    <t>TDK</t>
  </si>
  <si>
    <t>Murata</t>
  </si>
  <si>
    <t>EMTEK</t>
  </si>
  <si>
    <t>SunLED</t>
  </si>
  <si>
    <t>Everlight</t>
  </si>
  <si>
    <t>Fengming</t>
  </si>
  <si>
    <t>Wurth Electronics</t>
  </si>
  <si>
    <t>Sullins</t>
  </si>
  <si>
    <t>International Rectifier</t>
  </si>
  <si>
    <t>Infineon</t>
  </si>
  <si>
    <t>Nexperia</t>
  </si>
  <si>
    <t>Shenzhen</t>
  </si>
  <si>
    <t>Guangdong Hottech</t>
  </si>
  <si>
    <t>RALEC</t>
  </si>
  <si>
    <t>UNI-ROYAL</t>
  </si>
  <si>
    <t>Yageo Phycomp</t>
  </si>
  <si>
    <t>Viking Tech</t>
  </si>
  <si>
    <t>E-Switch</t>
  </si>
  <si>
    <t>Allegro MicroSystems</t>
  </si>
  <si>
    <t>Texas Instruments</t>
  </si>
  <si>
    <t>STMicroelectronics</t>
  </si>
  <si>
    <t>Analog Devices / Linear Technology</t>
  </si>
  <si>
    <t>CEL</t>
  </si>
  <si>
    <t>Microchip</t>
  </si>
  <si>
    <t>Senba</t>
  </si>
  <si>
    <t>HCI</t>
  </si>
  <si>
    <t>JYJE</t>
  </si>
  <si>
    <t>Yangxing Tech</t>
  </si>
  <si>
    <t>LCSC Part Number</t>
  </si>
  <si>
    <t>C107181</t>
  </si>
  <si>
    <t>C14664</t>
  </si>
  <si>
    <t>C577197</t>
  </si>
  <si>
    <t>C105621</t>
  </si>
  <si>
    <t>C60580</t>
  </si>
  <si>
    <t>C132563</t>
  </si>
  <si>
    <t>C40676</t>
  </si>
  <si>
    <t>C94515</t>
  </si>
  <si>
    <t>C181093</t>
  </si>
  <si>
    <t>C98220</t>
  </si>
  <si>
    <t>C96346</t>
  </si>
  <si>
    <t>C859155</t>
  </si>
  <si>
    <t>C114669</t>
  </si>
  <si>
    <t>C105879</t>
  </si>
  <si>
    <t>C114662</t>
  </si>
  <si>
    <t>C2681243</t>
  </si>
  <si>
    <t>10uF</t>
  </si>
  <si>
    <t>0.1uF</t>
  </si>
  <si>
    <t>1uF</t>
  </si>
  <si>
    <t>470uF</t>
  </si>
  <si>
    <t>100uF</t>
  </si>
  <si>
    <t>470pF</t>
  </si>
  <si>
    <t>30pF</t>
  </si>
  <si>
    <t>20pF</t>
  </si>
  <si>
    <t>0.047uF</t>
  </si>
  <si>
    <t>0.47uF</t>
  </si>
  <si>
    <t>1.2pF</t>
  </si>
  <si>
    <t>2.2uF</t>
  </si>
  <si>
    <t>1.5pF</t>
  </si>
  <si>
    <t>10uH</t>
  </si>
  <si>
    <t>220uH</t>
  </si>
  <si>
    <t>39nH</t>
  </si>
  <si>
    <t>33nH</t>
  </si>
  <si>
    <t>Test Point</t>
  </si>
  <si>
    <t>3.6K</t>
  </si>
  <si>
    <t>1.2k</t>
  </si>
  <si>
    <t>0.33R</t>
  </si>
  <si>
    <t>10K</t>
  </si>
  <si>
    <t>2.2K</t>
  </si>
  <si>
    <t>470K</t>
  </si>
  <si>
    <t>2.21M</t>
  </si>
  <si>
    <t>2.7K</t>
  </si>
  <si>
    <t>680R</t>
  </si>
  <si>
    <t>3.3K</t>
  </si>
  <si>
    <t>47R</t>
  </si>
  <si>
    <t>1K</t>
  </si>
  <si>
    <t>4.7K</t>
  </si>
  <si>
    <t>20K</t>
  </si>
  <si>
    <t>63.4K</t>
  </si>
  <si>
    <t>0R</t>
  </si>
  <si>
    <t>100K</t>
  </si>
  <si>
    <t>470R</t>
  </si>
  <si>
    <t>200K</t>
  </si>
  <si>
    <t>1M</t>
  </si>
  <si>
    <t>330R</t>
  </si>
  <si>
    <t>50K</t>
  </si>
  <si>
    <t>150K</t>
  </si>
  <si>
    <t>150R</t>
  </si>
  <si>
    <t>7.5K</t>
  </si>
  <si>
    <t>8MHz</t>
  </si>
  <si>
    <t>13.52313MHz</t>
  </si>
  <si>
    <t>32.768kHz</t>
  </si>
  <si>
    <t>Quantity</t>
  </si>
  <si>
    <t>RVT1E100M0405</t>
  </si>
  <si>
    <t>Custom</t>
  </si>
  <si>
    <t>Alternate Part Number</t>
  </si>
  <si>
    <t>Value</t>
  </si>
  <si>
    <t>Quantity (5 Boards)</t>
  </si>
  <si>
    <t>MOQ (5 Boards)</t>
  </si>
  <si>
    <t>Links</t>
  </si>
  <si>
    <t>UnitCost (5 Boards)</t>
  </si>
  <si>
    <t>TotalCost (5 Boards)</t>
  </si>
  <si>
    <t>Remarks</t>
  </si>
  <si>
    <t>Reviewer Remarks</t>
  </si>
  <si>
    <t>RTT03R330FTP</t>
  </si>
  <si>
    <t>-</t>
  </si>
  <si>
    <t>SOP-4_P1.27mm</t>
  </si>
  <si>
    <t>Header</t>
  </si>
  <si>
    <t>8-MSOP</t>
  </si>
  <si>
    <t>SOP-8_150mil</t>
  </si>
  <si>
    <t>Terminal Block</t>
  </si>
  <si>
    <t>SMA Connector</t>
  </si>
  <si>
    <t>Inductor</t>
  </si>
  <si>
    <t>LED</t>
  </si>
  <si>
    <t>Buzzer</t>
  </si>
  <si>
    <t>C3, C8, C11, C14, C19, C42, C45, C59, C79</t>
  </si>
  <si>
    <t>C6, C10, C15, C18, C22, C25, C26, C27, C28, C29, C30, C33, C36, C37, C38, C39, C40, C41, C44, C46, C47, C48, C49, C50, C51, C52, C54, C55, C57, C60, C62, C64, C66, C68, C69, C73, C76</t>
  </si>
  <si>
    <t>R4, R6, R9, R12, R27, R54, R55, R68, R69, R70, R72, R73, R74, R75, R82, R101, R102, R104, R110, R114</t>
  </si>
  <si>
    <t>R28, R31, R33, R42, R43, R44, R45, R46, R47, R48, R49, R52, R53, R56, R58, R59, R62, R63, R86, R87, R88, R106, R108, R109</t>
  </si>
  <si>
    <t>R26, R29, R34, R40, R41, R50, R51, R60, R61, R67, R71, R85, R107</t>
  </si>
  <si>
    <t>R57, R117, R118</t>
  </si>
  <si>
    <t>R89, R90, R99, R100, R105</t>
  </si>
  <si>
    <t>R23, R35, R36, R38, R76, R77, R79, R113</t>
  </si>
  <si>
    <t>R5, R8, R16, R18, R19, R20, R21, R22, R37, R39, R66, R78, R80, R111, R115</t>
  </si>
  <si>
    <t>C72484</t>
  </si>
  <si>
    <t>LCSC</t>
  </si>
  <si>
    <t>C191227</t>
  </si>
  <si>
    <t>C106221</t>
  </si>
  <si>
    <t>C125982</t>
  </si>
  <si>
    <t>C107092</t>
  </si>
  <si>
    <t>C123716</t>
  </si>
  <si>
    <t>C113797</t>
  </si>
  <si>
    <t>C92847</t>
  </si>
  <si>
    <t>C53, C78, C71, C72</t>
  </si>
  <si>
    <t>C281768</t>
  </si>
  <si>
    <t>C268016</t>
  </si>
  <si>
    <t>C1639</t>
  </si>
  <si>
    <t>C3035843</t>
  </si>
  <si>
    <t>C128848</t>
  </si>
  <si>
    <t>C908809</t>
  </si>
  <si>
    <t>C309982</t>
  </si>
  <si>
    <t>C3011128</t>
  </si>
  <si>
    <t>KF2EDGRC-5.08-2P</t>
  </si>
  <si>
    <t>KF2EDGRC-5.08-3P</t>
  </si>
  <si>
    <t>KF2EDGRC-5.08-4P</t>
  </si>
  <si>
    <t>C441236</t>
  </si>
  <si>
    <t>C441237</t>
  </si>
  <si>
    <t>C441238</t>
  </si>
  <si>
    <t>C1509209</t>
  </si>
  <si>
    <t>C281113</t>
  </si>
  <si>
    <t>C93225</t>
  </si>
  <si>
    <t>C269823</t>
  </si>
  <si>
    <t>C251779</t>
  </si>
  <si>
    <t>C130719</t>
  </si>
  <si>
    <t>C146233</t>
  </si>
  <si>
    <t>C409828</t>
  </si>
  <si>
    <t>C492405</t>
  </si>
  <si>
    <t>C30734</t>
  </si>
  <si>
    <t>C492401</t>
  </si>
  <si>
    <t>C2935910</t>
  </si>
  <si>
    <t>C156273</t>
  </si>
  <si>
    <t>C558174</t>
  </si>
  <si>
    <t>C558180</t>
  </si>
  <si>
    <t>NCD0402R1</t>
  </si>
  <si>
    <t>PZ254V-11-06P</t>
  </si>
  <si>
    <t>DZ254R-11-04-63</t>
  </si>
  <si>
    <t>C49257</t>
  </si>
  <si>
    <t>C57668</t>
  </si>
  <si>
    <t>C8666</t>
  </si>
  <si>
    <t>C41095</t>
  </si>
  <si>
    <t>C181990</t>
  </si>
  <si>
    <t>C144660</t>
  </si>
  <si>
    <t>C114605</t>
  </si>
  <si>
    <t>C103893</t>
  </si>
  <si>
    <t>C144601</t>
  </si>
  <si>
    <t>C422956</t>
  </si>
  <si>
    <t>C112310</t>
  </si>
  <si>
    <t>C108078</t>
  </si>
  <si>
    <t>C22548</t>
  </si>
  <si>
    <t>C100044</t>
  </si>
  <si>
    <t>C99782</t>
  </si>
  <si>
    <t>C2828840</t>
  </si>
  <si>
    <t>ARG05DTC5002</t>
  </si>
  <si>
    <t>C114660</t>
  </si>
  <si>
    <t>RES 150K OHM 1% 1/10W 0603</t>
  </si>
  <si>
    <t>C100023</t>
  </si>
  <si>
    <t>C201952</t>
  </si>
  <si>
    <t>C713240</t>
  </si>
  <si>
    <t>C67112</t>
  </si>
  <si>
    <t>C100024</t>
  </si>
  <si>
    <t>C33002</t>
  </si>
  <si>
    <t>C219772</t>
  </si>
  <si>
    <t>C90465</t>
  </si>
  <si>
    <t>C2905353</t>
  </si>
  <si>
    <t>C620155</t>
  </si>
  <si>
    <t>C114612</t>
  </si>
  <si>
    <t>C114623</t>
  </si>
  <si>
    <t>C723637</t>
  </si>
  <si>
    <t>C862245</t>
  </si>
  <si>
    <t>C471801</t>
  </si>
  <si>
    <t>C728597</t>
  </si>
  <si>
    <t>Switch</t>
  </si>
  <si>
    <t>IC</t>
  </si>
  <si>
    <t>Crystal</t>
  </si>
  <si>
    <t>C105574</t>
  </si>
  <si>
    <t>C116674</t>
  </si>
  <si>
    <t>AC0603FR-07100KL</t>
  </si>
  <si>
    <t>RES 1M OHM 1% 1/10W 0603</t>
  </si>
  <si>
    <t>C105578</t>
  </si>
  <si>
    <t xml:space="preserve">Less Stock On LCSC </t>
  </si>
  <si>
    <t>RES 2.2K OHM 1% 1/10W 0603</t>
  </si>
  <si>
    <t>R30, R116</t>
  </si>
  <si>
    <t>20V 500mV@3A 3A SMA(DO-214AC) Schottky Barrier Diodes (SBD) ROHS</t>
  </si>
  <si>
    <t>C34897</t>
  </si>
  <si>
    <t>Bill of Materials for Project [V3_Board]</t>
  </si>
  <si>
    <t>V3_Board</t>
  </si>
  <si>
    <t>320V 15A 2 2.5 1 12~24 5.08mm Green Plug P=5.08mm Pluggable System Terminal Block ROHS</t>
  </si>
  <si>
    <t>KF2EDGK-5.08-2P-AA</t>
  </si>
  <si>
    <t>Cixi Kefa Elec</t>
  </si>
  <si>
    <t>C440880</t>
  </si>
  <si>
    <t>C440881</t>
  </si>
  <si>
    <t>320V 15A 3 2.5 1 12~24 5.08mm Green Plug P=5.08mm Pluggable System Terminal Block ROHS</t>
  </si>
  <si>
    <t xml:space="preserve">KF2EDGK-5.08-3P-AA
</t>
  </si>
  <si>
    <t>Mating Terminal</t>
  </si>
  <si>
    <t>320V 15A 4 2.5 1 12~24 5.08mm Green Plug P=5.08mm Pluggable System Terminal Block ROHS</t>
  </si>
  <si>
    <t>C440882</t>
  </si>
  <si>
    <t>KF2EDGK-5.08-4P-AA</t>
  </si>
  <si>
    <t>C2718488</t>
  </si>
  <si>
    <t>BOOMELE</t>
  </si>
  <si>
    <t>J18 Right Angle Header ha Ise vertical Header se Replace kia ha for Testing Purpose</t>
  </si>
  <si>
    <t>Female Jumper</t>
  </si>
  <si>
    <t>Daraz</t>
  </si>
  <si>
    <t>Jumper Wires Male to Female 30cm 1 x 40</t>
  </si>
  <si>
    <t>PZ254V-11-02P</t>
  </si>
  <si>
    <t>LULU</t>
  </si>
  <si>
    <t>C231723</t>
  </si>
  <si>
    <t>KAN1241-1201C-L</t>
  </si>
  <si>
    <t>LULU Quote</t>
  </si>
  <si>
    <t xml:space="preserve">Less Stock On LCSC And JLCPCB Also </t>
  </si>
  <si>
    <t>LCD</t>
  </si>
  <si>
    <t>1.8 SPLC780 - LCD Displays Modules ROHS</t>
  </si>
  <si>
    <t xml:space="preserve">HS </t>
  </si>
  <si>
    <t>C2939933</t>
  </si>
  <si>
    <t>DL-RXB3BV-433M</t>
  </si>
  <si>
    <t>C381158</t>
  </si>
  <si>
    <t>Receiver Module</t>
  </si>
  <si>
    <t>Receiver Antenna</t>
  </si>
  <si>
    <t>2 弹簧天线 2.5dBi Vertical 433MHz 50Ω - Antennas ROHS</t>
  </si>
  <si>
    <t>VG433SNX39-6W3</t>
  </si>
  <si>
    <t xml:space="preserve">Vollgo </t>
  </si>
  <si>
    <t>C718844</t>
  </si>
  <si>
    <t>Do NOT MOUNT</t>
  </si>
  <si>
    <t>MOQ (10 Boards)</t>
  </si>
  <si>
    <t>Quantity (10 Boards)</t>
  </si>
  <si>
    <t>UnitCost (10 Boards)</t>
  </si>
  <si>
    <t>TotalCost (10 Boards)</t>
  </si>
  <si>
    <t>X1321WVS-2x05J-C40D53</t>
  </si>
  <si>
    <t>C2881910</t>
  </si>
  <si>
    <t>Non Stock on LCSC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</si>
</sst>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9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strike/>
      <u/>
      <sz val="11"/>
      <color rgb="FFFF0000"/>
      <name val="Calibri"/>
      <family val="2"/>
      <scheme val="minor"/>
    </font>
    <font>
      <b/>
      <strike/>
      <sz val="9"/>
      <color rgb="FFFF0000"/>
      <name val="Calibri"/>
      <family val="2"/>
      <scheme val="minor"/>
    </font>
    <font>
      <b/>
      <sz val="11"/>
      <color rgb="FFFFC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0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165" fontId="18" fillId="2" borderId="5" xfId="0" applyNumberFormat="1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0" xfId="0" applyNumberFormat="1" applyFont="1" applyFill="1" applyBorder="1" applyAlignment="1">
      <alignment horizontal="center" vertical="center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7" fillId="4" borderId="19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4" fillId="2" borderId="5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6" fillId="2" borderId="16" xfId="1" applyFont="1" applyFill="1" applyBorder="1" applyAlignment="1">
      <alignment horizontal="center" vertical="center" wrapText="1"/>
    </xf>
    <xf numFmtId="165" fontId="23" fillId="2" borderId="5" xfId="0" applyNumberFormat="1" applyFont="1" applyFill="1" applyBorder="1" applyAlignment="1">
      <alignment horizontal="center" vertical="center" wrapText="1"/>
    </xf>
    <xf numFmtId="165" fontId="23" fillId="2" borderId="16" xfId="0" applyNumberFormat="1" applyFont="1" applyFill="1" applyBorder="1" applyAlignment="1">
      <alignment horizontal="center" vertical="center" wrapText="1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165" fontId="18" fillId="2" borderId="6" xfId="0" applyNumberFormat="1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6" fillId="2" borderId="17" xfId="1" applyFont="1" applyFill="1" applyBorder="1" applyAlignment="1">
      <alignment horizontal="center" vertical="center" wrapText="1"/>
    </xf>
    <xf numFmtId="165" fontId="23" fillId="2" borderId="6" xfId="0" applyNumberFormat="1" applyFont="1" applyFill="1" applyBorder="1" applyAlignment="1">
      <alignment horizontal="center" vertical="center" wrapText="1"/>
    </xf>
    <xf numFmtId="165" fontId="23" fillId="2" borderId="17" xfId="0" applyNumberFormat="1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166" fontId="18" fillId="2" borderId="17" xfId="0" applyNumberFormat="1" applyFont="1" applyFill="1" applyBorder="1" applyAlignment="1">
      <alignment horizontal="center" vertical="center" wrapText="1"/>
    </xf>
    <xf numFmtId="0" fontId="11" fillId="4" borderId="23" xfId="0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2" borderId="24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5" fillId="2" borderId="16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27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  <xf numFmtId="0" fontId="19" fillId="2" borderId="16" xfId="0" applyFont="1" applyFill="1" applyBorder="1" applyAlignment="1">
      <alignment horizontal="center" wrapText="1"/>
    </xf>
    <xf numFmtId="0" fontId="28" fillId="2" borderId="6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10416</xdr:rowOff>
    </xdr:from>
    <xdr:to>
      <xdr:col>18</xdr:col>
      <xdr:colOff>1724025</xdr:colOff>
      <xdr:row>7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59450" y="620016"/>
          <a:ext cx="1714500" cy="1132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Inductors-SMD_Murata-Electronics-LQW15AN39NG80D_C269823.html" TargetMode="External"/><Relationship Id="rId21" Type="http://schemas.openxmlformats.org/officeDocument/2006/relationships/hyperlink" Target="https://www.lcsc.com/product-detail/Pluggable-System-Terminal-Block_Cixi-Kefa-Elec-KF2EDGRC-5-08-3P_C441237.html" TargetMode="External"/><Relationship Id="rId42" Type="http://schemas.openxmlformats.org/officeDocument/2006/relationships/hyperlink" Target="https://www.lcsc.com/product-detail/Bipolar-Transistors-BJT_Diodes-Incorporated-MMBT2222A-7-F_C94515.html" TargetMode="External"/><Relationship Id="rId47" Type="http://schemas.openxmlformats.org/officeDocument/2006/relationships/hyperlink" Target="https://www.lcsc.com/product-detail/MOSFETs_Guangdong-Hottech-AO3407_C181093.html" TargetMode="External"/><Relationship Id="rId63" Type="http://schemas.openxmlformats.org/officeDocument/2006/relationships/hyperlink" Target="https://www.lcsc.com/product-detail/Microcontroller-Units-MCUs-MPUs-SOCs_STMicroelectronics-STM32F072VBT6_C713240.html" TargetMode="External"/><Relationship Id="rId68" Type="http://schemas.openxmlformats.org/officeDocument/2006/relationships/hyperlink" Target="https://www.lcsc.com/product-detail/Optocouplers-Phototransistor-Output_RENESAS-PS2801C-1-F3-A_C67112.html" TargetMode="External"/><Relationship Id="rId84" Type="http://schemas.openxmlformats.org/officeDocument/2006/relationships/hyperlink" Target="https://www.lcsc.com/product-detail/Crystals_JYJE-S1C13523ZWFAC_C2681243.html" TargetMode="External"/><Relationship Id="rId89" Type="http://schemas.openxmlformats.org/officeDocument/2006/relationships/hyperlink" Target="https://www.lcsc.com/product-detail/Pluggable-System-Terminal-Block_Cixi-Kefa-Elec-KF2EDGK-5-08-3P-AA_C440881.html" TargetMode="External"/><Relationship Id="rId16" Type="http://schemas.openxmlformats.org/officeDocument/2006/relationships/hyperlink" Target="https://www.lcsc.com/product-detail/Zener-Diodes_onsemi-1SMA5930BT3G_C128848.html" TargetMode="External"/><Relationship Id="rId11" Type="http://schemas.openxmlformats.org/officeDocument/2006/relationships/hyperlink" Target="https://www.lcsc.com/product-detail/Multilayer-Ceramic-Capacitors-MLCC-SMD-SMT_YAGEO-CC1206JRX7R0BB473_C577197.html" TargetMode="External"/><Relationship Id="rId32" Type="http://schemas.openxmlformats.org/officeDocument/2006/relationships/hyperlink" Target="https://www.lcsc.com/product-detail/span-style-background-color-ff0-Pin-span-Headers_XFCN-PZ254V-11-06P_C492405.html" TargetMode="External"/><Relationship Id="rId37" Type="http://schemas.openxmlformats.org/officeDocument/2006/relationships/hyperlink" Target="https://www.lcsc.com/product-detail/Female-Headers_BOOMELE-Boom-Precision-Elec-C30734_C30734.html" TargetMode="External"/><Relationship Id="rId53" Type="http://schemas.openxmlformats.org/officeDocument/2006/relationships/hyperlink" Target="https://www.lcsc.com/product-detail/Chip-Resistor-Surface-Mount_UNI-ROYAL-Uniroyal-Elec-0603WAF2214T5E_C422956.html" TargetMode="External"/><Relationship Id="rId58" Type="http://schemas.openxmlformats.org/officeDocument/2006/relationships/hyperlink" Target="https://www.lcsc.com/product-detail/Chip-Resistor-Surface-Mount_YAGEO-RC0603FR-070RL_C100044.html" TargetMode="External"/><Relationship Id="rId74" Type="http://schemas.openxmlformats.org/officeDocument/2006/relationships/hyperlink" Target="https://www.lcsc.com/product-detail/Chip-Resistor-Surface-Mount_YAGEO-RT0603BRE0763K4L_C862245.html" TargetMode="External"/><Relationship Id="rId79" Type="http://schemas.openxmlformats.org/officeDocument/2006/relationships/hyperlink" Target="https://www.lcsc.com/product-detail/Chip-Resistor-Surface-Mount_YAGEO-RC0603FR-07470RL_C114669.html" TargetMode="External"/><Relationship Id="rId5" Type="http://schemas.openxmlformats.org/officeDocument/2006/relationships/hyperlink" Target="https://www.lcsc.com/product-detail/Aluminum-Electrolytic-Capacitors-SMD_Nichicon-UWX1E101MCL1GB_C125982.html" TargetMode="External"/><Relationship Id="rId90" Type="http://schemas.openxmlformats.org/officeDocument/2006/relationships/hyperlink" Target="https://www.lcsc.com/product-detail/Pluggable-System-Terminal-Block_Cixi-Kefa-Elec-KF2EDGK-5-08-4P-AA_C440882.html" TargetMode="External"/><Relationship Id="rId95" Type="http://schemas.openxmlformats.org/officeDocument/2006/relationships/hyperlink" Target="https://www.lcsc.com/product-detail/RF-Modules_DreamLNK-DL-RXB3BV-433M_C381158.html" TargetMode="External"/><Relationship Id="rId22" Type="http://schemas.openxmlformats.org/officeDocument/2006/relationships/hyperlink" Target="https://www.lcsc.com/product-detail/Pluggable-System-Terminal-Block_Cixi-Kefa-Elec-KF2EDGRC-5-08-4P_C441238.html" TargetMode="External"/><Relationship Id="rId27" Type="http://schemas.openxmlformats.org/officeDocument/2006/relationships/hyperlink" Target="https://www.lcsc.com/product-detail/Inductors-SMD_EMTEK-HSC0603-33NJ-T_C251779.html" TargetMode="External"/><Relationship Id="rId43" Type="http://schemas.openxmlformats.org/officeDocument/2006/relationships/hyperlink" Target="https://www.lcsc.com/product-detail/Bipolar-Transistors-BJT_Nexperia-BC847B-215_C57668.html" TargetMode="External"/><Relationship Id="rId48" Type="http://schemas.openxmlformats.org/officeDocument/2006/relationships/hyperlink" Target="https://www.lcsc.com/product-detail/Chip-Resistor-Surface-Mount_YAGEO-AC0603FR-073K6L_C144660.html" TargetMode="External"/><Relationship Id="rId64" Type="http://schemas.openxmlformats.org/officeDocument/2006/relationships/hyperlink" Target="https://www.lcsc.com/product-detail/Buffers-Drivers_Texas-Instruments-SN74LV1T34DBVR_C100024.html" TargetMode="External"/><Relationship Id="rId69" Type="http://schemas.openxmlformats.org/officeDocument/2006/relationships/hyperlink" Target="https://www.lcsc.com/product-detail/Crystals_HCI-XC32M4-8-000-F18LJDT_C2905353.html" TargetMode="External"/><Relationship Id="rId80" Type="http://schemas.openxmlformats.org/officeDocument/2006/relationships/hyperlink" Target="https://www.lcsc.com/product-detail/Chip-Resistor-Surface-Mount_YAGEO-RC0603FR-07200KL_C105574.html" TargetMode="External"/><Relationship Id="rId85" Type="http://schemas.openxmlformats.org/officeDocument/2006/relationships/hyperlink" Target="https://www.lcsc.com/product-detail/MOSFETs_Infineon-Technologies-IRF3205STRLPBF_C2613.html" TargetMode="External"/><Relationship Id="rId3" Type="http://schemas.openxmlformats.org/officeDocument/2006/relationships/hyperlink" Target="https://www.lcsc.com/product-detail/Aluminum-Electrolytic-Capacitors-SMD_Changzhou-Huawei-Elec-VT1H471MI135000CE0_C191227.html" TargetMode="External"/><Relationship Id="rId12" Type="http://schemas.openxmlformats.org/officeDocument/2006/relationships/hyperlink" Target="https://www.lcsc.com/product-detail/Multilayer-Ceramic-Capacitors-MLCC-SMD-SMT_YAGEO-CC0603CRNPO9BN1R2_C281768.html" TargetMode="External"/><Relationship Id="rId17" Type="http://schemas.openxmlformats.org/officeDocument/2006/relationships/hyperlink" Target="https://www.lcsc.com/product-detail/TVS_GOODWORK-SMAJ5-0CA_C908809.html" TargetMode="External"/><Relationship Id="rId25" Type="http://schemas.openxmlformats.org/officeDocument/2006/relationships/hyperlink" Target="https://www.lcsc.com/product-detail/Power-Inductors_TDK-SLF12575T-221M1R3-PF_C93225.html" TargetMode="External"/><Relationship Id="rId33" Type="http://schemas.openxmlformats.org/officeDocument/2006/relationships/hyperlink" Target="https://www.lcsc.com/product-detail/span-style-background-color-ff0-Pin-span-Headers_DEALON-DZ254R-11-04-63_C2935910.html" TargetMode="External"/><Relationship Id="rId38" Type="http://schemas.openxmlformats.org/officeDocument/2006/relationships/hyperlink" Target="https://www.lcsc.com/product-detail/Pin-Headers_XFCN-PZ254V-11-02P_C492401.html" TargetMode="External"/><Relationship Id="rId46" Type="http://schemas.openxmlformats.org/officeDocument/2006/relationships/hyperlink" Target="https://www.lcsc.com/product-detail/MOSFETs_Shenzhen-ruichips-Semicon-RU6085H_C181990.html" TargetMode="External"/><Relationship Id="rId59" Type="http://schemas.openxmlformats.org/officeDocument/2006/relationships/hyperlink" Target="https://www.lcsc.com/product-detail/Chip-Resistor-Surface-Mount_YAGEO-RC0603FR-074K7L_C99782.html" TargetMode="External"/><Relationship Id="rId67" Type="http://schemas.openxmlformats.org/officeDocument/2006/relationships/hyperlink" Target="https://www.lcsc.com/product-detail/DC-DC-Converters_Texas-Instruments-MC34063ADR_C100023.html" TargetMode="External"/><Relationship Id="rId20" Type="http://schemas.openxmlformats.org/officeDocument/2006/relationships/hyperlink" Target="https://www.lcsc.com/product-detail/span-style-background-color-ff0-Pluggable-span-System-span-style-background-color-ff0-Terminal-span-span-style-background-color-ff0-Block-span_Cixi-Kefa-Elec-KF2EDGRC-5-08-2P_C441236.html" TargetMode="External"/><Relationship Id="rId41" Type="http://schemas.openxmlformats.org/officeDocument/2006/relationships/hyperlink" Target="https://www.lcsc.com/product-detail/Pin-Headers_BOOMELE-Boom-Precision-Elec-C49257_C49257.html" TargetMode="External"/><Relationship Id="rId54" Type="http://schemas.openxmlformats.org/officeDocument/2006/relationships/hyperlink" Target="https://www.lcsc.com/product-detail/Chip-Resistor-Surface-Mount_YAGEO-RC0603FR-0710KL_C98220.html" TargetMode="External"/><Relationship Id="rId62" Type="http://schemas.openxmlformats.org/officeDocument/2006/relationships/hyperlink" Target="https://www.lcsc.com/product-detail/Linear-Voltage-Regulators-LDO_Texas-Instruments-LMS8117AMP-3-3-NOPB_C201952.html" TargetMode="External"/><Relationship Id="rId70" Type="http://schemas.openxmlformats.org/officeDocument/2006/relationships/hyperlink" Target="https://www.lcsc.com/product-detail/Crystals_Yangxing-Tech-X321532768KGD2SI_C620155.html" TargetMode="External"/><Relationship Id="rId75" Type="http://schemas.openxmlformats.org/officeDocument/2006/relationships/hyperlink" Target="https://www.lcsc.com/product-detail/Chip-Resistor-Surface-Mount_YAGEO-RC0805FR-07100KL_C96346.html" TargetMode="External"/><Relationship Id="rId83" Type="http://schemas.openxmlformats.org/officeDocument/2006/relationships/hyperlink" Target="https://www.lcsc.com/product-detail/Chip-Resistor-Surface-Mount_YAGEO-RC0603JR-07330RL_C105879.html" TargetMode="External"/><Relationship Id="rId88" Type="http://schemas.openxmlformats.org/officeDocument/2006/relationships/hyperlink" Target="https://www.lcsc.com/product-detail/Pluggable-System-Terminal-Block_Cixi-Kefa-Elec-KF2EDGK-5-08-2P-AA_C440880.html" TargetMode="External"/><Relationship Id="rId91" Type="http://schemas.openxmlformats.org/officeDocument/2006/relationships/hyperlink" Target="https://www.lcsc.com/product-detail/Female-Headers_BOOMELE-Boom-Precision-Elec-C2718488_C2718488.html" TargetMode="External"/><Relationship Id="rId96" Type="http://schemas.openxmlformats.org/officeDocument/2006/relationships/hyperlink" Target="https://www.lcsc.com/product-detail/Antennas_Vollgo-VG433SNX39-6W3_C718844.html" TargetMode="External"/><Relationship Id="rId1" Type="http://schemas.openxmlformats.org/officeDocument/2006/relationships/hyperlink" Target="https://www.lcsc.com/product-detail/Aluminum-Electrolytic-Capacitors-SMD_ROQANG-RVT1E100M0405_C72484.html" TargetMode="External"/><Relationship Id="rId6" Type="http://schemas.openxmlformats.org/officeDocument/2006/relationships/hyperlink" Target="https://www.lcsc.com/product-detail/Multilayer-Ceramic-Capacitors-MLCC-SMD-SMT_YAGEO-CC0603KRX7R9BB471_C107092.html" TargetMode="External"/><Relationship Id="rId15" Type="http://schemas.openxmlformats.org/officeDocument/2006/relationships/hyperlink" Target="https://www.lcsc.com/product-detail/Schottky-Barrier-Diodes-SBD_PAKER-SS24A_C3035843.html" TargetMode="External"/><Relationship Id="rId23" Type="http://schemas.openxmlformats.org/officeDocument/2006/relationships/hyperlink" Target="https://www.lcsc.com/product-detail/RF-Connectors-Coaxial-Connectors_HJ-Tech-HJ-SMA508_C1509209.html" TargetMode="External"/><Relationship Id="rId28" Type="http://schemas.openxmlformats.org/officeDocument/2006/relationships/hyperlink" Target="https://www.lcsc.com/product-detail/Ambient-Light-Sensors_Everlight-Elec-ALS-PT19-315C-L177-TR8_C146233.html" TargetMode="External"/><Relationship Id="rId36" Type="http://schemas.openxmlformats.org/officeDocument/2006/relationships/hyperlink" Target="https://www.lcsc.com/product-detail/Light-Emitting-Diodes-span-style-background-color-ff0-LED-span_Foshan-NationStar-Optoelectronics-NCD0402R1_C130719.html" TargetMode="External"/><Relationship Id="rId49" Type="http://schemas.openxmlformats.org/officeDocument/2006/relationships/hyperlink" Target="https://www.lcsc.com/product-detail/Chip-Resistor-Surface-Mount_YAGEO-RC0603FR-071K2L_C114605.html" TargetMode="External"/><Relationship Id="rId57" Type="http://schemas.openxmlformats.org/officeDocument/2006/relationships/hyperlink" Target="https://www.lcsc.com/product-detail/Chip-Resistor-Surface-Mount_YAGEO-RC0603FR-071KL_C22548.html" TargetMode="External"/><Relationship Id="rId10" Type="http://schemas.openxmlformats.org/officeDocument/2006/relationships/hyperlink" Target="https://www.lcsc.com/product-detail/Multilayer-Ceramic-Capacitors-MLCC-SMD-SMT_Taiyo-Yuden-UMK107B7474KA-TR_C92847.html" TargetMode="External"/><Relationship Id="rId31" Type="http://schemas.openxmlformats.org/officeDocument/2006/relationships/hyperlink" Target="https://www.lcsc.com/product-detail/Inductors-SMD_microgate-MGFL2012F100MT-LF_C281113.html" TargetMode="External"/><Relationship Id="rId44" Type="http://schemas.openxmlformats.org/officeDocument/2006/relationships/hyperlink" Target="https://www.lcsc.com/product-detail/Bipolar-Transistors-BJT_Nexperia-BC857C-215_C8666.html" TargetMode="External"/><Relationship Id="rId52" Type="http://schemas.openxmlformats.org/officeDocument/2006/relationships/hyperlink" Target="https://www.lcsc.com/product-detail/Chip-Resistor-Surface-Mount_YAGEO-AC0603JR-07470KL_C144601.html" TargetMode="External"/><Relationship Id="rId60" Type="http://schemas.openxmlformats.org/officeDocument/2006/relationships/hyperlink" Target="https://www.lcsc.com/product-detail/Chip-Resistor-Surface-Mount_Viking-Tech-ARG05DTC5002_C2828840.html" TargetMode="External"/><Relationship Id="rId65" Type="http://schemas.openxmlformats.org/officeDocument/2006/relationships/hyperlink" Target="https://www.lcsc.com/product-detail/RF-Transceiver-ICs_Microchip-Tech-MICRF220AYQS_C219772.html" TargetMode="External"/><Relationship Id="rId73" Type="http://schemas.openxmlformats.org/officeDocument/2006/relationships/hyperlink" Target="https://www.lcsc.com/product-detail/Chip-Resistor-Surface-Mount_YAGEO-RT0603BRD0720KL_C723637.html" TargetMode="External"/><Relationship Id="rId78" Type="http://schemas.openxmlformats.org/officeDocument/2006/relationships/hyperlink" Target="https://www.lcsc.com/product-detail/Chip-Resistor-Surface-Mount_YAGEO-RT0603BRD077K5L_C728597.html" TargetMode="External"/><Relationship Id="rId81" Type="http://schemas.openxmlformats.org/officeDocument/2006/relationships/hyperlink" Target="https://www.lcsc.com/product-detail/Chip-Resistor-Surface-Mount_YAGEO-AC0603FR-07100KL_C116674.html" TargetMode="External"/><Relationship Id="rId86" Type="http://schemas.openxmlformats.org/officeDocument/2006/relationships/hyperlink" Target="https://www.lcsc.com/product-detail/Multilayer-Ceramic-Capacitors-MLCC-SMD-SMT_YAGEO-CC1206KKX7R0BB104_C107181.html" TargetMode="External"/><Relationship Id="rId94" Type="http://schemas.openxmlformats.org/officeDocument/2006/relationships/hyperlink" Target="https://www.lcsc.com/product-detail/span-style-background-color-ff0-LCD-span-Displays-Modules_HS-HS0802_C2939933.html" TargetMode="External"/><Relationship Id="rId99" Type="http://schemas.openxmlformats.org/officeDocument/2006/relationships/drawing" Target="../drawings/drawing1.xml"/><Relationship Id="rId4" Type="http://schemas.openxmlformats.org/officeDocument/2006/relationships/hyperlink" Target="https://www.lcsc.com/product-detail/Multilayer-Ceramic-Capacitors-MLCC-SMD-SMT_YAGEO-CC0603ZRY5V9BB104_C106221.html" TargetMode="External"/><Relationship Id="rId9" Type="http://schemas.openxmlformats.org/officeDocument/2006/relationships/hyperlink" Target="https://www.lcsc.com/product-detail/Multilayer-Ceramic-Capacitors-MLCC-SMD-SMT_YAGEO-CC0603JRNPO9BN200_C105621.html" TargetMode="External"/><Relationship Id="rId13" Type="http://schemas.openxmlformats.org/officeDocument/2006/relationships/hyperlink" Target="https://www.lcsc.com/product-detail/Multilayer-Ceramic-Capacitors-MLCC-SMD-SMT_Taiyo-Yuden-UMK107BBJ225KA-T_C268016.html" TargetMode="External"/><Relationship Id="rId18" Type="http://schemas.openxmlformats.org/officeDocument/2006/relationships/hyperlink" Target="https://www.lcsc.com/product-detail/Schottky-Barrier-Diodes-SBD_JUXING-SS510B_C3011128.html" TargetMode="External"/><Relationship Id="rId39" Type="http://schemas.openxmlformats.org/officeDocument/2006/relationships/hyperlink" Target="https://www.lcsc.com/product-detail/Switching-Diode_Diodes-Incorporated-1N4148WS-7-F_C60580.html" TargetMode="External"/><Relationship Id="rId34" Type="http://schemas.openxmlformats.org/officeDocument/2006/relationships/hyperlink" Target="https://www.lcsc.com/product-detail/MOSFETs_VBsemi-Elec-IRLML2502TRPBF_C558174.html" TargetMode="External"/><Relationship Id="rId50" Type="http://schemas.openxmlformats.org/officeDocument/2006/relationships/hyperlink" Target="https://www.lcsc.com/product-detail/Chip-Resistor-Surface-Mount_RALEC-RTT03R330FTP_C103893.html" TargetMode="External"/><Relationship Id="rId55" Type="http://schemas.openxmlformats.org/officeDocument/2006/relationships/hyperlink" Target="https://www.lcsc.com/product-detail/Chip-Resistor-Surface-Mount_YAGEO-RC0603FR-07680RL_C112310.html" TargetMode="External"/><Relationship Id="rId76" Type="http://schemas.openxmlformats.org/officeDocument/2006/relationships/hyperlink" Target="https://www.lcsc.com/product-detail/Chip-Resistor-Surface-Mount_YAGEO-RC1206FR-7W1KL_C859155.html" TargetMode="External"/><Relationship Id="rId97" Type="http://schemas.openxmlformats.org/officeDocument/2006/relationships/hyperlink" Target="https://www.lcsc.com/product-detail/Pin-Headers_XKB-Connectivity-X1321WVS-2x05J-C40D53_C2881910.html" TargetMode="External"/><Relationship Id="rId7" Type="http://schemas.openxmlformats.org/officeDocument/2006/relationships/hyperlink" Target="https://www.lcsc.com/product-detail/Multilayer-Ceramic-Capacitors-MLCC-SMD-SMT_YAGEO-CC0603JRNPO9BN300_C113797.html" TargetMode="External"/><Relationship Id="rId71" Type="http://schemas.openxmlformats.org/officeDocument/2006/relationships/hyperlink" Target="https://www.lcsc.com/product-detail/Chip-Resistor-Surface-Mount_YAGEO-RC0603FR-072K7L_C114612.html" TargetMode="External"/><Relationship Id="rId92" Type="http://schemas.openxmlformats.org/officeDocument/2006/relationships/hyperlink" Target="https://www.daraz.pk/products/jumper-wires-male-to-female-30cm-1-x-40-i2146127.html" TargetMode="External"/><Relationship Id="rId2" Type="http://schemas.openxmlformats.org/officeDocument/2006/relationships/hyperlink" Target="https://www.lcsc.com/product-detail/Multilayer-Ceramic-Capacitors-MLCC-SMD-SMT_YAGEO-CC0603KRX5R8BB105_C14664.html" TargetMode="External"/><Relationship Id="rId29" Type="http://schemas.openxmlformats.org/officeDocument/2006/relationships/hyperlink" Target="https://www.lcsc.com/product-detail/Buzzers_Fengming-YS-SBZ9032C03R16_C409828.html" TargetMode="External"/><Relationship Id="rId24" Type="http://schemas.openxmlformats.org/officeDocument/2006/relationships/hyperlink" Target="https://www.lcsc.com/product-detail/USB-Connectors_Amphenol-ICC-10118194-0001LF_C132563.html" TargetMode="External"/><Relationship Id="rId40" Type="http://schemas.openxmlformats.org/officeDocument/2006/relationships/hyperlink" Target="https://www.lcsc.com/product-detail/Power-Relays_Ningbo-Songle-Relay-SMI-12VDC-SL-2C_C40676.html" TargetMode="External"/><Relationship Id="rId45" Type="http://schemas.openxmlformats.org/officeDocument/2006/relationships/hyperlink" Target="https://www.lcsc.com/product-detail/Bipolar-Transistors-BJT_onsemi-MMBT5551LT1G_C41095.html" TargetMode="External"/><Relationship Id="rId66" Type="http://schemas.openxmlformats.org/officeDocument/2006/relationships/hyperlink" Target="https://www.lcsc.com/product-detail/Human-Body-Sensing-Sensor_Senba-Sensing-Tech-AS312_C90465.html" TargetMode="External"/><Relationship Id="rId87" Type="http://schemas.openxmlformats.org/officeDocument/2006/relationships/hyperlink" Target="https://www.lcsc.com/product-detail/Schottky-Barrier-Diodes-SBD_MDD-Microdiode-Electronics-SS32_C34897.html" TargetMode="External"/><Relationship Id="rId61" Type="http://schemas.openxmlformats.org/officeDocument/2006/relationships/hyperlink" Target="https://www.lcsc.com/product-detail/Chip-Resistor-Surface-Mount_YAGEO-RC0603FR-07150KL_C114660.html" TargetMode="External"/><Relationship Id="rId82" Type="http://schemas.openxmlformats.org/officeDocument/2006/relationships/hyperlink" Target="https://www.lcsc.com/product-detail/Chip-Resistor-Surface-Mount_YAGEO-RC0603FR-071ML_C105578.html" TargetMode="External"/><Relationship Id="rId19" Type="http://schemas.openxmlformats.org/officeDocument/2006/relationships/hyperlink" Target="https://www.lcsc.com/product-detail/TVS_Brightking-SMBJ70A-TR13_C309982.html" TargetMode="External"/><Relationship Id="rId14" Type="http://schemas.openxmlformats.org/officeDocument/2006/relationships/hyperlink" Target="https://www.lcsc.com/product-detail/Multilayer-Ceramic-Capacitors-MLCC-SMD-SMT_FH-Guangdong-Fenghua-Advanced-Tech-0603CG1R5C500NT_C1639.html" TargetMode="External"/><Relationship Id="rId30" Type="http://schemas.openxmlformats.org/officeDocument/2006/relationships/hyperlink" Target="https://www.lcsc.com/product-detail/MOSFETs_Diodes-Incorporated-DMN13H750S-7_C156273.html" TargetMode="External"/><Relationship Id="rId35" Type="http://schemas.openxmlformats.org/officeDocument/2006/relationships/hyperlink" Target="https://www.lcsc.com/product-detail/MOSFETs_VBsemi-Elec-IRLML6402TRPBF_C558180.html" TargetMode="External"/><Relationship Id="rId56" Type="http://schemas.openxmlformats.org/officeDocument/2006/relationships/hyperlink" Target="https://www.lcsc.com/product-detail/Chip-Resistor-Surface-Mount_YAGEO-RC0603FR-073K3L_C108078.html" TargetMode="External"/><Relationship Id="rId77" Type="http://schemas.openxmlformats.org/officeDocument/2006/relationships/hyperlink" Target="https://www.lcsc.com/product-detail/Chip-Resistor-Surface-Mount_YAGEO-RC0603DR-07150RL_C471801.html" TargetMode="External"/><Relationship Id="rId8" Type="http://schemas.openxmlformats.org/officeDocument/2006/relationships/hyperlink" Target="https://www.lcsc.com/product-detail/span-style-background-color-ff0-Tantalum-span-Capacitors_KEMET-T491A105K025AT_C123716.html" TargetMode="External"/><Relationship Id="rId51" Type="http://schemas.openxmlformats.org/officeDocument/2006/relationships/hyperlink" Target="https://www.lcsc.com/product-detail/Chip-Resistor-Surface-Mount_YAGEO-RC0603FR-072K2L_C114662.html" TargetMode="External"/><Relationship Id="rId72" Type="http://schemas.openxmlformats.org/officeDocument/2006/relationships/hyperlink" Target="https://www.lcsc.com/product-detail/Chip-Resistor-Surface-Mount_YAGEO-RC0603FR-0747RL_C114623.html" TargetMode="External"/><Relationship Id="rId93" Type="http://schemas.openxmlformats.org/officeDocument/2006/relationships/hyperlink" Target="https://www.lcsc.com/product-detail/span-style-background-color-ff0-Tactile-span-span-style-background-color-ff0-Switches-span_GANGYUAN-KAN1241-1201C-L_C231723.html" TargetMode="External"/><Relationship Id="rId98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lcsc.com/product-detail/Inductors-SMD_Murata-Electronics-LQW15AN39NG80D_C269823.html" TargetMode="External"/><Relationship Id="rId21" Type="http://schemas.openxmlformats.org/officeDocument/2006/relationships/hyperlink" Target="https://www.lcsc.com/product-detail/Pluggable-System-Terminal-Block_Cixi-Kefa-Elec-KF2EDGRC-5-08-3P_C441237.html" TargetMode="External"/><Relationship Id="rId42" Type="http://schemas.openxmlformats.org/officeDocument/2006/relationships/hyperlink" Target="https://www.lcsc.com/product-detail/Bipolar-Transistors-BJT_Diodes-Incorporated-MMBT2222A-7-F_C94515.html" TargetMode="External"/><Relationship Id="rId47" Type="http://schemas.openxmlformats.org/officeDocument/2006/relationships/hyperlink" Target="https://www.lcsc.com/product-detail/MOSFETs_Guangdong-Hottech-AO3407_C181093.html" TargetMode="External"/><Relationship Id="rId63" Type="http://schemas.openxmlformats.org/officeDocument/2006/relationships/hyperlink" Target="https://www.lcsc.com/product-detail/Microcontroller-Units-MCUs-MPUs-SOCs_STMicroelectronics-STM32F072VBT6_C713240.html" TargetMode="External"/><Relationship Id="rId68" Type="http://schemas.openxmlformats.org/officeDocument/2006/relationships/hyperlink" Target="https://www.lcsc.com/product-detail/Optocouplers-Phototransistor-Output_RENESAS-PS2801C-1-F3-A_C67112.html" TargetMode="External"/><Relationship Id="rId84" Type="http://schemas.openxmlformats.org/officeDocument/2006/relationships/hyperlink" Target="https://www.lcsc.com/product-detail/Crystals_JYJE-S1C13523ZWFAC_C2681243.html" TargetMode="External"/><Relationship Id="rId89" Type="http://schemas.openxmlformats.org/officeDocument/2006/relationships/hyperlink" Target="https://www.lcsc.com/product-detail/Pluggable-System-Terminal-Block_Cixi-Kefa-Elec-KF2EDGK-5-08-3P-AA_C440881.html" TargetMode="External"/><Relationship Id="rId16" Type="http://schemas.openxmlformats.org/officeDocument/2006/relationships/hyperlink" Target="https://www.lcsc.com/product-detail/Zener-Diodes_onsemi-1SMA5930BT3G_C128848.html" TargetMode="External"/><Relationship Id="rId11" Type="http://schemas.openxmlformats.org/officeDocument/2006/relationships/hyperlink" Target="https://www.lcsc.com/product-detail/Multilayer-Ceramic-Capacitors-MLCC-SMD-SMT_YAGEO-CC1206JRX7R0BB473_C577197.html" TargetMode="External"/><Relationship Id="rId32" Type="http://schemas.openxmlformats.org/officeDocument/2006/relationships/hyperlink" Target="https://www.lcsc.com/product-detail/span-style-background-color-ff0-Pin-span-Headers_XFCN-PZ254V-11-06P_C492405.html" TargetMode="External"/><Relationship Id="rId37" Type="http://schemas.openxmlformats.org/officeDocument/2006/relationships/hyperlink" Target="https://www.lcsc.com/product-detail/Female-Headers_BOOMELE-Boom-Precision-Elec-C30734_C30734.html" TargetMode="External"/><Relationship Id="rId53" Type="http://schemas.openxmlformats.org/officeDocument/2006/relationships/hyperlink" Target="https://www.lcsc.com/product-detail/Chip-Resistor-Surface-Mount_UNI-ROYAL-Uniroyal-Elec-0603WAF2214T5E_C422956.html" TargetMode="External"/><Relationship Id="rId58" Type="http://schemas.openxmlformats.org/officeDocument/2006/relationships/hyperlink" Target="https://www.lcsc.com/product-detail/Chip-Resistor-Surface-Mount_YAGEO-RC0603FR-070RL_C100044.html" TargetMode="External"/><Relationship Id="rId74" Type="http://schemas.openxmlformats.org/officeDocument/2006/relationships/hyperlink" Target="https://www.lcsc.com/product-detail/Chip-Resistor-Surface-Mount_YAGEO-RT0603BRE0763K4L_C862245.html" TargetMode="External"/><Relationship Id="rId79" Type="http://schemas.openxmlformats.org/officeDocument/2006/relationships/hyperlink" Target="https://www.lcsc.com/product-detail/Chip-Resistor-Surface-Mount_YAGEO-RC0603FR-07470RL_C114669.html" TargetMode="External"/><Relationship Id="rId5" Type="http://schemas.openxmlformats.org/officeDocument/2006/relationships/hyperlink" Target="https://www.lcsc.com/product-detail/Aluminum-Electrolytic-Capacitors-SMD_Nichicon-UWX1E101MCL1GB_C125982.html" TargetMode="External"/><Relationship Id="rId90" Type="http://schemas.openxmlformats.org/officeDocument/2006/relationships/hyperlink" Target="https://www.lcsc.com/product-detail/Pluggable-System-Terminal-Block_Cixi-Kefa-Elec-KF2EDGK-5-08-4P-AA_C440882.html" TargetMode="External"/><Relationship Id="rId95" Type="http://schemas.openxmlformats.org/officeDocument/2006/relationships/hyperlink" Target="https://www.lcsc.com/product-detail/RF-Modules_DreamLNK-DL-RXB3BV-433M_C381158.html" TargetMode="External"/><Relationship Id="rId22" Type="http://schemas.openxmlformats.org/officeDocument/2006/relationships/hyperlink" Target="https://www.lcsc.com/product-detail/Pluggable-System-Terminal-Block_Cixi-Kefa-Elec-KF2EDGRC-5-08-4P_C441238.html" TargetMode="External"/><Relationship Id="rId27" Type="http://schemas.openxmlformats.org/officeDocument/2006/relationships/hyperlink" Target="https://www.lcsc.com/product-detail/Inductors-SMD_EMTEK-HSC0603-33NJ-T_C251779.html" TargetMode="External"/><Relationship Id="rId43" Type="http://schemas.openxmlformats.org/officeDocument/2006/relationships/hyperlink" Target="https://www.lcsc.com/product-detail/Bipolar-Transistors-BJT_Nexperia-BC847B-215_C57668.html" TargetMode="External"/><Relationship Id="rId48" Type="http://schemas.openxmlformats.org/officeDocument/2006/relationships/hyperlink" Target="https://www.lcsc.com/product-detail/Chip-Resistor-Surface-Mount_YAGEO-AC0603FR-073K6L_C144660.html" TargetMode="External"/><Relationship Id="rId64" Type="http://schemas.openxmlformats.org/officeDocument/2006/relationships/hyperlink" Target="https://www.lcsc.com/product-detail/Buffers-Drivers_Texas-Instruments-SN74LV1T34DBVR_C100024.html" TargetMode="External"/><Relationship Id="rId69" Type="http://schemas.openxmlformats.org/officeDocument/2006/relationships/hyperlink" Target="https://www.lcsc.com/product-detail/Crystals_HCI-XC32M4-8-000-F18LJDT_C2905353.html" TargetMode="External"/><Relationship Id="rId80" Type="http://schemas.openxmlformats.org/officeDocument/2006/relationships/hyperlink" Target="https://www.lcsc.com/product-detail/Chip-Resistor-Surface-Mount_YAGEO-RC0603FR-07200KL_C105574.html" TargetMode="External"/><Relationship Id="rId85" Type="http://schemas.openxmlformats.org/officeDocument/2006/relationships/hyperlink" Target="https://www.lcsc.com/product-detail/MOSFETs_Infineon-Technologies-IRF3205STRLPBF_C2613.html" TargetMode="External"/><Relationship Id="rId3" Type="http://schemas.openxmlformats.org/officeDocument/2006/relationships/hyperlink" Target="https://www.lcsc.com/product-detail/Aluminum-Electrolytic-Capacitors-SMD_Changzhou-Huawei-Elec-VT1H471MI135000CE0_C191227.html" TargetMode="External"/><Relationship Id="rId12" Type="http://schemas.openxmlformats.org/officeDocument/2006/relationships/hyperlink" Target="https://www.lcsc.com/product-detail/Multilayer-Ceramic-Capacitors-MLCC-SMD-SMT_YAGEO-CC0603CRNPO9BN1R2_C281768.html" TargetMode="External"/><Relationship Id="rId17" Type="http://schemas.openxmlformats.org/officeDocument/2006/relationships/hyperlink" Target="https://www.lcsc.com/product-detail/TVS_GOODWORK-SMAJ5-0CA_C908809.html" TargetMode="External"/><Relationship Id="rId25" Type="http://schemas.openxmlformats.org/officeDocument/2006/relationships/hyperlink" Target="https://www.lcsc.com/product-detail/Power-Inductors_TDK-SLF12575T-221M1R3-PF_C93225.html" TargetMode="External"/><Relationship Id="rId33" Type="http://schemas.openxmlformats.org/officeDocument/2006/relationships/hyperlink" Target="https://www.lcsc.com/product-detail/span-style-background-color-ff0-Pin-span-Headers_DEALON-DZ254R-11-04-63_C2935910.html" TargetMode="External"/><Relationship Id="rId38" Type="http://schemas.openxmlformats.org/officeDocument/2006/relationships/hyperlink" Target="https://www.lcsc.com/product-detail/Pin-Headers_XFCN-PZ254V-11-02P_C492401.html" TargetMode="External"/><Relationship Id="rId46" Type="http://schemas.openxmlformats.org/officeDocument/2006/relationships/hyperlink" Target="https://www.lcsc.com/product-detail/MOSFETs_Shenzhen-ruichips-Semicon-RU6085H_C181990.html" TargetMode="External"/><Relationship Id="rId59" Type="http://schemas.openxmlformats.org/officeDocument/2006/relationships/hyperlink" Target="https://www.lcsc.com/product-detail/Chip-Resistor-Surface-Mount_YAGEO-RC0603FR-074K7L_C99782.html" TargetMode="External"/><Relationship Id="rId67" Type="http://schemas.openxmlformats.org/officeDocument/2006/relationships/hyperlink" Target="https://www.lcsc.com/product-detail/DC-DC-Converters_Texas-Instruments-MC34063ADR_C100023.html" TargetMode="External"/><Relationship Id="rId20" Type="http://schemas.openxmlformats.org/officeDocument/2006/relationships/hyperlink" Target="https://www.lcsc.com/product-detail/span-style-background-color-ff0-Pluggable-span-System-span-style-background-color-ff0-Terminal-span-span-style-background-color-ff0-Block-span_Cixi-Kefa-Elec-KF2EDGRC-5-08-2P_C441236.html" TargetMode="External"/><Relationship Id="rId41" Type="http://schemas.openxmlformats.org/officeDocument/2006/relationships/hyperlink" Target="https://www.lcsc.com/product-detail/Pin-Headers_BOOMELE-Boom-Precision-Elec-C49257_C49257.html" TargetMode="External"/><Relationship Id="rId54" Type="http://schemas.openxmlformats.org/officeDocument/2006/relationships/hyperlink" Target="https://www.lcsc.com/product-detail/Chip-Resistor-Surface-Mount_YAGEO-RC0603FR-0710KL_C98220.html" TargetMode="External"/><Relationship Id="rId62" Type="http://schemas.openxmlformats.org/officeDocument/2006/relationships/hyperlink" Target="https://www.lcsc.com/product-detail/Linear-Voltage-Regulators-LDO_Texas-Instruments-LMS8117AMP-3-3-NOPB_C201952.html" TargetMode="External"/><Relationship Id="rId70" Type="http://schemas.openxmlformats.org/officeDocument/2006/relationships/hyperlink" Target="https://www.lcsc.com/product-detail/Crystals_Yangxing-Tech-X321532768KGD2SI_C620155.html" TargetMode="External"/><Relationship Id="rId75" Type="http://schemas.openxmlformats.org/officeDocument/2006/relationships/hyperlink" Target="https://www.lcsc.com/product-detail/Chip-Resistor-Surface-Mount_YAGEO-RC0805FR-07100KL_C96346.html" TargetMode="External"/><Relationship Id="rId83" Type="http://schemas.openxmlformats.org/officeDocument/2006/relationships/hyperlink" Target="https://www.lcsc.com/product-detail/Chip-Resistor-Surface-Mount_YAGEO-RC0603JR-07330RL_C105879.html" TargetMode="External"/><Relationship Id="rId88" Type="http://schemas.openxmlformats.org/officeDocument/2006/relationships/hyperlink" Target="https://www.lcsc.com/product-detail/Pluggable-System-Terminal-Block_Cixi-Kefa-Elec-KF2EDGK-5-08-2P-AA_C440880.html" TargetMode="External"/><Relationship Id="rId91" Type="http://schemas.openxmlformats.org/officeDocument/2006/relationships/hyperlink" Target="https://www.lcsc.com/product-detail/Female-Headers_BOOMELE-Boom-Precision-Elec-C2718488_C2718488.html" TargetMode="External"/><Relationship Id="rId96" Type="http://schemas.openxmlformats.org/officeDocument/2006/relationships/hyperlink" Target="https://www.lcsc.com/product-detail/Antennas_Vollgo-VG433SNX39-6W3_C718844.html" TargetMode="External"/><Relationship Id="rId1" Type="http://schemas.openxmlformats.org/officeDocument/2006/relationships/hyperlink" Target="https://www.lcsc.com/product-detail/Aluminum-Electrolytic-Capacitors-SMD_ROQANG-RVT1E100M0405_C72484.html" TargetMode="External"/><Relationship Id="rId6" Type="http://schemas.openxmlformats.org/officeDocument/2006/relationships/hyperlink" Target="https://www.lcsc.com/product-detail/Multilayer-Ceramic-Capacitors-MLCC-SMD-SMT_YAGEO-CC0603KRX7R9BB471_C107092.html" TargetMode="External"/><Relationship Id="rId15" Type="http://schemas.openxmlformats.org/officeDocument/2006/relationships/hyperlink" Target="https://www.lcsc.com/product-detail/Schottky-Barrier-Diodes-SBD_PAKER-SS24A_C3035843.html" TargetMode="External"/><Relationship Id="rId23" Type="http://schemas.openxmlformats.org/officeDocument/2006/relationships/hyperlink" Target="https://www.lcsc.com/product-detail/RF-Connectors-Coaxial-Connectors_HJ-Tech-HJ-SMA508_C1509209.html" TargetMode="External"/><Relationship Id="rId28" Type="http://schemas.openxmlformats.org/officeDocument/2006/relationships/hyperlink" Target="https://www.lcsc.com/product-detail/Ambient-Light-Sensors_Everlight-Elec-ALS-PT19-315C-L177-TR8_C146233.html" TargetMode="External"/><Relationship Id="rId36" Type="http://schemas.openxmlformats.org/officeDocument/2006/relationships/hyperlink" Target="https://www.lcsc.com/product-detail/Light-Emitting-Diodes-span-style-background-color-ff0-LED-span_Foshan-NationStar-Optoelectronics-NCD0402R1_C130719.html" TargetMode="External"/><Relationship Id="rId49" Type="http://schemas.openxmlformats.org/officeDocument/2006/relationships/hyperlink" Target="https://www.lcsc.com/product-detail/Chip-Resistor-Surface-Mount_YAGEO-RC0603FR-071K2L_C114605.html" TargetMode="External"/><Relationship Id="rId57" Type="http://schemas.openxmlformats.org/officeDocument/2006/relationships/hyperlink" Target="https://www.lcsc.com/product-detail/Chip-Resistor-Surface-Mount_YAGEO-RC0603FR-071KL_C22548.html" TargetMode="External"/><Relationship Id="rId10" Type="http://schemas.openxmlformats.org/officeDocument/2006/relationships/hyperlink" Target="https://www.lcsc.com/product-detail/Multilayer-Ceramic-Capacitors-MLCC-SMD-SMT_Taiyo-Yuden-UMK107B7474KA-TR_C92847.html" TargetMode="External"/><Relationship Id="rId31" Type="http://schemas.openxmlformats.org/officeDocument/2006/relationships/hyperlink" Target="https://www.lcsc.com/product-detail/Inductors-SMD_microgate-MGFL2012F100MT-LF_C281113.html" TargetMode="External"/><Relationship Id="rId44" Type="http://schemas.openxmlformats.org/officeDocument/2006/relationships/hyperlink" Target="https://www.lcsc.com/product-detail/Bipolar-Transistors-BJT_Nexperia-BC857C-215_C8666.html" TargetMode="External"/><Relationship Id="rId52" Type="http://schemas.openxmlformats.org/officeDocument/2006/relationships/hyperlink" Target="https://www.lcsc.com/product-detail/Chip-Resistor-Surface-Mount_YAGEO-AC0603JR-07470KL_C144601.html" TargetMode="External"/><Relationship Id="rId60" Type="http://schemas.openxmlformats.org/officeDocument/2006/relationships/hyperlink" Target="https://www.lcsc.com/product-detail/Chip-Resistor-Surface-Mount_Viking-Tech-ARG05DTC5002_C2828840.html" TargetMode="External"/><Relationship Id="rId65" Type="http://schemas.openxmlformats.org/officeDocument/2006/relationships/hyperlink" Target="https://www.lcsc.com/product-detail/RF-Transceiver-ICs_Microchip-Tech-MICRF220AYQS_C219772.html" TargetMode="External"/><Relationship Id="rId73" Type="http://schemas.openxmlformats.org/officeDocument/2006/relationships/hyperlink" Target="https://www.lcsc.com/product-detail/Chip-Resistor-Surface-Mount_YAGEO-RT0603BRD0720KL_C723637.html" TargetMode="External"/><Relationship Id="rId78" Type="http://schemas.openxmlformats.org/officeDocument/2006/relationships/hyperlink" Target="https://www.lcsc.com/product-detail/Chip-Resistor-Surface-Mount_YAGEO-RT0603BRD077K5L_C728597.html" TargetMode="External"/><Relationship Id="rId81" Type="http://schemas.openxmlformats.org/officeDocument/2006/relationships/hyperlink" Target="https://www.lcsc.com/product-detail/Chip-Resistor-Surface-Mount_YAGEO-AC0603FR-07100KL_C116674.html" TargetMode="External"/><Relationship Id="rId86" Type="http://schemas.openxmlformats.org/officeDocument/2006/relationships/hyperlink" Target="https://www.lcsc.com/product-detail/Multilayer-Ceramic-Capacitors-MLCC-SMD-SMT_YAGEO-CC1206KKX7R0BB104_C107181.html" TargetMode="External"/><Relationship Id="rId94" Type="http://schemas.openxmlformats.org/officeDocument/2006/relationships/hyperlink" Target="https://www.lcsc.com/product-detail/span-style-background-color-ff0-LCD-span-Displays-Modules_HS-HS0802_C2939933.html" TargetMode="External"/><Relationship Id="rId4" Type="http://schemas.openxmlformats.org/officeDocument/2006/relationships/hyperlink" Target="https://www.lcsc.com/product-detail/Multilayer-Ceramic-Capacitors-MLCC-SMD-SMT_YAGEO-CC0603ZRY5V9BB104_C106221.html" TargetMode="External"/><Relationship Id="rId9" Type="http://schemas.openxmlformats.org/officeDocument/2006/relationships/hyperlink" Target="https://www.lcsc.com/product-detail/Multilayer-Ceramic-Capacitors-MLCC-SMD-SMT_YAGEO-CC0603JRNPO9BN200_C105621.html" TargetMode="External"/><Relationship Id="rId13" Type="http://schemas.openxmlformats.org/officeDocument/2006/relationships/hyperlink" Target="https://www.lcsc.com/product-detail/Multilayer-Ceramic-Capacitors-MLCC-SMD-SMT_Taiyo-Yuden-UMK107BBJ225KA-T_C268016.html" TargetMode="External"/><Relationship Id="rId18" Type="http://schemas.openxmlformats.org/officeDocument/2006/relationships/hyperlink" Target="https://www.lcsc.com/product-detail/Schottky-Barrier-Diodes-SBD_JUXING-SS510B_C3011128.html" TargetMode="External"/><Relationship Id="rId39" Type="http://schemas.openxmlformats.org/officeDocument/2006/relationships/hyperlink" Target="https://www.lcsc.com/product-detail/Switching-Diode_Diodes-Incorporated-1N4148WS-7-F_C60580.html" TargetMode="External"/><Relationship Id="rId34" Type="http://schemas.openxmlformats.org/officeDocument/2006/relationships/hyperlink" Target="https://www.lcsc.com/product-detail/MOSFETs_VBsemi-Elec-IRLML2502TRPBF_C558174.html" TargetMode="External"/><Relationship Id="rId50" Type="http://schemas.openxmlformats.org/officeDocument/2006/relationships/hyperlink" Target="https://www.lcsc.com/product-detail/Chip-Resistor-Surface-Mount_RALEC-RTT03R330FTP_C103893.html" TargetMode="External"/><Relationship Id="rId55" Type="http://schemas.openxmlformats.org/officeDocument/2006/relationships/hyperlink" Target="https://www.lcsc.com/product-detail/Chip-Resistor-Surface-Mount_YAGEO-RC0603FR-07680RL_C112310.html" TargetMode="External"/><Relationship Id="rId76" Type="http://schemas.openxmlformats.org/officeDocument/2006/relationships/hyperlink" Target="https://www.lcsc.com/product-detail/Chip-Resistor-Surface-Mount_YAGEO-RC1206FR-7W1KL_C859155.html" TargetMode="External"/><Relationship Id="rId97" Type="http://schemas.openxmlformats.org/officeDocument/2006/relationships/hyperlink" Target="https://www.lcsc.com/product-detail/Pin-Headers_XKB-Connectivity-X1321WVS-2x05J-C40D53_C2881910.html" TargetMode="External"/><Relationship Id="rId7" Type="http://schemas.openxmlformats.org/officeDocument/2006/relationships/hyperlink" Target="https://www.lcsc.com/product-detail/Multilayer-Ceramic-Capacitors-MLCC-SMD-SMT_YAGEO-CC0603JRNPO9BN300_C113797.html" TargetMode="External"/><Relationship Id="rId71" Type="http://schemas.openxmlformats.org/officeDocument/2006/relationships/hyperlink" Target="https://www.lcsc.com/product-detail/Chip-Resistor-Surface-Mount_YAGEO-RC0603FR-072K7L_C114612.html" TargetMode="External"/><Relationship Id="rId92" Type="http://schemas.openxmlformats.org/officeDocument/2006/relationships/hyperlink" Target="https://www.daraz.pk/products/jumper-wires-male-to-female-30cm-1-x-40-i2146127.html" TargetMode="External"/><Relationship Id="rId2" Type="http://schemas.openxmlformats.org/officeDocument/2006/relationships/hyperlink" Target="https://www.lcsc.com/product-detail/Multilayer-Ceramic-Capacitors-MLCC-SMD-SMT_YAGEO-CC0603KRX5R8BB105_C14664.html" TargetMode="External"/><Relationship Id="rId29" Type="http://schemas.openxmlformats.org/officeDocument/2006/relationships/hyperlink" Target="https://www.lcsc.com/product-detail/Buzzers_Fengming-YS-SBZ9032C03R16_C409828.html" TargetMode="External"/><Relationship Id="rId24" Type="http://schemas.openxmlformats.org/officeDocument/2006/relationships/hyperlink" Target="https://www.lcsc.com/product-detail/USB-Connectors_Amphenol-ICC-10118194-0001LF_C132563.html" TargetMode="External"/><Relationship Id="rId40" Type="http://schemas.openxmlformats.org/officeDocument/2006/relationships/hyperlink" Target="https://www.lcsc.com/product-detail/Power-Relays_Ningbo-Songle-Relay-SMI-12VDC-SL-2C_C40676.html" TargetMode="External"/><Relationship Id="rId45" Type="http://schemas.openxmlformats.org/officeDocument/2006/relationships/hyperlink" Target="https://www.lcsc.com/product-detail/Bipolar-Transistors-BJT_onsemi-MMBT5551LT1G_C41095.html" TargetMode="External"/><Relationship Id="rId66" Type="http://schemas.openxmlformats.org/officeDocument/2006/relationships/hyperlink" Target="https://www.lcsc.com/product-detail/Human-Body-Sensing-Sensor_Senba-Sensing-Tech-AS312_C90465.html" TargetMode="External"/><Relationship Id="rId87" Type="http://schemas.openxmlformats.org/officeDocument/2006/relationships/hyperlink" Target="https://www.lcsc.com/product-detail/Schottky-Barrier-Diodes-SBD_MDD-Microdiode-Electronics-SS32_C34897.html" TargetMode="External"/><Relationship Id="rId61" Type="http://schemas.openxmlformats.org/officeDocument/2006/relationships/hyperlink" Target="https://www.lcsc.com/product-detail/Chip-Resistor-Surface-Mount_YAGEO-RC0603FR-07150KL_C114660.html" TargetMode="External"/><Relationship Id="rId82" Type="http://schemas.openxmlformats.org/officeDocument/2006/relationships/hyperlink" Target="https://www.lcsc.com/product-detail/Chip-Resistor-Surface-Mount_YAGEO-RC0603FR-071ML_C105578.html" TargetMode="External"/><Relationship Id="rId19" Type="http://schemas.openxmlformats.org/officeDocument/2006/relationships/hyperlink" Target="https://www.lcsc.com/product-detail/TVS_Brightking-SMBJ70A-TR13_C309982.html" TargetMode="External"/><Relationship Id="rId14" Type="http://schemas.openxmlformats.org/officeDocument/2006/relationships/hyperlink" Target="https://www.lcsc.com/product-detail/Multilayer-Ceramic-Capacitors-MLCC-SMD-SMT_FH-Guangdong-Fenghua-Advanced-Tech-0603CG1R5C500NT_C1639.html" TargetMode="External"/><Relationship Id="rId30" Type="http://schemas.openxmlformats.org/officeDocument/2006/relationships/hyperlink" Target="https://www.lcsc.com/product-detail/MOSFETs_Diodes-Incorporated-DMN13H750S-7_C156273.html" TargetMode="External"/><Relationship Id="rId35" Type="http://schemas.openxmlformats.org/officeDocument/2006/relationships/hyperlink" Target="https://www.lcsc.com/product-detail/MOSFETs_VBsemi-Elec-IRLML6402TRPBF_C558180.html" TargetMode="External"/><Relationship Id="rId56" Type="http://schemas.openxmlformats.org/officeDocument/2006/relationships/hyperlink" Target="https://www.lcsc.com/product-detail/Chip-Resistor-Surface-Mount_YAGEO-RC0603FR-073K3L_C108078.html" TargetMode="External"/><Relationship Id="rId77" Type="http://schemas.openxmlformats.org/officeDocument/2006/relationships/hyperlink" Target="https://www.lcsc.com/product-detail/Chip-Resistor-Surface-Mount_YAGEO-RC0603DR-07150RL_C471801.html" TargetMode="External"/><Relationship Id="rId8" Type="http://schemas.openxmlformats.org/officeDocument/2006/relationships/hyperlink" Target="https://www.lcsc.com/product-detail/span-style-background-color-ff0-Tantalum-span-Capacitors_KEMET-T491A105K025AT_C123716.html" TargetMode="External"/><Relationship Id="rId51" Type="http://schemas.openxmlformats.org/officeDocument/2006/relationships/hyperlink" Target="https://www.lcsc.com/product-detail/Chip-Resistor-Surface-Mount_YAGEO-RC0603FR-072K2L_C114662.html" TargetMode="External"/><Relationship Id="rId72" Type="http://schemas.openxmlformats.org/officeDocument/2006/relationships/hyperlink" Target="https://www.lcsc.com/product-detail/Chip-Resistor-Surface-Mount_YAGEO-RC0603FR-0747RL_C114623.html" TargetMode="External"/><Relationship Id="rId93" Type="http://schemas.openxmlformats.org/officeDocument/2006/relationships/hyperlink" Target="https://www.lcsc.com/product-detail/span-style-background-color-ff0-Tactile-span-span-style-background-color-ff0-Switches-span_GANGYUAN-KAN1241-1201C-L_C231723.html" TargetMode="External"/><Relationship Id="rId9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14"/>
  <sheetViews>
    <sheetView topLeftCell="A100" zoomScaleNormal="100" workbookViewId="0">
      <selection activeCell="E109" sqref="E109"/>
    </sheetView>
  </sheetViews>
  <sheetFormatPr defaultRowHeight="15" x14ac:dyDescent="0.25"/>
  <cols>
    <col min="2" max="2" width="4" style="26" bestFit="1" customWidth="1"/>
    <col min="3" max="3" width="18" style="26" bestFit="1" customWidth="1"/>
    <col min="4" max="4" width="30.28515625" customWidth="1"/>
    <col min="5" max="5" width="32.5703125" customWidth="1"/>
    <col min="6" max="6" width="15.140625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10.710937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12.140625" customWidth="1"/>
    <col min="16" max="16" width="18.28515625" bestFit="1" customWidth="1"/>
    <col min="17" max="17" width="18.8554687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91"/>
      <c r="L1" s="91"/>
      <c r="M1" s="91"/>
      <c r="N1" s="91"/>
      <c r="O1" s="91"/>
      <c r="P1" s="91"/>
      <c r="Q1" s="91"/>
      <c r="R1" s="91"/>
      <c r="S1" s="92"/>
    </row>
    <row r="2" spans="1:19" ht="32.25" thickBot="1" x14ac:dyDescent="0.3">
      <c r="A2" s="1"/>
      <c r="B2" s="21"/>
      <c r="C2" s="32"/>
      <c r="D2" s="11" t="s">
        <v>0</v>
      </c>
      <c r="E2" s="11"/>
      <c r="F2" s="50" t="s">
        <v>545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3"/>
      <c r="D3" s="13" t="s">
        <v>1</v>
      </c>
      <c r="E3" s="13"/>
      <c r="F3" s="51" t="s">
        <v>546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93"/>
    </row>
    <row r="4" spans="1:19" x14ac:dyDescent="0.25">
      <c r="A4" s="1"/>
      <c r="B4" s="22"/>
      <c r="C4" s="33"/>
      <c r="D4" s="13" t="s">
        <v>2</v>
      </c>
      <c r="E4" s="13"/>
      <c r="F4" s="52" t="s">
        <v>546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94"/>
    </row>
    <row r="5" spans="1:19" x14ac:dyDescent="0.25">
      <c r="A5" s="1"/>
      <c r="B5" s="22"/>
      <c r="C5" s="33"/>
      <c r="D5" s="13" t="s">
        <v>3</v>
      </c>
      <c r="E5" s="13"/>
      <c r="F5" s="53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94"/>
    </row>
    <row r="6" spans="1:19" x14ac:dyDescent="0.25">
      <c r="A6" s="1"/>
      <c r="B6" s="23"/>
      <c r="C6" s="34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94"/>
    </row>
    <row r="7" spans="1:19" x14ac:dyDescent="0.25">
      <c r="A7" s="1"/>
      <c r="B7" s="24"/>
      <c r="C7" s="35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94"/>
    </row>
    <row r="8" spans="1:19" ht="15.75" thickBot="1" x14ac:dyDescent="0.3">
      <c r="A8" s="1"/>
      <c r="B8" s="27"/>
      <c r="C8" s="36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94"/>
    </row>
    <row r="9" spans="1:19" ht="15.75" thickBot="1" x14ac:dyDescent="0.3">
      <c r="A9" s="1"/>
      <c r="B9" s="54" t="s">
        <v>4</v>
      </c>
      <c r="C9" s="30" t="s">
        <v>8</v>
      </c>
      <c r="D9" s="55" t="s">
        <v>15</v>
      </c>
      <c r="E9" s="31" t="s">
        <v>101</v>
      </c>
      <c r="F9" s="54" t="s">
        <v>192</v>
      </c>
      <c r="G9" s="30" t="s">
        <v>244</v>
      </c>
      <c r="H9" s="55" t="s">
        <v>313</v>
      </c>
      <c r="I9" s="30" t="s">
        <v>426</v>
      </c>
      <c r="J9" s="31" t="s">
        <v>360</v>
      </c>
      <c r="K9" s="30" t="s">
        <v>427</v>
      </c>
      <c r="L9" s="31" t="s">
        <v>423</v>
      </c>
      <c r="M9" s="30" t="s">
        <v>428</v>
      </c>
      <c r="N9" s="31" t="s">
        <v>429</v>
      </c>
      <c r="O9" s="30" t="s">
        <v>430</v>
      </c>
      <c r="P9" s="31" t="s">
        <v>431</v>
      </c>
      <c r="Q9" s="30" t="s">
        <v>432</v>
      </c>
      <c r="R9" s="31" t="s">
        <v>433</v>
      </c>
      <c r="S9" s="30" t="s">
        <v>434</v>
      </c>
    </row>
    <row r="10" spans="1:19" ht="24" x14ac:dyDescent="0.25">
      <c r="A10" s="1"/>
      <c r="B10" s="78">
        <f>ROW(B10) - ROW($B$9)</f>
        <v>1</v>
      </c>
      <c r="C10" s="85" t="s">
        <v>9</v>
      </c>
      <c r="D10" s="82" t="s">
        <v>16</v>
      </c>
      <c r="E10" s="38" t="s">
        <v>102</v>
      </c>
      <c r="F10" s="39" t="s">
        <v>425</v>
      </c>
      <c r="G10" s="38" t="s">
        <v>424</v>
      </c>
      <c r="H10" s="39" t="s">
        <v>314</v>
      </c>
      <c r="I10" s="38" t="s">
        <v>436</v>
      </c>
      <c r="J10" s="38" t="s">
        <v>455</v>
      </c>
      <c r="K10" s="38" t="s">
        <v>377</v>
      </c>
      <c r="L10" s="39">
        <v>13</v>
      </c>
      <c r="M10" s="38">
        <f>L10*5</f>
        <v>65</v>
      </c>
      <c r="N10" s="38">
        <v>80</v>
      </c>
      <c r="O10" s="57" t="s">
        <v>456</v>
      </c>
      <c r="P10" s="40">
        <v>2.4500000000000001E-2</v>
      </c>
      <c r="Q10" s="40">
        <f>P10*N10</f>
        <v>1.96</v>
      </c>
      <c r="R10" s="39"/>
      <c r="S10" s="66"/>
    </row>
    <row r="11" spans="1:19" x14ac:dyDescent="0.25">
      <c r="A11" s="1"/>
      <c r="B11" s="81">
        <f t="shared" ref="B11:B104" si="0">ROW(B11) - ROW($B$9)</f>
        <v>2</v>
      </c>
      <c r="C11" s="86" t="s">
        <v>9</v>
      </c>
      <c r="D11" s="79" t="s">
        <v>17</v>
      </c>
      <c r="E11" s="67" t="s">
        <v>103</v>
      </c>
      <c r="F11" s="68" t="s">
        <v>193</v>
      </c>
      <c r="G11" s="67" t="s">
        <v>245</v>
      </c>
      <c r="H11" s="68" t="s">
        <v>315</v>
      </c>
      <c r="I11" s="67" t="s">
        <v>436</v>
      </c>
      <c r="J11" s="68" t="s">
        <v>361</v>
      </c>
      <c r="K11" s="67" t="s">
        <v>378</v>
      </c>
      <c r="L11" s="68">
        <v>1</v>
      </c>
      <c r="M11" s="67">
        <f t="shared" ref="M11" si="1">L11*5</f>
        <v>5</v>
      </c>
      <c r="N11" s="68">
        <v>50</v>
      </c>
      <c r="O11" s="69" t="s">
        <v>456</v>
      </c>
      <c r="P11" s="70">
        <v>1.18E-2</v>
      </c>
      <c r="Q11" s="71">
        <f t="shared" ref="Q11" si="2">P11*N11</f>
        <v>0.59</v>
      </c>
      <c r="R11" s="68"/>
      <c r="S11" s="67"/>
    </row>
    <row r="12" spans="1:19" x14ac:dyDescent="0.25">
      <c r="A12" s="1"/>
      <c r="B12" s="78">
        <f>ROW(B12) - ROW($B$9)</f>
        <v>3</v>
      </c>
      <c r="C12" s="85" t="s">
        <v>9</v>
      </c>
      <c r="D12" s="82" t="s">
        <v>446</v>
      </c>
      <c r="E12" s="56" t="s">
        <v>104</v>
      </c>
      <c r="F12" s="39" t="s">
        <v>194</v>
      </c>
      <c r="G12" s="38" t="s">
        <v>246</v>
      </c>
      <c r="H12" s="39" t="s">
        <v>315</v>
      </c>
      <c r="I12" s="38" t="s">
        <v>436</v>
      </c>
      <c r="J12" s="39" t="s">
        <v>362</v>
      </c>
      <c r="K12" s="38" t="s">
        <v>379</v>
      </c>
      <c r="L12" s="39">
        <v>9</v>
      </c>
      <c r="M12" s="38">
        <f>L12*5</f>
        <v>45</v>
      </c>
      <c r="N12" s="38">
        <v>100</v>
      </c>
      <c r="O12" s="57" t="s">
        <v>456</v>
      </c>
      <c r="P12" s="47">
        <v>4.7000000000000002E-3</v>
      </c>
      <c r="Q12" s="40">
        <f>P12*N12</f>
        <v>0.47000000000000003</v>
      </c>
      <c r="R12" s="39"/>
      <c r="S12" s="38"/>
    </row>
    <row r="13" spans="1:19" ht="48" x14ac:dyDescent="0.25">
      <c r="A13" s="1"/>
      <c r="B13" s="81">
        <f t="shared" si="0"/>
        <v>4</v>
      </c>
      <c r="C13" s="86" t="s">
        <v>9</v>
      </c>
      <c r="D13" s="79" t="s">
        <v>18</v>
      </c>
      <c r="E13" s="67" t="s">
        <v>105</v>
      </c>
      <c r="F13" s="68" t="s">
        <v>425</v>
      </c>
      <c r="G13" s="67" t="s">
        <v>195</v>
      </c>
      <c r="H13" s="68" t="s">
        <v>316</v>
      </c>
      <c r="I13" s="67"/>
      <c r="J13" s="68" t="s">
        <v>457</v>
      </c>
      <c r="K13" s="67" t="s">
        <v>380</v>
      </c>
      <c r="L13" s="68">
        <v>5</v>
      </c>
      <c r="M13" s="67">
        <f t="shared" ref="M13" si="3">L13*5</f>
        <v>25</v>
      </c>
      <c r="N13" s="68">
        <v>27</v>
      </c>
      <c r="O13" s="69" t="s">
        <v>456</v>
      </c>
      <c r="P13" s="70">
        <v>0.28799999999999998</v>
      </c>
      <c r="Q13" s="71">
        <f t="shared" ref="Q13" si="4">P13*N13</f>
        <v>7.7759999999999998</v>
      </c>
      <c r="R13" s="68"/>
      <c r="S13" s="67"/>
    </row>
    <row r="14" spans="1:19" ht="60" x14ac:dyDescent="0.25">
      <c r="A14" s="1"/>
      <c r="B14" s="78">
        <f>ROW(B14) - ROW($B$9)</f>
        <v>5</v>
      </c>
      <c r="C14" s="85" t="s">
        <v>9</v>
      </c>
      <c r="D14" s="82" t="s">
        <v>447</v>
      </c>
      <c r="E14" s="56" t="s">
        <v>106</v>
      </c>
      <c r="F14" s="39" t="s">
        <v>194</v>
      </c>
      <c r="G14" s="38" t="s">
        <v>247</v>
      </c>
      <c r="H14" s="39" t="s">
        <v>315</v>
      </c>
      <c r="I14" s="38" t="s">
        <v>436</v>
      </c>
      <c r="J14" s="39" t="s">
        <v>458</v>
      </c>
      <c r="K14" s="38" t="s">
        <v>378</v>
      </c>
      <c r="L14" s="39">
        <v>37</v>
      </c>
      <c r="M14" s="38">
        <f>L14*5</f>
        <v>185</v>
      </c>
      <c r="N14" s="38">
        <v>200</v>
      </c>
      <c r="O14" s="57" t="s">
        <v>456</v>
      </c>
      <c r="P14" s="47">
        <v>2.7000000000000001E-3</v>
      </c>
      <c r="Q14" s="40">
        <f>P14*N14</f>
        <v>0.54</v>
      </c>
      <c r="R14" s="39"/>
      <c r="S14" s="38"/>
    </row>
    <row r="15" spans="1:19" x14ac:dyDescent="0.25">
      <c r="A15" s="1"/>
      <c r="B15" s="81">
        <f t="shared" si="0"/>
        <v>6</v>
      </c>
      <c r="C15" s="86" t="s">
        <v>9</v>
      </c>
      <c r="D15" s="79" t="s">
        <v>19</v>
      </c>
      <c r="E15" s="67" t="s">
        <v>107</v>
      </c>
      <c r="F15" s="68" t="s">
        <v>425</v>
      </c>
      <c r="G15" s="67" t="s">
        <v>196</v>
      </c>
      <c r="H15" s="68" t="s">
        <v>317</v>
      </c>
      <c r="I15" s="67" t="s">
        <v>436</v>
      </c>
      <c r="J15" s="68" t="s">
        <v>459</v>
      </c>
      <c r="K15" s="67" t="s">
        <v>381</v>
      </c>
      <c r="L15" s="68">
        <v>1</v>
      </c>
      <c r="M15" s="67">
        <f t="shared" ref="M15" si="5">L15*5</f>
        <v>5</v>
      </c>
      <c r="N15" s="68">
        <v>10</v>
      </c>
      <c r="O15" s="69" t="s">
        <v>456</v>
      </c>
      <c r="P15" s="70">
        <v>0.13789999999999999</v>
      </c>
      <c r="Q15" s="71">
        <f t="shared" ref="Q15" si="6">P15*N15</f>
        <v>1.379</v>
      </c>
      <c r="R15" s="68"/>
      <c r="S15" s="67"/>
    </row>
    <row r="16" spans="1:19" x14ac:dyDescent="0.25">
      <c r="A16" s="1"/>
      <c r="B16" s="78">
        <f>ROW(B16) - ROW($B$9)</f>
        <v>7</v>
      </c>
      <c r="C16" s="85" t="s">
        <v>9</v>
      </c>
      <c r="D16" s="82" t="s">
        <v>20</v>
      </c>
      <c r="E16" s="56" t="s">
        <v>108</v>
      </c>
      <c r="F16" s="39" t="s">
        <v>194</v>
      </c>
      <c r="G16" s="38" t="s">
        <v>248</v>
      </c>
      <c r="H16" s="39" t="s">
        <v>315</v>
      </c>
      <c r="I16" s="38" t="s">
        <v>436</v>
      </c>
      <c r="J16" s="39" t="s">
        <v>460</v>
      </c>
      <c r="K16" s="38" t="s">
        <v>382</v>
      </c>
      <c r="L16" s="39">
        <v>1</v>
      </c>
      <c r="M16" s="38">
        <f>L16*5</f>
        <v>5</v>
      </c>
      <c r="N16" s="38">
        <v>100</v>
      </c>
      <c r="O16" s="57" t="s">
        <v>456</v>
      </c>
      <c r="P16" s="47">
        <v>2.5000000000000001E-3</v>
      </c>
      <c r="Q16" s="40">
        <f>P16*N16</f>
        <v>0.25</v>
      </c>
      <c r="R16" s="39"/>
      <c r="S16" s="38"/>
    </row>
    <row r="17" spans="1:19" ht="36" x14ac:dyDescent="0.25">
      <c r="A17" s="1"/>
      <c r="B17" s="81">
        <f t="shared" si="0"/>
        <v>8</v>
      </c>
      <c r="C17" s="86" t="s">
        <v>9</v>
      </c>
      <c r="D17" s="79" t="s">
        <v>21</v>
      </c>
      <c r="E17" s="67" t="s">
        <v>109</v>
      </c>
      <c r="F17" s="68" t="s">
        <v>197</v>
      </c>
      <c r="G17" s="67" t="s">
        <v>249</v>
      </c>
      <c r="H17" s="68" t="s">
        <v>318</v>
      </c>
      <c r="I17" s="67" t="s">
        <v>436</v>
      </c>
      <c r="J17" s="68" t="s">
        <v>461</v>
      </c>
      <c r="K17" s="67" t="s">
        <v>379</v>
      </c>
      <c r="L17" s="68">
        <v>1</v>
      </c>
      <c r="M17" s="67">
        <f t="shared" ref="M17" si="7">L17*5</f>
        <v>5</v>
      </c>
      <c r="N17" s="68">
        <v>6</v>
      </c>
      <c r="O17" s="69" t="s">
        <v>456</v>
      </c>
      <c r="P17" s="70">
        <v>0.19359999999999999</v>
      </c>
      <c r="Q17" s="71">
        <f t="shared" ref="Q17" si="8">P17*N17</f>
        <v>1.1616</v>
      </c>
      <c r="R17" s="68"/>
      <c r="S17" s="67"/>
    </row>
    <row r="18" spans="1:19" x14ac:dyDescent="0.25">
      <c r="A18" s="1"/>
      <c r="B18" s="78">
        <f>ROW(B18) - ROW($B$9)</f>
        <v>9</v>
      </c>
      <c r="C18" s="85" t="s">
        <v>9</v>
      </c>
      <c r="D18" s="82" t="s">
        <v>22</v>
      </c>
      <c r="E18" s="56" t="s">
        <v>110</v>
      </c>
      <c r="F18" s="39" t="s">
        <v>194</v>
      </c>
      <c r="G18" s="38" t="s">
        <v>250</v>
      </c>
      <c r="H18" s="39" t="s">
        <v>315</v>
      </c>
      <c r="I18" s="38" t="s">
        <v>436</v>
      </c>
      <c r="J18" s="39" t="s">
        <v>462</v>
      </c>
      <c r="K18" s="38" t="s">
        <v>383</v>
      </c>
      <c r="L18" s="39">
        <v>2</v>
      </c>
      <c r="M18" s="38">
        <f>L18*5</f>
        <v>10</v>
      </c>
      <c r="N18" s="38">
        <v>100</v>
      </c>
      <c r="O18" s="57" t="s">
        <v>456</v>
      </c>
      <c r="P18" s="47">
        <v>2.5999999999999999E-3</v>
      </c>
      <c r="Q18" s="40">
        <f>P18*N18</f>
        <v>0.26</v>
      </c>
      <c r="R18" s="39"/>
      <c r="S18" s="38"/>
    </row>
    <row r="19" spans="1:19" x14ac:dyDescent="0.25">
      <c r="A19" s="1"/>
      <c r="B19" s="81">
        <f t="shared" si="0"/>
        <v>10</v>
      </c>
      <c r="C19" s="86" t="s">
        <v>9</v>
      </c>
      <c r="D19" s="79" t="s">
        <v>464</v>
      </c>
      <c r="E19" s="67" t="s">
        <v>111</v>
      </c>
      <c r="F19" s="68" t="s">
        <v>194</v>
      </c>
      <c r="G19" s="67" t="s">
        <v>251</v>
      </c>
      <c r="H19" s="68" t="s">
        <v>315</v>
      </c>
      <c r="I19" s="67" t="s">
        <v>436</v>
      </c>
      <c r="J19" s="68" t="s">
        <v>364</v>
      </c>
      <c r="K19" s="67" t="s">
        <v>384</v>
      </c>
      <c r="L19" s="68">
        <v>4</v>
      </c>
      <c r="M19" s="67">
        <f t="shared" ref="M19" si="9">L19*5</f>
        <v>20</v>
      </c>
      <c r="N19" s="68">
        <v>100</v>
      </c>
      <c r="O19" s="69" t="s">
        <v>456</v>
      </c>
      <c r="P19" s="70">
        <v>2.8999999999999998E-3</v>
      </c>
      <c r="Q19" s="71">
        <f t="shared" ref="Q19" si="10">P19*N19</f>
        <v>0.28999999999999998</v>
      </c>
      <c r="R19" s="68"/>
      <c r="S19" s="67"/>
    </row>
    <row r="20" spans="1:19" x14ac:dyDescent="0.25">
      <c r="A20" s="1"/>
      <c r="B20" s="78">
        <f>ROW(B20) - ROW($B$9)</f>
        <v>11</v>
      </c>
      <c r="C20" s="85" t="s">
        <v>9</v>
      </c>
      <c r="D20" s="82" t="s">
        <v>23</v>
      </c>
      <c r="E20" s="56" t="s">
        <v>112</v>
      </c>
      <c r="F20" s="39" t="s">
        <v>193</v>
      </c>
      <c r="G20" s="38" t="s">
        <v>252</v>
      </c>
      <c r="H20" s="39" t="s">
        <v>315</v>
      </c>
      <c r="I20" s="38" t="s">
        <v>436</v>
      </c>
      <c r="J20" s="39" t="s">
        <v>363</v>
      </c>
      <c r="K20" s="38" t="s">
        <v>385</v>
      </c>
      <c r="L20" s="39">
        <v>1</v>
      </c>
      <c r="M20" s="38">
        <f>L20*5</f>
        <v>5</v>
      </c>
      <c r="N20" s="38">
        <v>20</v>
      </c>
      <c r="O20" s="57" t="s">
        <v>456</v>
      </c>
      <c r="P20" s="47">
        <v>3.5200000000000002E-2</v>
      </c>
      <c r="Q20" s="40">
        <f>P20*N20</f>
        <v>0.70400000000000007</v>
      </c>
      <c r="R20" s="39"/>
      <c r="S20" s="38"/>
    </row>
    <row r="21" spans="1:19" x14ac:dyDescent="0.25">
      <c r="A21" s="1"/>
      <c r="B21" s="81">
        <f t="shared" si="0"/>
        <v>12</v>
      </c>
      <c r="C21" s="86" t="s">
        <v>9</v>
      </c>
      <c r="D21" s="79" t="s">
        <v>24</v>
      </c>
      <c r="E21" s="67" t="s">
        <v>113</v>
      </c>
      <c r="F21" s="68" t="s">
        <v>194</v>
      </c>
      <c r="G21" s="67" t="s">
        <v>253</v>
      </c>
      <c r="H21" s="68" t="s">
        <v>319</v>
      </c>
      <c r="I21" s="67" t="s">
        <v>436</v>
      </c>
      <c r="J21" s="68" t="s">
        <v>463</v>
      </c>
      <c r="K21" s="67" t="s">
        <v>386</v>
      </c>
      <c r="L21" s="68">
        <v>1</v>
      </c>
      <c r="M21" s="67">
        <f t="shared" ref="M21" si="11">L21*5</f>
        <v>5</v>
      </c>
      <c r="N21" s="68">
        <v>20</v>
      </c>
      <c r="O21" s="69" t="s">
        <v>456</v>
      </c>
      <c r="P21" s="70">
        <v>3.04E-2</v>
      </c>
      <c r="Q21" s="71">
        <f t="shared" ref="Q21" si="12">P21*N21</f>
        <v>0.60799999999999998</v>
      </c>
      <c r="R21" s="68"/>
      <c r="S21" s="67"/>
    </row>
    <row r="22" spans="1:19" x14ac:dyDescent="0.25">
      <c r="A22" s="1"/>
      <c r="B22" s="81">
        <f t="shared" si="0"/>
        <v>13</v>
      </c>
      <c r="C22" s="85" t="s">
        <v>9</v>
      </c>
      <c r="D22" s="82" t="s">
        <v>25</v>
      </c>
      <c r="E22" s="56" t="s">
        <v>114</v>
      </c>
      <c r="F22" s="39" t="s">
        <v>194</v>
      </c>
      <c r="G22" s="38" t="s">
        <v>254</v>
      </c>
      <c r="H22" s="39" t="s">
        <v>315</v>
      </c>
      <c r="I22" s="38" t="s">
        <v>436</v>
      </c>
      <c r="J22" s="39" t="s">
        <v>465</v>
      </c>
      <c r="K22" s="38" t="s">
        <v>387</v>
      </c>
      <c r="L22" s="39">
        <v>1</v>
      </c>
      <c r="M22" s="38">
        <f t="shared" ref="M22" si="13">L22*5</f>
        <v>5</v>
      </c>
      <c r="N22" s="38">
        <v>100</v>
      </c>
      <c r="O22" s="57" t="s">
        <v>456</v>
      </c>
      <c r="P22" s="47">
        <v>3.3E-3</v>
      </c>
      <c r="Q22" s="40">
        <f t="shared" ref="Q22" si="14">P22*N22</f>
        <v>0.33</v>
      </c>
      <c r="R22" s="39"/>
      <c r="S22" s="38"/>
    </row>
    <row r="23" spans="1:19" x14ac:dyDescent="0.25">
      <c r="A23" s="1"/>
      <c r="B23" s="78">
        <f>ROW(B23) - ROW($B$9)</f>
        <v>14</v>
      </c>
      <c r="C23" s="86" t="s">
        <v>9</v>
      </c>
      <c r="D23" s="79" t="s">
        <v>26</v>
      </c>
      <c r="E23" s="67" t="s">
        <v>115</v>
      </c>
      <c r="F23" s="68" t="s">
        <v>194</v>
      </c>
      <c r="G23" s="67" t="s">
        <v>255</v>
      </c>
      <c r="H23" s="68" t="s">
        <v>319</v>
      </c>
      <c r="I23" s="67" t="s">
        <v>436</v>
      </c>
      <c r="J23" s="68" t="s">
        <v>466</v>
      </c>
      <c r="K23" s="67" t="s">
        <v>388</v>
      </c>
      <c r="L23" s="68">
        <v>1</v>
      </c>
      <c r="M23" s="67">
        <f>L23*5</f>
        <v>5</v>
      </c>
      <c r="N23" s="68">
        <v>20</v>
      </c>
      <c r="O23" s="69" t="s">
        <v>456</v>
      </c>
      <c r="P23" s="70">
        <v>2.9899999999999999E-2</v>
      </c>
      <c r="Q23" s="71">
        <f>P23*N23</f>
        <v>0.59799999999999998</v>
      </c>
      <c r="R23" s="68"/>
      <c r="S23" s="67"/>
    </row>
    <row r="24" spans="1:19" x14ac:dyDescent="0.25">
      <c r="A24" s="1"/>
      <c r="B24" s="81">
        <f t="shared" si="0"/>
        <v>15</v>
      </c>
      <c r="C24" s="85" t="s">
        <v>9</v>
      </c>
      <c r="D24" s="82" t="s">
        <v>27</v>
      </c>
      <c r="E24" s="56" t="s">
        <v>116</v>
      </c>
      <c r="F24" s="39" t="s">
        <v>194</v>
      </c>
      <c r="G24" s="38" t="s">
        <v>256</v>
      </c>
      <c r="H24" s="39" t="s">
        <v>315</v>
      </c>
      <c r="I24" s="38" t="s">
        <v>436</v>
      </c>
      <c r="J24" s="39" t="s">
        <v>467</v>
      </c>
      <c r="K24" s="38" t="s">
        <v>389</v>
      </c>
      <c r="L24" s="39">
        <v>1</v>
      </c>
      <c r="M24" s="38">
        <f t="shared" ref="M24" si="15">L24*5</f>
        <v>5</v>
      </c>
      <c r="N24" s="38">
        <v>100</v>
      </c>
      <c r="O24" s="57" t="s">
        <v>456</v>
      </c>
      <c r="P24" s="47">
        <v>3.0999999999999999E-3</v>
      </c>
      <c r="Q24" s="40">
        <f t="shared" ref="Q24" si="16">P24*N24</f>
        <v>0.31</v>
      </c>
      <c r="R24" s="39"/>
      <c r="S24" s="38"/>
    </row>
    <row r="25" spans="1:19" ht="24" x14ac:dyDescent="0.25">
      <c r="A25" s="1"/>
      <c r="B25" s="78">
        <f>ROW(B25) - ROW($B$9)</f>
        <v>16</v>
      </c>
      <c r="C25" s="86" t="s">
        <v>10</v>
      </c>
      <c r="D25" s="79" t="s">
        <v>28</v>
      </c>
      <c r="E25" s="67" t="s">
        <v>117</v>
      </c>
      <c r="F25" s="68" t="s">
        <v>198</v>
      </c>
      <c r="G25" s="67" t="s">
        <v>257</v>
      </c>
      <c r="H25" s="68" t="s">
        <v>320</v>
      </c>
      <c r="I25" s="67" t="s">
        <v>436</v>
      </c>
      <c r="J25" s="68" t="s">
        <v>468</v>
      </c>
      <c r="K25" s="67" t="s">
        <v>436</v>
      </c>
      <c r="L25" s="68">
        <v>1</v>
      </c>
      <c r="M25" s="67">
        <f>L25*5</f>
        <v>5</v>
      </c>
      <c r="N25" s="68">
        <v>20</v>
      </c>
      <c r="O25" s="69" t="s">
        <v>456</v>
      </c>
      <c r="P25" s="70">
        <v>3.2899999999999999E-2</v>
      </c>
      <c r="Q25" s="71">
        <f>P25*N25</f>
        <v>0.65799999999999992</v>
      </c>
      <c r="R25" s="68"/>
      <c r="S25" s="67"/>
    </row>
    <row r="26" spans="1:19" x14ac:dyDescent="0.25">
      <c r="A26" s="1"/>
      <c r="B26" s="81">
        <f t="shared" si="0"/>
        <v>17</v>
      </c>
      <c r="C26" s="85" t="s">
        <v>10</v>
      </c>
      <c r="D26" s="82" t="s">
        <v>29</v>
      </c>
      <c r="E26" s="56" t="s">
        <v>118</v>
      </c>
      <c r="F26" s="39" t="s">
        <v>198</v>
      </c>
      <c r="G26" s="38" t="s">
        <v>258</v>
      </c>
      <c r="H26" s="39" t="s">
        <v>321</v>
      </c>
      <c r="I26" s="38" t="s">
        <v>436</v>
      </c>
      <c r="J26" s="39" t="s">
        <v>469</v>
      </c>
      <c r="K26" s="38" t="s">
        <v>436</v>
      </c>
      <c r="L26" s="39">
        <v>1</v>
      </c>
      <c r="M26" s="38">
        <f t="shared" ref="M26" si="17">L26*5</f>
        <v>5</v>
      </c>
      <c r="N26" s="38">
        <v>6</v>
      </c>
      <c r="O26" s="57" t="s">
        <v>456</v>
      </c>
      <c r="P26" s="47">
        <v>0.49009999999999998</v>
      </c>
      <c r="Q26" s="40">
        <f t="shared" ref="Q26" si="18">P26*N26</f>
        <v>2.9405999999999999</v>
      </c>
      <c r="R26" s="39"/>
      <c r="S26" s="38"/>
    </row>
    <row r="27" spans="1:19" ht="24" x14ac:dyDescent="0.25">
      <c r="A27" s="1"/>
      <c r="B27" s="78">
        <f>ROW(B27) - ROW($B$9)</f>
        <v>18</v>
      </c>
      <c r="C27" s="86" t="s">
        <v>10</v>
      </c>
      <c r="D27" s="79" t="s">
        <v>30</v>
      </c>
      <c r="E27" s="67" t="s">
        <v>119</v>
      </c>
      <c r="F27" s="68" t="s">
        <v>199</v>
      </c>
      <c r="G27" s="67" t="s">
        <v>199</v>
      </c>
      <c r="H27" s="68" t="s">
        <v>322</v>
      </c>
      <c r="I27" s="67" t="s">
        <v>436</v>
      </c>
      <c r="J27" s="68" t="s">
        <v>470</v>
      </c>
      <c r="K27" s="67" t="s">
        <v>436</v>
      </c>
      <c r="L27" s="68">
        <v>1</v>
      </c>
      <c r="M27" s="67">
        <f>L27*5</f>
        <v>5</v>
      </c>
      <c r="N27" s="68">
        <v>20</v>
      </c>
      <c r="O27" s="69" t="s">
        <v>456</v>
      </c>
      <c r="P27" s="70">
        <v>3.1399999999999997E-2</v>
      </c>
      <c r="Q27" s="71">
        <f>P27*N27</f>
        <v>0.62799999999999989</v>
      </c>
      <c r="R27" s="68"/>
      <c r="S27" s="67"/>
    </row>
    <row r="28" spans="1:19" x14ac:dyDescent="0.25">
      <c r="A28" s="1"/>
      <c r="B28" s="81">
        <f t="shared" si="0"/>
        <v>19</v>
      </c>
      <c r="C28" s="85" t="s">
        <v>10</v>
      </c>
      <c r="D28" s="82" t="s">
        <v>31</v>
      </c>
      <c r="E28" s="56" t="s">
        <v>120</v>
      </c>
      <c r="F28" s="39" t="s">
        <v>200</v>
      </c>
      <c r="G28" s="38" t="s">
        <v>259</v>
      </c>
      <c r="H28" s="39" t="s">
        <v>323</v>
      </c>
      <c r="I28" s="38" t="s">
        <v>436</v>
      </c>
      <c r="J28" s="39" t="s">
        <v>365</v>
      </c>
      <c r="K28" s="38" t="s">
        <v>436</v>
      </c>
      <c r="L28" s="39">
        <v>5</v>
      </c>
      <c r="M28" s="38">
        <f t="shared" ref="M28" si="19">L28*5</f>
        <v>25</v>
      </c>
      <c r="N28" s="38">
        <v>40</v>
      </c>
      <c r="O28" s="57" t="s">
        <v>456</v>
      </c>
      <c r="P28" s="47">
        <v>2.0400000000000001E-2</v>
      </c>
      <c r="Q28" s="40">
        <f t="shared" ref="Q28" si="20">P28*N28</f>
        <v>0.81600000000000006</v>
      </c>
      <c r="R28" s="39"/>
      <c r="S28" s="38"/>
    </row>
    <row r="29" spans="1:19" ht="36" x14ac:dyDescent="0.25">
      <c r="A29" s="1"/>
      <c r="B29" s="78">
        <f>ROW(B29) - ROW($B$9)</f>
        <v>20</v>
      </c>
      <c r="C29" s="86" t="s">
        <v>10</v>
      </c>
      <c r="D29" s="79" t="s">
        <v>32</v>
      </c>
      <c r="E29" s="67" t="s">
        <v>121</v>
      </c>
      <c r="F29" s="68" t="s">
        <v>201</v>
      </c>
      <c r="G29" s="67" t="s">
        <v>260</v>
      </c>
      <c r="H29" s="68" t="s">
        <v>324</v>
      </c>
      <c r="I29" s="67" t="s">
        <v>436</v>
      </c>
      <c r="J29" s="68" t="s">
        <v>471</v>
      </c>
      <c r="K29" s="67" t="s">
        <v>436</v>
      </c>
      <c r="L29" s="68">
        <v>1</v>
      </c>
      <c r="M29" s="67">
        <f>L29*5</f>
        <v>5</v>
      </c>
      <c r="N29" s="68">
        <v>10</v>
      </c>
      <c r="O29" s="69" t="s">
        <v>456</v>
      </c>
      <c r="P29" s="70">
        <v>6.2700000000000006E-2</v>
      </c>
      <c r="Q29" s="71">
        <f>P29*N29</f>
        <v>0.627</v>
      </c>
      <c r="R29" s="68"/>
      <c r="S29" s="67"/>
    </row>
    <row r="30" spans="1:19" x14ac:dyDescent="0.25">
      <c r="A30" s="1"/>
      <c r="B30" s="81">
        <f t="shared" si="0"/>
        <v>21</v>
      </c>
      <c r="C30" s="85" t="s">
        <v>10</v>
      </c>
      <c r="D30" s="82" t="s">
        <v>33</v>
      </c>
      <c r="E30" s="56" t="s">
        <v>122</v>
      </c>
      <c r="F30" s="39" t="s">
        <v>202</v>
      </c>
      <c r="G30" s="38" t="s">
        <v>202</v>
      </c>
      <c r="H30" s="39" t="s">
        <v>325</v>
      </c>
      <c r="I30" s="38" t="s">
        <v>436</v>
      </c>
      <c r="J30" s="39" t="s">
        <v>472</v>
      </c>
      <c r="K30" s="38" t="s">
        <v>436</v>
      </c>
      <c r="L30" s="39">
        <v>1</v>
      </c>
      <c r="M30" s="38">
        <f t="shared" ref="M30" si="21">L30*5</f>
        <v>5</v>
      </c>
      <c r="N30" s="38">
        <v>10</v>
      </c>
      <c r="O30" s="57" t="s">
        <v>456</v>
      </c>
      <c r="P30" s="47">
        <v>8.7099999999999997E-2</v>
      </c>
      <c r="Q30" s="40">
        <f t="shared" ref="Q30" si="22">P30*N30</f>
        <v>0.871</v>
      </c>
      <c r="R30" s="39"/>
      <c r="S30" s="38"/>
    </row>
    <row r="31" spans="1:19" ht="24" x14ac:dyDescent="0.25">
      <c r="A31" s="1"/>
      <c r="B31" s="78">
        <f>ROW(B31) - ROW($B$9)</f>
        <v>22</v>
      </c>
      <c r="C31" s="86" t="s">
        <v>10</v>
      </c>
      <c r="D31" s="79" t="s">
        <v>34</v>
      </c>
      <c r="E31" s="38" t="s">
        <v>543</v>
      </c>
      <c r="F31" s="38" t="s">
        <v>198</v>
      </c>
      <c r="G31" s="67" t="s">
        <v>261</v>
      </c>
      <c r="H31" s="68" t="s">
        <v>325</v>
      </c>
      <c r="I31" s="67" t="s">
        <v>436</v>
      </c>
      <c r="J31" s="68" t="s">
        <v>544</v>
      </c>
      <c r="K31" s="67" t="s">
        <v>436</v>
      </c>
      <c r="L31" s="68">
        <v>1</v>
      </c>
      <c r="M31" s="67">
        <f>L31*5</f>
        <v>5</v>
      </c>
      <c r="N31" s="68">
        <v>20</v>
      </c>
      <c r="O31" s="69" t="s">
        <v>456</v>
      </c>
      <c r="P31" s="70">
        <v>3.6200000000000003E-2</v>
      </c>
      <c r="Q31" s="71">
        <f>P31*N31</f>
        <v>0.72400000000000009</v>
      </c>
      <c r="R31" s="68"/>
      <c r="S31" s="67"/>
    </row>
    <row r="32" spans="1:19" x14ac:dyDescent="0.25">
      <c r="A32" s="1"/>
      <c r="B32" s="81">
        <f t="shared" si="0"/>
        <v>23</v>
      </c>
      <c r="C32" s="85" t="s">
        <v>438</v>
      </c>
      <c r="D32" s="82" t="s">
        <v>35</v>
      </c>
      <c r="E32" s="56" t="s">
        <v>123</v>
      </c>
      <c r="F32" s="39" t="s">
        <v>425</v>
      </c>
      <c r="G32" s="58" t="s">
        <v>203</v>
      </c>
      <c r="H32" s="39" t="s">
        <v>326</v>
      </c>
      <c r="I32" s="38" t="s">
        <v>587</v>
      </c>
      <c r="J32" s="39" t="s">
        <v>588</v>
      </c>
      <c r="K32" s="38" t="s">
        <v>436</v>
      </c>
      <c r="L32" s="39">
        <v>1</v>
      </c>
      <c r="M32" s="38">
        <f t="shared" ref="M32" si="23">L32*5</f>
        <v>5</v>
      </c>
      <c r="N32" s="38">
        <v>10</v>
      </c>
      <c r="O32" s="57" t="s">
        <v>456</v>
      </c>
      <c r="P32" s="47">
        <v>0.28199999999999997</v>
      </c>
      <c r="Q32" s="40">
        <f t="shared" ref="Q32" si="24">P32*N32</f>
        <v>2.82</v>
      </c>
      <c r="R32" s="39"/>
      <c r="S32" s="38"/>
    </row>
    <row r="33" spans="1:19" x14ac:dyDescent="0.25">
      <c r="A33" s="1"/>
      <c r="B33" s="78">
        <f>ROW(B33) - ROW($B$9)</f>
        <v>24</v>
      </c>
      <c r="C33" s="86" t="s">
        <v>441</v>
      </c>
      <c r="D33" s="79" t="s">
        <v>36</v>
      </c>
      <c r="E33" s="67" t="s">
        <v>124</v>
      </c>
      <c r="F33" s="68" t="s">
        <v>425</v>
      </c>
      <c r="G33" s="72" t="s">
        <v>204</v>
      </c>
      <c r="H33" s="68" t="s">
        <v>327</v>
      </c>
      <c r="I33" s="67" t="s">
        <v>473</v>
      </c>
      <c r="J33" s="68" t="s">
        <v>476</v>
      </c>
      <c r="K33" s="67" t="s">
        <v>436</v>
      </c>
      <c r="L33" s="68">
        <v>9</v>
      </c>
      <c r="M33" s="67">
        <f>L33*5</f>
        <v>45</v>
      </c>
      <c r="N33" s="68">
        <v>50</v>
      </c>
      <c r="O33" s="69" t="s">
        <v>456</v>
      </c>
      <c r="P33" s="70">
        <v>7.1199999999999999E-2</v>
      </c>
      <c r="Q33" s="71">
        <f>P33*N33</f>
        <v>3.56</v>
      </c>
      <c r="R33" s="68"/>
      <c r="S33" s="67"/>
    </row>
    <row r="34" spans="1:19" x14ac:dyDescent="0.25">
      <c r="A34" s="1"/>
      <c r="B34" s="81">
        <f t="shared" si="0"/>
        <v>25</v>
      </c>
      <c r="C34" s="85" t="s">
        <v>441</v>
      </c>
      <c r="D34" s="82" t="s">
        <v>37</v>
      </c>
      <c r="E34" s="56" t="s">
        <v>124</v>
      </c>
      <c r="F34" s="39" t="s">
        <v>425</v>
      </c>
      <c r="G34" s="58" t="s">
        <v>205</v>
      </c>
      <c r="H34" s="39" t="s">
        <v>327</v>
      </c>
      <c r="I34" s="38" t="s">
        <v>474</v>
      </c>
      <c r="J34" s="39" t="s">
        <v>477</v>
      </c>
      <c r="K34" s="38" t="s">
        <v>436</v>
      </c>
      <c r="L34" s="39">
        <v>5</v>
      </c>
      <c r="M34" s="38">
        <f t="shared" ref="M34" si="25">L34*5</f>
        <v>25</v>
      </c>
      <c r="N34" s="38">
        <v>30</v>
      </c>
      <c r="O34" s="57" t="s">
        <v>456</v>
      </c>
      <c r="P34" s="47">
        <v>0.10539999999999999</v>
      </c>
      <c r="Q34" s="40">
        <f t="shared" ref="Q34" si="26">P34*N34</f>
        <v>3.1619999999999999</v>
      </c>
      <c r="R34" s="39"/>
      <c r="S34" s="38"/>
    </row>
    <row r="35" spans="1:19" x14ac:dyDescent="0.25">
      <c r="A35" s="1"/>
      <c r="B35" s="78">
        <f>ROW(B35) - ROW($B$9)</f>
        <v>26</v>
      </c>
      <c r="C35" s="86" t="s">
        <v>441</v>
      </c>
      <c r="D35" s="79" t="s">
        <v>38</v>
      </c>
      <c r="E35" s="67" t="s">
        <v>124</v>
      </c>
      <c r="F35" s="68" t="s">
        <v>425</v>
      </c>
      <c r="G35" s="72" t="s">
        <v>206</v>
      </c>
      <c r="H35" s="68" t="s">
        <v>327</v>
      </c>
      <c r="I35" s="67" t="s">
        <v>475</v>
      </c>
      <c r="J35" s="68" t="s">
        <v>478</v>
      </c>
      <c r="K35" s="67" t="s">
        <v>436</v>
      </c>
      <c r="L35" s="68">
        <v>1</v>
      </c>
      <c r="M35" s="67">
        <f>L35*5</f>
        <v>5</v>
      </c>
      <c r="N35" s="68">
        <v>10</v>
      </c>
      <c r="O35" s="69" t="s">
        <v>456</v>
      </c>
      <c r="P35" s="70">
        <v>0.1114</v>
      </c>
      <c r="Q35" s="71">
        <f>P35*N35</f>
        <v>1.1139999999999999</v>
      </c>
      <c r="R35" s="68"/>
      <c r="S35" s="67"/>
    </row>
    <row r="36" spans="1:19" ht="36" x14ac:dyDescent="0.25">
      <c r="A36" s="1"/>
      <c r="B36" s="81">
        <f t="shared" si="0"/>
        <v>27</v>
      </c>
      <c r="C36" s="85" t="s">
        <v>442</v>
      </c>
      <c r="D36" s="84" t="s">
        <v>39</v>
      </c>
      <c r="E36" s="58" t="s">
        <v>125</v>
      </c>
      <c r="F36" s="62" t="s">
        <v>425</v>
      </c>
      <c r="G36" s="58" t="s">
        <v>207</v>
      </c>
      <c r="H36" s="62" t="s">
        <v>328</v>
      </c>
      <c r="I36" s="58" t="s">
        <v>436</v>
      </c>
      <c r="J36" s="62" t="s">
        <v>479</v>
      </c>
      <c r="K36" s="58" t="s">
        <v>436</v>
      </c>
      <c r="L36" s="62">
        <v>1</v>
      </c>
      <c r="M36" s="58">
        <f t="shared" ref="M36" si="27">L36*5</f>
        <v>5</v>
      </c>
      <c r="N36" s="58">
        <v>6</v>
      </c>
      <c r="O36" s="63" t="s">
        <v>456</v>
      </c>
      <c r="P36" s="64" t="s">
        <v>436</v>
      </c>
      <c r="Q36" s="65" t="s">
        <v>436</v>
      </c>
      <c r="R36" s="90" t="s">
        <v>582</v>
      </c>
      <c r="S36" s="38"/>
    </row>
    <row r="37" spans="1:19" ht="60" x14ac:dyDescent="0.25">
      <c r="A37" s="1"/>
      <c r="B37" s="78">
        <f>ROW(B37) - ROW($B$9)</f>
        <v>28</v>
      </c>
      <c r="C37" s="86" t="s">
        <v>438</v>
      </c>
      <c r="D37" s="79" t="s">
        <v>40</v>
      </c>
      <c r="E37" s="67" t="s">
        <v>126</v>
      </c>
      <c r="F37" s="68" t="s">
        <v>425</v>
      </c>
      <c r="G37" s="72" t="s">
        <v>208</v>
      </c>
      <c r="H37" s="68" t="s">
        <v>559</v>
      </c>
      <c r="I37" s="67" t="s">
        <v>558</v>
      </c>
      <c r="J37" s="68" t="s">
        <v>558</v>
      </c>
      <c r="K37" s="67" t="s">
        <v>436</v>
      </c>
      <c r="L37" s="68">
        <v>1</v>
      </c>
      <c r="M37" s="67">
        <f>L37*5</f>
        <v>5</v>
      </c>
      <c r="N37" s="68">
        <v>10</v>
      </c>
      <c r="O37" s="69" t="s">
        <v>456</v>
      </c>
      <c r="P37" s="70">
        <v>4.3200000000000002E-2</v>
      </c>
      <c r="Q37" s="71">
        <f>P37*N37</f>
        <v>0.43200000000000005</v>
      </c>
      <c r="R37" s="77" t="s">
        <v>560</v>
      </c>
      <c r="S37" s="67"/>
    </row>
    <row r="38" spans="1:19" x14ac:dyDescent="0.25">
      <c r="A38" s="1"/>
      <c r="B38" s="81">
        <f t="shared" si="0"/>
        <v>29</v>
      </c>
      <c r="C38" s="85" t="s">
        <v>11</v>
      </c>
      <c r="D38" s="82" t="s">
        <v>41</v>
      </c>
      <c r="E38" s="56" t="s">
        <v>127</v>
      </c>
      <c r="F38" s="39" t="s">
        <v>425</v>
      </c>
      <c r="G38" s="38" t="s">
        <v>262</v>
      </c>
      <c r="H38" s="39" t="s">
        <v>329</v>
      </c>
      <c r="I38" s="38" t="s">
        <v>436</v>
      </c>
      <c r="J38" s="39" t="s">
        <v>366</v>
      </c>
      <c r="K38" s="38" t="s">
        <v>436</v>
      </c>
      <c r="L38" s="39">
        <v>1</v>
      </c>
      <c r="M38" s="38">
        <f t="shared" ref="M38" si="28">L38*5</f>
        <v>5</v>
      </c>
      <c r="N38" s="38">
        <v>6</v>
      </c>
      <c r="O38" s="57" t="s">
        <v>456</v>
      </c>
      <c r="P38" s="47">
        <v>0.22120000000000001</v>
      </c>
      <c r="Q38" s="40">
        <f t="shared" ref="Q38" si="29">P38*N38</f>
        <v>1.3271999999999999</v>
      </c>
      <c r="R38" s="39"/>
      <c r="S38" s="38"/>
    </row>
    <row r="39" spans="1:19" ht="36" x14ac:dyDescent="0.25">
      <c r="A39" s="1"/>
      <c r="B39" s="78">
        <f>ROW(B39) - ROW($B$9)</f>
        <v>30</v>
      </c>
      <c r="C39" s="86" t="s">
        <v>12</v>
      </c>
      <c r="D39" s="79" t="s">
        <v>42</v>
      </c>
      <c r="E39" s="67" t="s">
        <v>128</v>
      </c>
      <c r="F39" s="68" t="s">
        <v>209</v>
      </c>
      <c r="G39" s="67" t="s">
        <v>263</v>
      </c>
      <c r="H39" s="68" t="s">
        <v>330</v>
      </c>
      <c r="I39" s="67" t="s">
        <v>436</v>
      </c>
      <c r="J39" s="68" t="s">
        <v>367</v>
      </c>
      <c r="K39" s="67" t="s">
        <v>436</v>
      </c>
      <c r="L39" s="68">
        <v>5</v>
      </c>
      <c r="M39" s="67">
        <f>L39*5</f>
        <v>25</v>
      </c>
      <c r="N39" s="68">
        <v>27</v>
      </c>
      <c r="O39" s="69" t="s">
        <v>456</v>
      </c>
      <c r="P39" s="70">
        <v>1.0485</v>
      </c>
      <c r="Q39" s="71">
        <f>P39*N39</f>
        <v>28.3095</v>
      </c>
      <c r="R39" s="68"/>
      <c r="S39" s="67"/>
    </row>
    <row r="40" spans="1:19" x14ac:dyDescent="0.25">
      <c r="A40" s="1"/>
      <c r="B40" s="81">
        <f t="shared" si="0"/>
        <v>31</v>
      </c>
      <c r="C40" s="85" t="s">
        <v>443</v>
      </c>
      <c r="D40" s="82" t="s">
        <v>43</v>
      </c>
      <c r="E40" s="56" t="s">
        <v>129</v>
      </c>
      <c r="F40" s="39" t="s">
        <v>210</v>
      </c>
      <c r="G40" s="38" t="s">
        <v>264</v>
      </c>
      <c r="H40" s="39" t="s">
        <v>331</v>
      </c>
      <c r="I40" s="38" t="s">
        <v>436</v>
      </c>
      <c r="J40" s="39" t="s">
        <v>480</v>
      </c>
      <c r="K40" s="38" t="s">
        <v>390</v>
      </c>
      <c r="L40" s="39">
        <v>1</v>
      </c>
      <c r="M40" s="38">
        <f t="shared" ref="M40" si="30">L40*5</f>
        <v>5</v>
      </c>
      <c r="N40" s="38">
        <v>10</v>
      </c>
      <c r="O40" s="57" t="s">
        <v>456</v>
      </c>
      <c r="P40" s="47">
        <v>4.0399999999999998E-2</v>
      </c>
      <c r="Q40" s="40">
        <f t="shared" ref="Q40" si="31">P40*N40</f>
        <v>0.40399999999999997</v>
      </c>
      <c r="R40" s="39"/>
      <c r="S40" s="38"/>
    </row>
    <row r="41" spans="1:19" ht="36" x14ac:dyDescent="0.25">
      <c r="A41" s="1"/>
      <c r="B41" s="78">
        <f>ROW(B41) - ROW($B$9)</f>
        <v>32</v>
      </c>
      <c r="C41" s="86" t="s">
        <v>443</v>
      </c>
      <c r="D41" s="79" t="s">
        <v>44</v>
      </c>
      <c r="E41" s="67" t="s">
        <v>130</v>
      </c>
      <c r="F41" s="68" t="s">
        <v>425</v>
      </c>
      <c r="G41" s="67" t="s">
        <v>211</v>
      </c>
      <c r="H41" s="68" t="s">
        <v>332</v>
      </c>
      <c r="I41" s="67" t="s">
        <v>436</v>
      </c>
      <c r="J41" s="68" t="s">
        <v>481</v>
      </c>
      <c r="K41" s="67" t="s">
        <v>391</v>
      </c>
      <c r="L41" s="68">
        <v>1</v>
      </c>
      <c r="M41" s="67">
        <f>L41*5</f>
        <v>5</v>
      </c>
      <c r="N41" s="68">
        <v>6</v>
      </c>
      <c r="O41" s="69" t="s">
        <v>456</v>
      </c>
      <c r="P41" s="70">
        <v>0.5091</v>
      </c>
      <c r="Q41" s="71">
        <f>P41*N41</f>
        <v>3.0545999999999998</v>
      </c>
      <c r="R41" s="68"/>
      <c r="S41" s="67"/>
    </row>
    <row r="42" spans="1:19" x14ac:dyDescent="0.25">
      <c r="A42" s="1"/>
      <c r="B42" s="81">
        <f t="shared" si="0"/>
        <v>33</v>
      </c>
      <c r="C42" s="85" t="s">
        <v>443</v>
      </c>
      <c r="D42" s="82" t="s">
        <v>45</v>
      </c>
      <c r="E42" s="56" t="s">
        <v>131</v>
      </c>
      <c r="F42" s="39" t="s">
        <v>212</v>
      </c>
      <c r="G42" s="38" t="s">
        <v>265</v>
      </c>
      <c r="H42" s="39" t="s">
        <v>333</v>
      </c>
      <c r="I42" s="38" t="s">
        <v>436</v>
      </c>
      <c r="J42" s="39" t="s">
        <v>482</v>
      </c>
      <c r="K42" s="38" t="s">
        <v>392</v>
      </c>
      <c r="L42" s="39">
        <v>1</v>
      </c>
      <c r="M42" s="38">
        <f t="shared" ref="M42" si="32">L42*5</f>
        <v>5</v>
      </c>
      <c r="N42" s="38">
        <v>10</v>
      </c>
      <c r="O42" s="57" t="s">
        <v>456</v>
      </c>
      <c r="P42" s="47">
        <v>7.9100000000000004E-2</v>
      </c>
      <c r="Q42" s="40">
        <f t="shared" ref="Q42" si="33">P42*N42</f>
        <v>0.79100000000000004</v>
      </c>
      <c r="R42" s="39"/>
      <c r="S42" s="38"/>
    </row>
    <row r="43" spans="1:19" ht="36" x14ac:dyDescent="0.25">
      <c r="A43" s="1"/>
      <c r="B43" s="78">
        <f>ROW(B43) - ROW($B$9)</f>
        <v>34</v>
      </c>
      <c r="C43" s="86" t="s">
        <v>443</v>
      </c>
      <c r="D43" s="79" t="s">
        <v>46</v>
      </c>
      <c r="E43" s="67" t="s">
        <v>132</v>
      </c>
      <c r="F43" s="68" t="s">
        <v>213</v>
      </c>
      <c r="G43" s="67" t="s">
        <v>266</v>
      </c>
      <c r="H43" s="68" t="s">
        <v>334</v>
      </c>
      <c r="I43" s="67" t="s">
        <v>436</v>
      </c>
      <c r="J43" s="68" t="s">
        <v>483</v>
      </c>
      <c r="K43" s="67" t="s">
        <v>393</v>
      </c>
      <c r="L43" s="68">
        <v>1</v>
      </c>
      <c r="M43" s="67">
        <f>L43*5</f>
        <v>5</v>
      </c>
      <c r="N43" s="68">
        <v>10</v>
      </c>
      <c r="O43" s="69" t="s">
        <v>456</v>
      </c>
      <c r="P43" s="70">
        <v>2.5600000000000001E-2</v>
      </c>
      <c r="Q43" s="71">
        <f>P43*N43</f>
        <v>0.25600000000000001</v>
      </c>
      <c r="R43" s="68"/>
      <c r="S43" s="67"/>
    </row>
    <row r="44" spans="1:19" ht="24" x14ac:dyDescent="0.25">
      <c r="A44" s="1"/>
      <c r="B44" s="81">
        <f t="shared" si="0"/>
        <v>35</v>
      </c>
      <c r="C44" s="85" t="s">
        <v>444</v>
      </c>
      <c r="D44" s="82" t="s">
        <v>47</v>
      </c>
      <c r="E44" s="56" t="s">
        <v>133</v>
      </c>
      <c r="F44" s="39" t="s">
        <v>214</v>
      </c>
      <c r="G44" s="58" t="s">
        <v>267</v>
      </c>
      <c r="H44" s="39" t="s">
        <v>335</v>
      </c>
      <c r="I44" s="38" t="s">
        <v>494</v>
      </c>
      <c r="J44" s="39" t="s">
        <v>484</v>
      </c>
      <c r="K44" s="38" t="s">
        <v>436</v>
      </c>
      <c r="L44" s="39">
        <v>7</v>
      </c>
      <c r="M44" s="38">
        <f t="shared" ref="M44" si="34">L44*5</f>
        <v>35</v>
      </c>
      <c r="N44" s="38">
        <v>40</v>
      </c>
      <c r="O44" s="57" t="s">
        <v>456</v>
      </c>
      <c r="P44" s="47">
        <v>3.6700000000000003E-2</v>
      </c>
      <c r="Q44" s="40">
        <f t="shared" ref="Q44" si="35">P44*N44</f>
        <v>1.4680000000000002</v>
      </c>
      <c r="R44" s="39"/>
      <c r="S44" s="38"/>
    </row>
    <row r="45" spans="1:19" x14ac:dyDescent="0.25">
      <c r="A45" s="1"/>
      <c r="B45" s="78">
        <f>ROW(B45) - ROW($B$9)</f>
        <v>36</v>
      </c>
      <c r="C45" s="86" t="s">
        <v>444</v>
      </c>
      <c r="D45" s="79" t="s">
        <v>48</v>
      </c>
      <c r="E45" s="67" t="s">
        <v>134</v>
      </c>
      <c r="F45" s="68" t="s">
        <v>425</v>
      </c>
      <c r="G45" s="67" t="s">
        <v>268</v>
      </c>
      <c r="H45" s="68" t="s">
        <v>336</v>
      </c>
      <c r="I45" s="67" t="s">
        <v>436</v>
      </c>
      <c r="J45" s="68" t="s">
        <v>485</v>
      </c>
      <c r="K45" s="67" t="s">
        <v>436</v>
      </c>
      <c r="L45" s="68">
        <v>1</v>
      </c>
      <c r="M45" s="67">
        <f>L45*5</f>
        <v>5</v>
      </c>
      <c r="N45" s="68">
        <v>10</v>
      </c>
      <c r="O45" s="69" t="s">
        <v>456</v>
      </c>
      <c r="P45" s="70">
        <v>0.1216</v>
      </c>
      <c r="Q45" s="71">
        <f>P45*N45</f>
        <v>1.216</v>
      </c>
      <c r="R45" s="68"/>
      <c r="S45" s="67"/>
    </row>
    <row r="46" spans="1:19" ht="24" x14ac:dyDescent="0.25">
      <c r="A46" s="1"/>
      <c r="B46" s="81">
        <f t="shared" si="0"/>
        <v>37</v>
      </c>
      <c r="C46" s="85" t="s">
        <v>445</v>
      </c>
      <c r="D46" s="82" t="s">
        <v>49</v>
      </c>
      <c r="E46" s="56" t="s">
        <v>135</v>
      </c>
      <c r="F46" s="39" t="s">
        <v>425</v>
      </c>
      <c r="G46" s="38" t="s">
        <v>215</v>
      </c>
      <c r="H46" s="39" t="s">
        <v>337</v>
      </c>
      <c r="I46" s="38" t="s">
        <v>436</v>
      </c>
      <c r="J46" s="39" t="s">
        <v>486</v>
      </c>
      <c r="K46" s="38" t="s">
        <v>436</v>
      </c>
      <c r="L46" s="39">
        <v>1</v>
      </c>
      <c r="M46" s="38">
        <f t="shared" ref="M46" si="36">L46*5</f>
        <v>5</v>
      </c>
      <c r="N46" s="38">
        <v>10</v>
      </c>
      <c r="O46" s="57" t="s">
        <v>456</v>
      </c>
      <c r="P46" s="47">
        <v>0.3352</v>
      </c>
      <c r="Q46" s="40">
        <f t="shared" ref="Q46" si="37">P46*N46</f>
        <v>3.3519999999999999</v>
      </c>
      <c r="R46" s="39"/>
      <c r="S46" s="38"/>
    </row>
    <row r="47" spans="1:19" x14ac:dyDescent="0.25">
      <c r="A47" s="1"/>
      <c r="B47" s="78">
        <f>ROW(B47) - ROW($B$9)</f>
        <v>38</v>
      </c>
      <c r="C47" s="87" t="s">
        <v>394</v>
      </c>
      <c r="D47" s="83" t="s">
        <v>50</v>
      </c>
      <c r="E47" s="72" t="s">
        <v>136</v>
      </c>
      <c r="F47" s="73" t="s">
        <v>425</v>
      </c>
      <c r="G47" s="72" t="s">
        <v>216</v>
      </c>
      <c r="H47" s="73" t="s">
        <v>436</v>
      </c>
      <c r="I47" s="72" t="s">
        <v>436</v>
      </c>
      <c r="J47" s="73" t="s">
        <v>436</v>
      </c>
      <c r="K47" s="72" t="s">
        <v>436</v>
      </c>
      <c r="L47" s="73">
        <v>2</v>
      </c>
      <c r="M47" s="72">
        <f>L47*5</f>
        <v>10</v>
      </c>
      <c r="N47" s="73" t="s">
        <v>436</v>
      </c>
      <c r="O47" s="74" t="s">
        <v>436</v>
      </c>
      <c r="P47" s="75" t="s">
        <v>436</v>
      </c>
      <c r="Q47" s="76" t="s">
        <v>436</v>
      </c>
      <c r="R47" s="73"/>
      <c r="S47" s="72"/>
    </row>
    <row r="48" spans="1:19" x14ac:dyDescent="0.25">
      <c r="A48" s="1"/>
      <c r="B48" s="81">
        <f t="shared" si="0"/>
        <v>39</v>
      </c>
      <c r="C48" s="85" t="s">
        <v>438</v>
      </c>
      <c r="D48" s="82" t="s">
        <v>51</v>
      </c>
      <c r="E48" s="56" t="s">
        <v>137</v>
      </c>
      <c r="F48" s="39" t="s">
        <v>217</v>
      </c>
      <c r="G48" s="58">
        <v>61300311121</v>
      </c>
      <c r="H48" s="39" t="s">
        <v>338</v>
      </c>
      <c r="I48" s="38" t="s">
        <v>497</v>
      </c>
      <c r="J48" s="39" t="s">
        <v>497</v>
      </c>
      <c r="K48" s="38" t="s">
        <v>436</v>
      </c>
      <c r="L48" s="39">
        <v>2</v>
      </c>
      <c r="M48" s="38">
        <f t="shared" ref="M48" si="38">L48*5</f>
        <v>10</v>
      </c>
      <c r="N48" s="38">
        <v>50</v>
      </c>
      <c r="O48" s="57" t="s">
        <v>456</v>
      </c>
      <c r="P48" s="47">
        <v>1.44E-2</v>
      </c>
      <c r="Q48" s="40">
        <f t="shared" ref="Q48" si="39">P48*N48</f>
        <v>0.72</v>
      </c>
      <c r="R48" s="39"/>
      <c r="S48" s="38"/>
    </row>
    <row r="49" spans="1:19" x14ac:dyDescent="0.25">
      <c r="A49" s="1"/>
      <c r="B49" s="78">
        <f>ROW(B49) - ROW($B$9)</f>
        <v>40</v>
      </c>
      <c r="C49" s="86" t="s">
        <v>438</v>
      </c>
      <c r="D49" s="79" t="s">
        <v>52</v>
      </c>
      <c r="E49" s="67" t="s">
        <v>138</v>
      </c>
      <c r="F49" s="68" t="s">
        <v>218</v>
      </c>
      <c r="G49" s="72">
        <v>61300611121</v>
      </c>
      <c r="H49" s="68" t="s">
        <v>338</v>
      </c>
      <c r="I49" s="67" t="s">
        <v>495</v>
      </c>
      <c r="J49" s="68" t="s">
        <v>487</v>
      </c>
      <c r="K49" s="67" t="s">
        <v>436</v>
      </c>
      <c r="L49" s="68">
        <v>4</v>
      </c>
      <c r="M49" s="67">
        <f>L49*5</f>
        <v>20</v>
      </c>
      <c r="N49" s="68">
        <v>40</v>
      </c>
      <c r="O49" s="69" t="s">
        <v>456</v>
      </c>
      <c r="P49" s="70">
        <v>3.0800000000000001E-2</v>
      </c>
      <c r="Q49" s="71">
        <f>P49*N49</f>
        <v>1.232</v>
      </c>
      <c r="R49" s="68"/>
      <c r="S49" s="67"/>
    </row>
    <row r="50" spans="1:19" x14ac:dyDescent="0.25">
      <c r="A50" s="1"/>
      <c r="B50" s="81">
        <f t="shared" si="0"/>
        <v>41</v>
      </c>
      <c r="C50" s="85" t="s">
        <v>438</v>
      </c>
      <c r="D50" s="82" t="s">
        <v>53</v>
      </c>
      <c r="E50" s="56" t="s">
        <v>139</v>
      </c>
      <c r="F50" s="39" t="s">
        <v>219</v>
      </c>
      <c r="G50" s="58" t="s">
        <v>269</v>
      </c>
      <c r="H50" s="39" t="s">
        <v>339</v>
      </c>
      <c r="I50" s="38" t="s">
        <v>488</v>
      </c>
      <c r="J50" s="39" t="s">
        <v>488</v>
      </c>
      <c r="K50" s="38" t="s">
        <v>436</v>
      </c>
      <c r="L50" s="39">
        <v>1</v>
      </c>
      <c r="M50" s="38">
        <f t="shared" ref="M50" si="40">L50*5</f>
        <v>5</v>
      </c>
      <c r="N50" s="38">
        <v>10</v>
      </c>
      <c r="O50" s="57" t="s">
        <v>456</v>
      </c>
      <c r="P50" s="47">
        <v>0.11509999999999999</v>
      </c>
      <c r="Q50" s="40">
        <f t="shared" ref="Q50" si="41">P50*N50</f>
        <v>1.151</v>
      </c>
      <c r="R50" s="39"/>
      <c r="S50" s="38"/>
    </row>
    <row r="51" spans="1:19" x14ac:dyDescent="0.25">
      <c r="A51" s="1"/>
      <c r="B51" s="78">
        <f>ROW(B51) - ROW($B$9)</f>
        <v>42</v>
      </c>
      <c r="C51" s="86" t="s">
        <v>438</v>
      </c>
      <c r="D51" s="79" t="s">
        <v>54</v>
      </c>
      <c r="E51" s="67" t="s">
        <v>140</v>
      </c>
      <c r="F51" s="68" t="s">
        <v>220</v>
      </c>
      <c r="G51" s="72">
        <v>61300211121</v>
      </c>
      <c r="H51" s="68" t="s">
        <v>338</v>
      </c>
      <c r="I51" s="67" t="s">
        <v>564</v>
      </c>
      <c r="J51" s="68" t="s">
        <v>489</v>
      </c>
      <c r="K51" s="67" t="s">
        <v>436</v>
      </c>
      <c r="L51" s="68">
        <v>3</v>
      </c>
      <c r="M51" s="67">
        <f>L51*5</f>
        <v>15</v>
      </c>
      <c r="N51" s="68">
        <v>50</v>
      </c>
      <c r="O51" s="69" t="s">
        <v>456</v>
      </c>
      <c r="P51" s="70">
        <v>1.37E-2</v>
      </c>
      <c r="Q51" s="71">
        <f>P51*N51</f>
        <v>0.68500000000000005</v>
      </c>
      <c r="R51" s="68"/>
      <c r="S51" s="67"/>
    </row>
    <row r="52" spans="1:19" x14ac:dyDescent="0.25">
      <c r="A52" s="1"/>
      <c r="B52" s="81">
        <f t="shared" si="0"/>
        <v>43</v>
      </c>
      <c r="C52" s="85" t="s">
        <v>438</v>
      </c>
      <c r="D52" s="82" t="s">
        <v>55</v>
      </c>
      <c r="E52" s="56" t="s">
        <v>141</v>
      </c>
      <c r="F52" s="39" t="s">
        <v>221</v>
      </c>
      <c r="G52" s="58">
        <v>61300411121</v>
      </c>
      <c r="H52" s="39" t="s">
        <v>338</v>
      </c>
      <c r="I52" s="38" t="s">
        <v>496</v>
      </c>
      <c r="J52" s="39" t="s">
        <v>490</v>
      </c>
      <c r="K52" s="38" t="s">
        <v>436</v>
      </c>
      <c r="L52" s="39">
        <v>1</v>
      </c>
      <c r="M52" s="38">
        <f t="shared" ref="M52" si="42">L52*5</f>
        <v>5</v>
      </c>
      <c r="N52" s="38">
        <v>20</v>
      </c>
      <c r="O52" s="57" t="s">
        <v>456</v>
      </c>
      <c r="P52" s="47">
        <v>2.2100000000000002E-2</v>
      </c>
      <c r="Q52" s="40">
        <f t="shared" ref="Q52" si="43">P52*N52</f>
        <v>0.44200000000000006</v>
      </c>
      <c r="R52" s="39"/>
      <c r="S52" s="38"/>
    </row>
    <row r="53" spans="1:19" ht="24" x14ac:dyDescent="0.25">
      <c r="A53" s="1"/>
      <c r="B53" s="78">
        <f>ROW(B53) - ROW($B$9)</f>
        <v>44</v>
      </c>
      <c r="C53" s="86" t="s">
        <v>13</v>
      </c>
      <c r="D53" s="79" t="s">
        <v>56</v>
      </c>
      <c r="E53" s="67" t="s">
        <v>142</v>
      </c>
      <c r="F53" s="68" t="s">
        <v>222</v>
      </c>
      <c r="G53" s="67" t="s">
        <v>270</v>
      </c>
      <c r="H53" s="68" t="s">
        <v>323</v>
      </c>
      <c r="I53" s="67" t="s">
        <v>436</v>
      </c>
      <c r="J53" s="68" t="s">
        <v>491</v>
      </c>
      <c r="K53" s="67" t="s">
        <v>436</v>
      </c>
      <c r="L53" s="68">
        <v>9</v>
      </c>
      <c r="M53" s="67">
        <f>L53*5</f>
        <v>45</v>
      </c>
      <c r="N53" s="68">
        <v>47</v>
      </c>
      <c r="O53" s="69" t="s">
        <v>456</v>
      </c>
      <c r="P53" s="70">
        <v>0.31269999999999998</v>
      </c>
      <c r="Q53" s="71">
        <f>P53*N53</f>
        <v>14.696899999999999</v>
      </c>
      <c r="R53" s="68"/>
      <c r="S53" s="67"/>
    </row>
    <row r="54" spans="1:19" x14ac:dyDescent="0.25">
      <c r="A54" s="1"/>
      <c r="B54" s="81">
        <f t="shared" si="0"/>
        <v>45</v>
      </c>
      <c r="C54" s="85" t="s">
        <v>13</v>
      </c>
      <c r="D54" s="82" t="s">
        <v>57</v>
      </c>
      <c r="E54" s="56" t="s">
        <v>143</v>
      </c>
      <c r="F54" s="39" t="s">
        <v>223</v>
      </c>
      <c r="G54" s="38" t="s">
        <v>271</v>
      </c>
      <c r="H54" s="39" t="s">
        <v>340</v>
      </c>
      <c r="I54" s="38" t="s">
        <v>436</v>
      </c>
      <c r="J54" s="39" t="s">
        <v>492</v>
      </c>
      <c r="K54" s="38" t="s">
        <v>436</v>
      </c>
      <c r="L54" s="39">
        <v>1</v>
      </c>
      <c r="M54" s="38">
        <f t="shared" ref="M54" si="44">L54*5</f>
        <v>5</v>
      </c>
      <c r="N54" s="38">
        <v>10</v>
      </c>
      <c r="O54" s="57" t="s">
        <v>456</v>
      </c>
      <c r="P54" s="47">
        <v>7.3599999999999999E-2</v>
      </c>
      <c r="Q54" s="40">
        <f t="shared" ref="Q54" si="45">P54*N54</f>
        <v>0.73599999999999999</v>
      </c>
      <c r="R54" s="39"/>
      <c r="S54" s="38"/>
    </row>
    <row r="55" spans="1:19" x14ac:dyDescent="0.25">
      <c r="A55" s="1"/>
      <c r="B55" s="78">
        <f>ROW(B55) - ROW($B$9)</f>
        <v>46</v>
      </c>
      <c r="C55" s="86" t="s">
        <v>13</v>
      </c>
      <c r="D55" s="79" t="s">
        <v>58</v>
      </c>
      <c r="E55" s="67" t="s">
        <v>144</v>
      </c>
      <c r="F55" s="68" t="s">
        <v>224</v>
      </c>
      <c r="G55" s="67" t="s">
        <v>272</v>
      </c>
      <c r="H55" s="68" t="s">
        <v>341</v>
      </c>
      <c r="I55" s="67" t="s">
        <v>436</v>
      </c>
      <c r="J55" s="68" t="s">
        <v>436</v>
      </c>
      <c r="K55" s="67" t="s">
        <v>436</v>
      </c>
      <c r="L55" s="68">
        <v>2</v>
      </c>
      <c r="M55" s="67">
        <f>L55*5</f>
        <v>10</v>
      </c>
      <c r="N55" s="68">
        <v>11</v>
      </c>
      <c r="O55" s="69" t="s">
        <v>456</v>
      </c>
      <c r="P55" s="70">
        <v>0.80189999999999995</v>
      </c>
      <c r="Q55" s="71">
        <f>P55*N55</f>
        <v>8.8209</v>
      </c>
      <c r="R55" s="68"/>
      <c r="S55" s="67"/>
    </row>
    <row r="56" spans="1:19" x14ac:dyDescent="0.25">
      <c r="A56" s="1"/>
      <c r="B56" s="81">
        <f t="shared" si="0"/>
        <v>47</v>
      </c>
      <c r="C56" s="85" t="s">
        <v>13</v>
      </c>
      <c r="D56" s="82" t="s">
        <v>59</v>
      </c>
      <c r="E56" s="56" t="s">
        <v>145</v>
      </c>
      <c r="F56" s="39" t="s">
        <v>223</v>
      </c>
      <c r="G56" s="38" t="s">
        <v>273</v>
      </c>
      <c r="H56" s="39" t="s">
        <v>340</v>
      </c>
      <c r="I56" s="38" t="s">
        <v>436</v>
      </c>
      <c r="J56" s="39" t="s">
        <v>493</v>
      </c>
      <c r="K56" s="38" t="s">
        <v>436</v>
      </c>
      <c r="L56" s="39">
        <v>2</v>
      </c>
      <c r="M56" s="38">
        <f t="shared" ref="M56" si="46">L56*5</f>
        <v>10</v>
      </c>
      <c r="N56" s="38">
        <v>15</v>
      </c>
      <c r="O56" s="57" t="s">
        <v>456</v>
      </c>
      <c r="P56" s="47">
        <v>0.1227</v>
      </c>
      <c r="Q56" s="40">
        <f t="shared" ref="Q56" si="47">P56*N56</f>
        <v>1.8405</v>
      </c>
      <c r="R56" s="39"/>
      <c r="S56" s="38"/>
    </row>
    <row r="57" spans="1:19" x14ac:dyDescent="0.25">
      <c r="A57" s="1"/>
      <c r="B57" s="78">
        <f>ROW(B57) - ROW($B$9)</f>
        <v>48</v>
      </c>
      <c r="C57" s="86" t="s">
        <v>13</v>
      </c>
      <c r="D57" s="79" t="s">
        <v>60</v>
      </c>
      <c r="E57" s="67" t="s">
        <v>146</v>
      </c>
      <c r="F57" s="68" t="s">
        <v>223</v>
      </c>
      <c r="G57" s="67" t="s">
        <v>274</v>
      </c>
      <c r="H57" s="68" t="s">
        <v>323</v>
      </c>
      <c r="I57" s="67" t="s">
        <v>436</v>
      </c>
      <c r="J57" s="68" t="s">
        <v>368</v>
      </c>
      <c r="K57" s="67" t="s">
        <v>436</v>
      </c>
      <c r="L57" s="68">
        <v>6</v>
      </c>
      <c r="M57" s="67">
        <f>L57*5</f>
        <v>30</v>
      </c>
      <c r="N57" s="68">
        <v>40</v>
      </c>
      <c r="O57" s="69" t="s">
        <v>456</v>
      </c>
      <c r="P57" s="70">
        <v>3.49E-2</v>
      </c>
      <c r="Q57" s="71">
        <f>P57*N57</f>
        <v>1.3959999999999999</v>
      </c>
      <c r="R57" s="68"/>
      <c r="S57" s="67"/>
    </row>
    <row r="58" spans="1:19" ht="24" x14ac:dyDescent="0.25">
      <c r="A58" s="1"/>
      <c r="B58" s="81">
        <f t="shared" si="0"/>
        <v>49</v>
      </c>
      <c r="C58" s="85" t="s">
        <v>13</v>
      </c>
      <c r="D58" s="82" t="s">
        <v>61</v>
      </c>
      <c r="E58" s="56" t="s">
        <v>147</v>
      </c>
      <c r="F58" s="39" t="s">
        <v>223</v>
      </c>
      <c r="G58" s="38" t="s">
        <v>275</v>
      </c>
      <c r="H58" s="39" t="s">
        <v>342</v>
      </c>
      <c r="I58" s="38" t="s">
        <v>436</v>
      </c>
      <c r="J58" s="39" t="s">
        <v>498</v>
      </c>
      <c r="K58" s="38" t="s">
        <v>436</v>
      </c>
      <c r="L58" s="39">
        <v>10</v>
      </c>
      <c r="M58" s="38">
        <f t="shared" ref="M58" si="48">L58*5</f>
        <v>50</v>
      </c>
      <c r="N58" s="38">
        <v>60</v>
      </c>
      <c r="O58" s="57" t="s">
        <v>456</v>
      </c>
      <c r="P58" s="47">
        <v>1.9400000000000001E-2</v>
      </c>
      <c r="Q58" s="40">
        <f t="shared" ref="Q58" si="49">P58*N58</f>
        <v>1.1640000000000001</v>
      </c>
      <c r="R58" s="39"/>
      <c r="S58" s="38"/>
    </row>
    <row r="59" spans="1:19" ht="24" x14ac:dyDescent="0.25">
      <c r="A59" s="1"/>
      <c r="B59" s="78">
        <f>ROW(B59) - ROW($B$9)</f>
        <v>50</v>
      </c>
      <c r="C59" s="86" t="s">
        <v>13</v>
      </c>
      <c r="D59" s="79" t="s">
        <v>62</v>
      </c>
      <c r="E59" s="67" t="s">
        <v>148</v>
      </c>
      <c r="F59" s="68" t="s">
        <v>223</v>
      </c>
      <c r="G59" s="67" t="s">
        <v>276</v>
      </c>
      <c r="H59" s="68" t="s">
        <v>342</v>
      </c>
      <c r="I59" s="67" t="s">
        <v>436</v>
      </c>
      <c r="J59" s="68" t="s">
        <v>499</v>
      </c>
      <c r="K59" s="67" t="s">
        <v>436</v>
      </c>
      <c r="L59" s="68">
        <v>2</v>
      </c>
      <c r="M59" s="67">
        <f>L59*5</f>
        <v>10</v>
      </c>
      <c r="N59" s="68">
        <v>20</v>
      </c>
      <c r="O59" s="69" t="s">
        <v>456</v>
      </c>
      <c r="P59" s="70">
        <v>2.5000000000000001E-2</v>
      </c>
      <c r="Q59" s="71">
        <f>P59*N59</f>
        <v>0.5</v>
      </c>
      <c r="R59" s="68"/>
      <c r="S59" s="67"/>
    </row>
    <row r="60" spans="1:19" x14ac:dyDescent="0.25">
      <c r="A60" s="1"/>
      <c r="B60" s="81">
        <f t="shared" si="0"/>
        <v>51</v>
      </c>
      <c r="C60" s="85" t="s">
        <v>13</v>
      </c>
      <c r="D60" s="82" t="s">
        <v>63</v>
      </c>
      <c r="E60" s="56" t="s">
        <v>149</v>
      </c>
      <c r="F60" s="39" t="s">
        <v>223</v>
      </c>
      <c r="G60" s="38" t="s">
        <v>277</v>
      </c>
      <c r="H60" s="39" t="s">
        <v>321</v>
      </c>
      <c r="I60" s="38" t="s">
        <v>436</v>
      </c>
      <c r="J60" s="39" t="s">
        <v>500</v>
      </c>
      <c r="K60" s="38" t="s">
        <v>436</v>
      </c>
      <c r="L60" s="39">
        <v>3</v>
      </c>
      <c r="M60" s="38">
        <f t="shared" ref="M60" si="50">L60*5</f>
        <v>15</v>
      </c>
      <c r="N60" s="38">
        <v>20</v>
      </c>
      <c r="O60" s="57" t="s">
        <v>456</v>
      </c>
      <c r="P60" s="47">
        <v>2.9700000000000001E-2</v>
      </c>
      <c r="Q60" s="40">
        <f t="shared" ref="Q60" si="51">P60*N60</f>
        <v>0.59399999999999997</v>
      </c>
      <c r="R60" s="39"/>
      <c r="S60" s="38"/>
    </row>
    <row r="61" spans="1:19" ht="24" x14ac:dyDescent="0.25">
      <c r="A61" s="1"/>
      <c r="B61" s="78">
        <f>ROW(B61) - ROW($B$9)</f>
        <v>52</v>
      </c>
      <c r="C61" s="86" t="s">
        <v>13</v>
      </c>
      <c r="D61" s="79" t="s">
        <v>64</v>
      </c>
      <c r="E61" s="67" t="s">
        <v>150</v>
      </c>
      <c r="F61" s="68" t="s">
        <v>440</v>
      </c>
      <c r="G61" s="67" t="s">
        <v>225</v>
      </c>
      <c r="H61" s="68" t="s">
        <v>343</v>
      </c>
      <c r="I61" s="67" t="s">
        <v>436</v>
      </c>
      <c r="J61" s="68" t="s">
        <v>501</v>
      </c>
      <c r="K61" s="67" t="s">
        <v>436</v>
      </c>
      <c r="L61" s="68">
        <v>1</v>
      </c>
      <c r="M61" s="67">
        <f>L61*5</f>
        <v>5</v>
      </c>
      <c r="N61" s="68">
        <v>10</v>
      </c>
      <c r="O61" s="69" t="s">
        <v>456</v>
      </c>
      <c r="P61" s="70">
        <v>0.32490000000000002</v>
      </c>
      <c r="Q61" s="71">
        <f>P61*N61</f>
        <v>3.2490000000000001</v>
      </c>
      <c r="R61" s="68"/>
      <c r="S61" s="67"/>
    </row>
    <row r="62" spans="1:19" ht="36" x14ac:dyDescent="0.25">
      <c r="A62" s="1"/>
      <c r="B62" s="81">
        <f t="shared" si="0"/>
        <v>53</v>
      </c>
      <c r="C62" s="85" t="s">
        <v>13</v>
      </c>
      <c r="D62" s="82" t="s">
        <v>65</v>
      </c>
      <c r="E62" s="56" t="s">
        <v>151</v>
      </c>
      <c r="F62" s="39" t="s">
        <v>223</v>
      </c>
      <c r="G62" s="38" t="s">
        <v>278</v>
      </c>
      <c r="H62" s="39" t="s">
        <v>344</v>
      </c>
      <c r="I62" s="38" t="s">
        <v>436</v>
      </c>
      <c r="J62" s="39" t="s">
        <v>369</v>
      </c>
      <c r="K62" s="38" t="s">
        <v>436</v>
      </c>
      <c r="L62" s="39">
        <v>1</v>
      </c>
      <c r="M62" s="38">
        <f t="shared" ref="M62" si="52">L62*5</f>
        <v>5</v>
      </c>
      <c r="N62" s="38">
        <v>10</v>
      </c>
      <c r="O62" s="57" t="s">
        <v>456</v>
      </c>
      <c r="P62" s="47">
        <v>4.6899999999999997E-2</v>
      </c>
      <c r="Q62" s="40">
        <f t="shared" ref="Q62" si="53">P62*N62</f>
        <v>0.46899999999999997</v>
      </c>
      <c r="R62" s="39"/>
      <c r="S62" s="38"/>
    </row>
    <row r="63" spans="1:19" ht="24" x14ac:dyDescent="0.25">
      <c r="A63" s="1"/>
      <c r="B63" s="78">
        <f>ROW(B63) - ROW($B$9)</f>
        <v>54</v>
      </c>
      <c r="C63" s="86" t="s">
        <v>14</v>
      </c>
      <c r="D63" s="79" t="s">
        <v>66</v>
      </c>
      <c r="E63" s="67" t="s">
        <v>152</v>
      </c>
      <c r="F63" s="68" t="s">
        <v>226</v>
      </c>
      <c r="G63" s="67" t="s">
        <v>279</v>
      </c>
      <c r="H63" s="68" t="s">
        <v>315</v>
      </c>
      <c r="I63" s="67" t="s">
        <v>436</v>
      </c>
      <c r="J63" s="68" t="s">
        <v>502</v>
      </c>
      <c r="K63" s="67" t="s">
        <v>395</v>
      </c>
      <c r="L63" s="68">
        <v>1</v>
      </c>
      <c r="M63" s="67">
        <f>L63*5</f>
        <v>5</v>
      </c>
      <c r="N63" s="68">
        <v>100</v>
      </c>
      <c r="O63" s="69" t="s">
        <v>456</v>
      </c>
      <c r="P63" s="70">
        <v>2E-3</v>
      </c>
      <c r="Q63" s="71">
        <f>P63*N63</f>
        <v>0.2</v>
      </c>
      <c r="R63" s="68"/>
      <c r="S63" s="67"/>
    </row>
    <row r="64" spans="1:19" x14ac:dyDescent="0.25">
      <c r="A64" s="1"/>
      <c r="B64" s="81">
        <f t="shared" si="0"/>
        <v>55</v>
      </c>
      <c r="C64" s="85" t="s">
        <v>14</v>
      </c>
      <c r="D64" s="82" t="s">
        <v>67</v>
      </c>
      <c r="E64" s="56" t="s">
        <v>153</v>
      </c>
      <c r="F64" s="39" t="s">
        <v>226</v>
      </c>
      <c r="G64" s="38" t="s">
        <v>280</v>
      </c>
      <c r="H64" s="39" t="s">
        <v>315</v>
      </c>
      <c r="I64" s="38" t="s">
        <v>436</v>
      </c>
      <c r="J64" s="39" t="s">
        <v>503</v>
      </c>
      <c r="K64" s="38" t="s">
        <v>396</v>
      </c>
      <c r="L64" s="39">
        <v>1</v>
      </c>
      <c r="M64" s="38">
        <f t="shared" ref="M64" si="54">L64*5</f>
        <v>5</v>
      </c>
      <c r="N64" s="38">
        <v>100</v>
      </c>
      <c r="O64" s="57" t="s">
        <v>456</v>
      </c>
      <c r="P64" s="47">
        <v>1.1999999999999999E-3</v>
      </c>
      <c r="Q64" s="40">
        <f t="shared" ref="Q64" si="55">P64*N64</f>
        <v>0.12</v>
      </c>
      <c r="R64" s="39"/>
      <c r="S64" s="38"/>
    </row>
    <row r="65" spans="1:19" ht="36" x14ac:dyDescent="0.25">
      <c r="A65" s="1"/>
      <c r="B65" s="78">
        <f>ROW(B65) - ROW($B$9)</f>
        <v>56</v>
      </c>
      <c r="C65" s="86" t="s">
        <v>14</v>
      </c>
      <c r="D65" s="79" t="s">
        <v>68</v>
      </c>
      <c r="E65" s="67" t="s">
        <v>154</v>
      </c>
      <c r="F65" s="68" t="s">
        <v>226</v>
      </c>
      <c r="G65" s="67" t="s">
        <v>435</v>
      </c>
      <c r="H65" s="68" t="s">
        <v>345</v>
      </c>
      <c r="I65" s="67" t="s">
        <v>436</v>
      </c>
      <c r="J65" s="68" t="s">
        <v>504</v>
      </c>
      <c r="K65" s="67" t="s">
        <v>397</v>
      </c>
      <c r="L65" s="68">
        <v>1</v>
      </c>
      <c r="M65" s="67">
        <f>L65*5</f>
        <v>5</v>
      </c>
      <c r="N65" s="68">
        <v>50</v>
      </c>
      <c r="O65" s="69" t="s">
        <v>456</v>
      </c>
      <c r="P65" s="70">
        <v>3.8E-3</v>
      </c>
      <c r="Q65" s="71">
        <f>P65*N65</f>
        <v>0.19</v>
      </c>
      <c r="R65" s="68"/>
      <c r="S65" s="67"/>
    </row>
    <row r="66" spans="1:19" ht="24" x14ac:dyDescent="0.25">
      <c r="A66" s="1"/>
      <c r="B66" s="78">
        <f>ROW(B66) - ROW($B$9)</f>
        <v>57</v>
      </c>
      <c r="C66" s="85" t="s">
        <v>14</v>
      </c>
      <c r="D66" s="82" t="s">
        <v>454</v>
      </c>
      <c r="E66" s="56" t="s">
        <v>541</v>
      </c>
      <c r="F66" s="39" t="s">
        <v>227</v>
      </c>
      <c r="G66" s="38" t="s">
        <v>281</v>
      </c>
      <c r="H66" s="39" t="s">
        <v>315</v>
      </c>
      <c r="I66" s="38" t="s">
        <v>436</v>
      </c>
      <c r="J66" s="39" t="s">
        <v>375</v>
      </c>
      <c r="K66" s="38" t="s">
        <v>399</v>
      </c>
      <c r="L66" s="39">
        <v>15</v>
      </c>
      <c r="M66" s="38">
        <f>L66*5</f>
        <v>75</v>
      </c>
      <c r="N66" s="38">
        <v>100</v>
      </c>
      <c r="O66" s="57" t="s">
        <v>456</v>
      </c>
      <c r="P66" s="47">
        <v>1.1999999999999999E-3</v>
      </c>
      <c r="Q66" s="40">
        <f>P66*N66</f>
        <v>0.12</v>
      </c>
      <c r="R66" s="39"/>
      <c r="S66" s="38"/>
    </row>
    <row r="67" spans="1:19" x14ac:dyDescent="0.25">
      <c r="A67" s="1"/>
      <c r="B67" s="81">
        <f t="shared" si="0"/>
        <v>58</v>
      </c>
      <c r="C67" s="86" t="s">
        <v>14</v>
      </c>
      <c r="D67" s="79" t="s">
        <v>69</v>
      </c>
      <c r="E67" s="67" t="s">
        <v>155</v>
      </c>
      <c r="F67" s="68" t="s">
        <v>226</v>
      </c>
      <c r="G67" s="67" t="s">
        <v>282</v>
      </c>
      <c r="H67" s="68" t="s">
        <v>315</v>
      </c>
      <c r="I67" s="67" t="s">
        <v>436</v>
      </c>
      <c r="J67" s="68" t="s">
        <v>505</v>
      </c>
      <c r="K67" s="67" t="s">
        <v>400</v>
      </c>
      <c r="L67" s="68">
        <v>2</v>
      </c>
      <c r="M67" s="67">
        <f t="shared" ref="M67" si="56">L67*5</f>
        <v>10</v>
      </c>
      <c r="N67" s="68">
        <v>100</v>
      </c>
      <c r="O67" s="69" t="s">
        <v>456</v>
      </c>
      <c r="P67" s="70">
        <v>1.5E-3</v>
      </c>
      <c r="Q67" s="71">
        <f t="shared" ref="Q67" si="57">P67*N67</f>
        <v>0.15</v>
      </c>
      <c r="R67" s="68"/>
      <c r="S67" s="67"/>
    </row>
    <row r="68" spans="1:19" ht="36" x14ac:dyDescent="0.25">
      <c r="A68" s="1"/>
      <c r="B68" s="78">
        <f>ROW(B68) - ROW($B$9)</f>
        <v>59</v>
      </c>
      <c r="C68" s="85" t="s">
        <v>14</v>
      </c>
      <c r="D68" s="82" t="s">
        <v>70</v>
      </c>
      <c r="E68" s="56" t="s">
        <v>156</v>
      </c>
      <c r="F68" s="39" t="s">
        <v>226</v>
      </c>
      <c r="G68" s="38" t="s">
        <v>283</v>
      </c>
      <c r="H68" s="39" t="s">
        <v>346</v>
      </c>
      <c r="I68" s="38" t="s">
        <v>436</v>
      </c>
      <c r="J68" s="39" t="s">
        <v>506</v>
      </c>
      <c r="K68" s="38" t="s">
        <v>401</v>
      </c>
      <c r="L68" s="39">
        <v>1</v>
      </c>
      <c r="M68" s="38">
        <f>L68*5</f>
        <v>5</v>
      </c>
      <c r="N68" s="38">
        <v>100</v>
      </c>
      <c r="O68" s="57" t="s">
        <v>456</v>
      </c>
      <c r="P68" s="47">
        <v>1.6999999999999999E-3</v>
      </c>
      <c r="Q68" s="40">
        <f>P68*N68</f>
        <v>0.16999999999999998</v>
      </c>
      <c r="R68" s="39"/>
      <c r="S68" s="38"/>
    </row>
    <row r="69" spans="1:19" ht="36" x14ac:dyDescent="0.25">
      <c r="A69" s="1"/>
      <c r="B69" s="81">
        <f t="shared" si="0"/>
        <v>60</v>
      </c>
      <c r="C69" s="86" t="s">
        <v>14</v>
      </c>
      <c r="D69" s="79" t="s">
        <v>448</v>
      </c>
      <c r="E69" s="67" t="s">
        <v>157</v>
      </c>
      <c r="F69" s="68" t="s">
        <v>227</v>
      </c>
      <c r="G69" s="67" t="s">
        <v>284</v>
      </c>
      <c r="H69" s="68" t="s">
        <v>315</v>
      </c>
      <c r="I69" s="67" t="s">
        <v>436</v>
      </c>
      <c r="J69" s="68" t="s">
        <v>370</v>
      </c>
      <c r="K69" s="67" t="s">
        <v>398</v>
      </c>
      <c r="L69" s="68">
        <v>20</v>
      </c>
      <c r="M69" s="67">
        <f t="shared" ref="M69" si="58">L69*5</f>
        <v>100</v>
      </c>
      <c r="N69" s="68">
        <v>200</v>
      </c>
      <c r="O69" s="69" t="s">
        <v>456</v>
      </c>
      <c r="P69" s="70">
        <v>1E-3</v>
      </c>
      <c r="Q69" s="71">
        <f t="shared" ref="Q69" si="59">P69*N69</f>
        <v>0.2</v>
      </c>
      <c r="R69" s="68"/>
      <c r="S69" s="67"/>
    </row>
    <row r="70" spans="1:19" x14ac:dyDescent="0.25">
      <c r="A70" s="1"/>
      <c r="B70" s="78">
        <f>ROW(B70) - ROW($B$9)</f>
        <v>61</v>
      </c>
      <c r="C70" s="85" t="s">
        <v>14</v>
      </c>
      <c r="D70" s="82" t="s">
        <v>71</v>
      </c>
      <c r="E70" s="56" t="s">
        <v>158</v>
      </c>
      <c r="F70" s="39" t="s">
        <v>227</v>
      </c>
      <c r="G70" s="38" t="s">
        <v>285</v>
      </c>
      <c r="H70" s="39" t="s">
        <v>315</v>
      </c>
      <c r="I70" s="38" t="s">
        <v>436</v>
      </c>
      <c r="J70" s="39" t="s">
        <v>526</v>
      </c>
      <c r="K70" s="38" t="s">
        <v>402</v>
      </c>
      <c r="L70" s="39">
        <v>1</v>
      </c>
      <c r="M70" s="38">
        <f>L70*5</f>
        <v>5</v>
      </c>
      <c r="N70" s="38">
        <v>100</v>
      </c>
      <c r="O70" s="57" t="s">
        <v>456</v>
      </c>
      <c r="P70" s="47">
        <v>1.2999999999999999E-3</v>
      </c>
      <c r="Q70" s="40">
        <f>P70*N70</f>
        <v>0.13</v>
      </c>
      <c r="R70" s="39"/>
      <c r="S70" s="38"/>
    </row>
    <row r="71" spans="1:19" x14ac:dyDescent="0.25">
      <c r="A71" s="1"/>
      <c r="B71" s="81">
        <f t="shared" si="0"/>
        <v>62</v>
      </c>
      <c r="C71" s="86" t="s">
        <v>14</v>
      </c>
      <c r="D71" s="79" t="s">
        <v>72</v>
      </c>
      <c r="E71" s="67" t="s">
        <v>159</v>
      </c>
      <c r="F71" s="68" t="s">
        <v>226</v>
      </c>
      <c r="G71" s="67" t="s">
        <v>286</v>
      </c>
      <c r="H71" s="68" t="s">
        <v>315</v>
      </c>
      <c r="I71" s="67" t="s">
        <v>436</v>
      </c>
      <c r="J71" s="68" t="s">
        <v>507</v>
      </c>
      <c r="K71" s="67" t="s">
        <v>403</v>
      </c>
      <c r="L71" s="68">
        <v>3</v>
      </c>
      <c r="M71" s="67">
        <f t="shared" ref="M71" si="60">L71*5</f>
        <v>15</v>
      </c>
      <c r="N71" s="68">
        <v>100</v>
      </c>
      <c r="O71" s="69" t="s">
        <v>456</v>
      </c>
      <c r="P71" s="70">
        <v>1.1999999999999999E-3</v>
      </c>
      <c r="Q71" s="71">
        <f t="shared" ref="Q71" si="61">P71*N71</f>
        <v>0.12</v>
      </c>
      <c r="R71" s="68"/>
      <c r="S71" s="67"/>
    </row>
    <row r="72" spans="1:19" x14ac:dyDescent="0.25">
      <c r="A72" s="1"/>
      <c r="B72" s="78">
        <f>ROW(B72) - ROW($B$9)</f>
        <v>63</v>
      </c>
      <c r="C72" s="85" t="s">
        <v>14</v>
      </c>
      <c r="D72" s="82" t="s">
        <v>453</v>
      </c>
      <c r="E72" s="56" t="s">
        <v>160</v>
      </c>
      <c r="F72" s="39" t="s">
        <v>226</v>
      </c>
      <c r="G72" s="38" t="s">
        <v>287</v>
      </c>
      <c r="H72" s="39" t="s">
        <v>347</v>
      </c>
      <c r="I72" s="38" t="s">
        <v>436</v>
      </c>
      <c r="J72" s="39" t="s">
        <v>508</v>
      </c>
      <c r="K72" s="38" t="s">
        <v>404</v>
      </c>
      <c r="L72" s="39">
        <v>8</v>
      </c>
      <c r="M72" s="38">
        <f>L72*5</f>
        <v>40</v>
      </c>
      <c r="N72" s="38">
        <v>100</v>
      </c>
      <c r="O72" s="57" t="s">
        <v>456</v>
      </c>
      <c r="P72" s="47">
        <v>1.1999999999999999E-3</v>
      </c>
      <c r="Q72" s="40">
        <f>P72*N72</f>
        <v>0.12</v>
      </c>
      <c r="R72" s="39"/>
      <c r="S72" s="38"/>
    </row>
    <row r="73" spans="1:19" x14ac:dyDescent="0.25">
      <c r="A73" s="1"/>
      <c r="B73" s="81">
        <f t="shared" si="0"/>
        <v>64</v>
      </c>
      <c r="C73" s="86" t="s">
        <v>14</v>
      </c>
      <c r="D73" s="79" t="s">
        <v>73</v>
      </c>
      <c r="E73" s="67" t="s">
        <v>161</v>
      </c>
      <c r="F73" s="68" t="s">
        <v>226</v>
      </c>
      <c r="G73" s="67" t="s">
        <v>288</v>
      </c>
      <c r="H73" s="68" t="s">
        <v>315</v>
      </c>
      <c r="I73" s="67" t="s">
        <v>436</v>
      </c>
      <c r="J73" s="68" t="s">
        <v>527</v>
      </c>
      <c r="K73" s="67" t="s">
        <v>405</v>
      </c>
      <c r="L73" s="68">
        <v>2</v>
      </c>
      <c r="M73" s="67">
        <f t="shared" ref="M73" si="62">L73*5</f>
        <v>10</v>
      </c>
      <c r="N73" s="68">
        <v>100</v>
      </c>
      <c r="O73" s="69" t="s">
        <v>456</v>
      </c>
      <c r="P73" s="70">
        <v>1.1999999999999999E-3</v>
      </c>
      <c r="Q73" s="71">
        <f t="shared" ref="Q73" si="63">P73*N73</f>
        <v>0.12</v>
      </c>
      <c r="R73" s="68"/>
      <c r="S73" s="67"/>
    </row>
    <row r="74" spans="1:19" ht="24" x14ac:dyDescent="0.25">
      <c r="A74" s="1"/>
      <c r="B74" s="78">
        <f>ROW(B74) - ROW($B$9)</f>
        <v>65</v>
      </c>
      <c r="C74" s="85" t="s">
        <v>14</v>
      </c>
      <c r="D74" s="82" t="s">
        <v>450</v>
      </c>
      <c r="E74" s="56" t="s">
        <v>162</v>
      </c>
      <c r="F74" s="39" t="s">
        <v>226</v>
      </c>
      <c r="G74" s="38" t="s">
        <v>289</v>
      </c>
      <c r="H74" s="39" t="s">
        <v>315</v>
      </c>
      <c r="I74" s="38" t="s">
        <v>436</v>
      </c>
      <c r="J74" s="39" t="s">
        <v>509</v>
      </c>
      <c r="K74" s="38" t="s">
        <v>406</v>
      </c>
      <c r="L74" s="39">
        <v>13</v>
      </c>
      <c r="M74" s="38">
        <f>L74*5</f>
        <v>65</v>
      </c>
      <c r="N74" s="38">
        <v>100</v>
      </c>
      <c r="O74" s="57" t="s">
        <v>456</v>
      </c>
      <c r="P74" s="47">
        <v>1E-3</v>
      </c>
      <c r="Q74" s="40">
        <f>P74*N74</f>
        <v>0.1</v>
      </c>
      <c r="R74" s="39"/>
      <c r="S74" s="38"/>
    </row>
    <row r="75" spans="1:19" x14ac:dyDescent="0.25">
      <c r="A75" s="1"/>
      <c r="B75" s="81">
        <f t="shared" si="0"/>
        <v>66</v>
      </c>
      <c r="C75" s="86" t="s">
        <v>14</v>
      </c>
      <c r="D75" s="79" t="s">
        <v>542</v>
      </c>
      <c r="E75" s="67" t="s">
        <v>163</v>
      </c>
      <c r="F75" s="68" t="s">
        <v>227</v>
      </c>
      <c r="G75" s="67" t="s">
        <v>290</v>
      </c>
      <c r="H75" s="68" t="s">
        <v>315</v>
      </c>
      <c r="I75" s="67" t="s">
        <v>436</v>
      </c>
      <c r="J75" s="68" t="s">
        <v>528</v>
      </c>
      <c r="K75" s="67" t="s">
        <v>408</v>
      </c>
      <c r="L75" s="68">
        <v>2</v>
      </c>
      <c r="M75" s="67">
        <f t="shared" ref="M75" si="64">L75*5</f>
        <v>10</v>
      </c>
      <c r="N75" s="68">
        <v>20</v>
      </c>
      <c r="O75" s="69" t="s">
        <v>456</v>
      </c>
      <c r="P75" s="70">
        <v>2.92E-2</v>
      </c>
      <c r="Q75" s="71">
        <f t="shared" ref="Q75" si="65">P75*N75</f>
        <v>0.58399999999999996</v>
      </c>
      <c r="R75" s="68"/>
      <c r="S75" s="67"/>
    </row>
    <row r="76" spans="1:19" x14ac:dyDescent="0.25">
      <c r="A76" s="1"/>
      <c r="B76" s="78">
        <f>ROW(B76) - ROW($B$9)</f>
        <v>67</v>
      </c>
      <c r="C76" s="85" t="s">
        <v>14</v>
      </c>
      <c r="D76" s="82" t="s">
        <v>74</v>
      </c>
      <c r="E76" s="56" t="s">
        <v>164</v>
      </c>
      <c r="F76" s="39" t="s">
        <v>227</v>
      </c>
      <c r="G76" s="38" t="s">
        <v>291</v>
      </c>
      <c r="H76" s="39" t="s">
        <v>315</v>
      </c>
      <c r="I76" s="38" t="s">
        <v>436</v>
      </c>
      <c r="J76" s="39" t="s">
        <v>529</v>
      </c>
      <c r="K76" s="38" t="s">
        <v>409</v>
      </c>
      <c r="L76" s="39">
        <v>1</v>
      </c>
      <c r="M76" s="38">
        <f>L76*5</f>
        <v>5</v>
      </c>
      <c r="N76" s="38">
        <v>20</v>
      </c>
      <c r="O76" s="57" t="s">
        <v>456</v>
      </c>
      <c r="P76" s="47">
        <v>0.03</v>
      </c>
      <c r="Q76" s="40">
        <f>P76*N76</f>
        <v>0.6</v>
      </c>
      <c r="R76" s="39"/>
      <c r="S76" s="38"/>
    </row>
    <row r="77" spans="1:19" x14ac:dyDescent="0.25">
      <c r="A77" s="1"/>
      <c r="B77" s="81">
        <f t="shared" si="0"/>
        <v>68</v>
      </c>
      <c r="C77" s="86" t="s">
        <v>14</v>
      </c>
      <c r="D77" s="79" t="s">
        <v>451</v>
      </c>
      <c r="E77" s="67" t="s">
        <v>165</v>
      </c>
      <c r="F77" s="68" t="s">
        <v>226</v>
      </c>
      <c r="G77" s="67" t="s">
        <v>292</v>
      </c>
      <c r="H77" s="68" t="s">
        <v>315</v>
      </c>
      <c r="I77" s="67" t="s">
        <v>436</v>
      </c>
      <c r="J77" s="68" t="s">
        <v>510</v>
      </c>
      <c r="K77" s="67" t="s">
        <v>410</v>
      </c>
      <c r="L77" s="68">
        <v>3</v>
      </c>
      <c r="M77" s="67">
        <f t="shared" ref="M77" si="66">L77*5</f>
        <v>15</v>
      </c>
      <c r="N77" s="68">
        <v>100</v>
      </c>
      <c r="O77" s="69" t="s">
        <v>456</v>
      </c>
      <c r="P77" s="70">
        <v>1.1999999999999999E-3</v>
      </c>
      <c r="Q77" s="71">
        <f t="shared" ref="Q77" si="67">P77*N77</f>
        <v>0.12</v>
      </c>
      <c r="R77" s="68"/>
      <c r="S77" s="67"/>
    </row>
    <row r="78" spans="1:19" ht="48" x14ac:dyDescent="0.25">
      <c r="A78" s="1"/>
      <c r="B78" s="78">
        <f>ROW(B78) - ROW($B$9)</f>
        <v>69</v>
      </c>
      <c r="C78" s="85" t="s">
        <v>14</v>
      </c>
      <c r="D78" s="82" t="s">
        <v>449</v>
      </c>
      <c r="E78" s="56" t="s">
        <v>166</v>
      </c>
      <c r="F78" s="39" t="s">
        <v>226</v>
      </c>
      <c r="G78" s="38" t="s">
        <v>293</v>
      </c>
      <c r="H78" s="39" t="s">
        <v>315</v>
      </c>
      <c r="I78" s="38" t="s">
        <v>436</v>
      </c>
      <c r="J78" s="39" t="s">
        <v>511</v>
      </c>
      <c r="K78" s="38" t="s">
        <v>407</v>
      </c>
      <c r="L78" s="39">
        <v>24</v>
      </c>
      <c r="M78" s="38">
        <f>L78*5</f>
        <v>120</v>
      </c>
      <c r="N78" s="38">
        <v>200</v>
      </c>
      <c r="O78" s="57" t="s">
        <v>456</v>
      </c>
      <c r="P78" s="47">
        <v>1.1999999999999999E-3</v>
      </c>
      <c r="Q78" s="40">
        <f>P78*N78</f>
        <v>0.24</v>
      </c>
      <c r="R78" s="39"/>
      <c r="S78" s="38"/>
    </row>
    <row r="79" spans="1:19" x14ac:dyDescent="0.25">
      <c r="A79" s="1"/>
      <c r="B79" s="81">
        <f t="shared" si="0"/>
        <v>70</v>
      </c>
      <c r="C79" s="86" t="s">
        <v>14</v>
      </c>
      <c r="D79" s="79" t="s">
        <v>75</v>
      </c>
      <c r="E79" s="67" t="s">
        <v>167</v>
      </c>
      <c r="F79" s="68" t="s">
        <v>228</v>
      </c>
      <c r="G79" s="67" t="s">
        <v>294</v>
      </c>
      <c r="H79" s="68" t="s">
        <v>315</v>
      </c>
      <c r="I79" s="67" t="s">
        <v>436</v>
      </c>
      <c r="J79" s="68" t="s">
        <v>371</v>
      </c>
      <c r="K79" s="67" t="s">
        <v>411</v>
      </c>
      <c r="L79" s="68">
        <v>1</v>
      </c>
      <c r="M79" s="67">
        <f t="shared" ref="M79" si="68">L79*5</f>
        <v>5</v>
      </c>
      <c r="N79" s="68">
        <v>100</v>
      </c>
      <c r="O79" s="69" t="s">
        <v>456</v>
      </c>
      <c r="P79" s="70">
        <v>2.2000000000000001E-3</v>
      </c>
      <c r="Q79" s="71">
        <f t="shared" ref="Q79" si="69">P79*N79</f>
        <v>0.22</v>
      </c>
      <c r="R79" s="68"/>
      <c r="S79" s="67"/>
    </row>
    <row r="80" spans="1:19" x14ac:dyDescent="0.25">
      <c r="A80" s="1"/>
      <c r="B80" s="78">
        <f>ROW(B80) - ROW($B$9)</f>
        <v>71</v>
      </c>
      <c r="C80" s="85" t="s">
        <v>14</v>
      </c>
      <c r="D80" s="82" t="s">
        <v>76</v>
      </c>
      <c r="E80" s="56" t="s">
        <v>168</v>
      </c>
      <c r="F80" s="39" t="s">
        <v>229</v>
      </c>
      <c r="G80" s="38" t="s">
        <v>295</v>
      </c>
      <c r="H80" s="39" t="s">
        <v>315</v>
      </c>
      <c r="I80" s="38" t="s">
        <v>436</v>
      </c>
      <c r="J80" s="39" t="s">
        <v>372</v>
      </c>
      <c r="K80" s="38" t="s">
        <v>406</v>
      </c>
      <c r="L80" s="39">
        <v>1</v>
      </c>
      <c r="M80" s="38">
        <f>L80*5</f>
        <v>5</v>
      </c>
      <c r="N80" s="38">
        <v>50</v>
      </c>
      <c r="O80" s="57" t="s">
        <v>456</v>
      </c>
      <c r="P80" s="47">
        <v>1.6899999999999998E-2</v>
      </c>
      <c r="Q80" s="40">
        <f>P80*N80</f>
        <v>0.84499999999999997</v>
      </c>
      <c r="R80" s="39"/>
      <c r="S80" s="38"/>
    </row>
    <row r="81" spans="1:19" x14ac:dyDescent="0.25">
      <c r="A81" s="1"/>
      <c r="B81" s="81">
        <f t="shared" si="0"/>
        <v>72</v>
      </c>
      <c r="C81" s="86" t="s">
        <v>14</v>
      </c>
      <c r="D81" s="79" t="s">
        <v>77</v>
      </c>
      <c r="E81" s="67" t="s">
        <v>169</v>
      </c>
      <c r="F81" s="68" t="s">
        <v>227</v>
      </c>
      <c r="G81" s="67" t="s">
        <v>296</v>
      </c>
      <c r="H81" s="68" t="s">
        <v>315</v>
      </c>
      <c r="I81" s="67" t="s">
        <v>436</v>
      </c>
      <c r="J81" s="68" t="s">
        <v>373</v>
      </c>
      <c r="K81" s="67" t="s">
        <v>412</v>
      </c>
      <c r="L81" s="68">
        <v>1</v>
      </c>
      <c r="M81" s="67">
        <f t="shared" ref="M81" si="70">L81*5</f>
        <v>5</v>
      </c>
      <c r="N81" s="68">
        <v>100</v>
      </c>
      <c r="O81" s="69" t="s">
        <v>456</v>
      </c>
      <c r="P81" s="70">
        <v>1.2999999999999999E-3</v>
      </c>
      <c r="Q81" s="71">
        <f t="shared" ref="Q81" si="71">P81*N81</f>
        <v>0.13</v>
      </c>
      <c r="R81" s="68"/>
      <c r="S81" s="67"/>
    </row>
    <row r="82" spans="1:19" x14ac:dyDescent="0.25">
      <c r="A82" s="1"/>
      <c r="B82" s="78">
        <f>ROW(B82) - ROW($B$9)</f>
        <v>73</v>
      </c>
      <c r="C82" s="85" t="s">
        <v>14</v>
      </c>
      <c r="D82" s="82" t="s">
        <v>78</v>
      </c>
      <c r="E82" s="56" t="s">
        <v>170</v>
      </c>
      <c r="F82" s="39" t="s">
        <v>226</v>
      </c>
      <c r="G82" s="38" t="s">
        <v>297</v>
      </c>
      <c r="H82" s="39" t="s">
        <v>315</v>
      </c>
      <c r="I82" s="38" t="s">
        <v>436</v>
      </c>
      <c r="J82" s="39" t="s">
        <v>535</v>
      </c>
      <c r="K82" s="38" t="s">
        <v>413</v>
      </c>
      <c r="L82" s="39">
        <v>2</v>
      </c>
      <c r="M82" s="38">
        <f>L82*5</f>
        <v>10</v>
      </c>
      <c r="N82" s="38">
        <v>100</v>
      </c>
      <c r="O82" s="57" t="s">
        <v>456</v>
      </c>
      <c r="P82" s="47">
        <v>1.1999999999999999E-3</v>
      </c>
      <c r="Q82" s="40">
        <f>P82*N82</f>
        <v>0.12</v>
      </c>
      <c r="R82" s="39"/>
      <c r="S82" s="38"/>
    </row>
    <row r="83" spans="1:19" x14ac:dyDescent="0.25">
      <c r="A83" s="1"/>
      <c r="B83" s="81">
        <f t="shared" si="0"/>
        <v>74</v>
      </c>
      <c r="C83" s="86" t="s">
        <v>14</v>
      </c>
      <c r="D83" s="79" t="s">
        <v>452</v>
      </c>
      <c r="E83" s="67" t="s">
        <v>171</v>
      </c>
      <c r="F83" s="68" t="s">
        <v>226</v>
      </c>
      <c r="G83" s="72" t="s">
        <v>298</v>
      </c>
      <c r="H83" s="68" t="s">
        <v>315</v>
      </c>
      <c r="I83" s="67" t="s">
        <v>537</v>
      </c>
      <c r="J83" s="68" t="s">
        <v>536</v>
      </c>
      <c r="K83" s="67" t="s">
        <v>411</v>
      </c>
      <c r="L83" s="68">
        <v>5</v>
      </c>
      <c r="M83" s="67">
        <f t="shared" ref="M83" si="72">L83*5</f>
        <v>25</v>
      </c>
      <c r="N83" s="68">
        <v>100</v>
      </c>
      <c r="O83" s="69" t="s">
        <v>456</v>
      </c>
      <c r="P83" s="70">
        <v>2E-3</v>
      </c>
      <c r="Q83" s="71">
        <f t="shared" ref="Q83" si="73">P83*N83</f>
        <v>0.2</v>
      </c>
      <c r="R83" s="68"/>
      <c r="S83" s="67"/>
    </row>
    <row r="84" spans="1:19" x14ac:dyDescent="0.25">
      <c r="A84" s="1"/>
      <c r="B84" s="78">
        <f>ROW(B84) - ROW($B$9)</f>
        <v>75</v>
      </c>
      <c r="C84" s="85" t="s">
        <v>14</v>
      </c>
      <c r="D84" s="82" t="s">
        <v>79</v>
      </c>
      <c r="E84" s="56" t="s">
        <v>538</v>
      </c>
      <c r="F84" s="39" t="s">
        <v>226</v>
      </c>
      <c r="G84" s="38" t="s">
        <v>299</v>
      </c>
      <c r="H84" s="39" t="s">
        <v>315</v>
      </c>
      <c r="I84" s="38" t="s">
        <v>436</v>
      </c>
      <c r="J84" s="39" t="s">
        <v>539</v>
      </c>
      <c r="K84" s="38" t="s">
        <v>414</v>
      </c>
      <c r="L84" s="39">
        <v>2</v>
      </c>
      <c r="M84" s="38">
        <f>L84*5</f>
        <v>10</v>
      </c>
      <c r="N84" s="38">
        <v>100</v>
      </c>
      <c r="O84" s="57" t="s">
        <v>456</v>
      </c>
      <c r="P84" s="47">
        <v>1.2999999999999999E-3</v>
      </c>
      <c r="Q84" s="40">
        <f>P84*N84</f>
        <v>0.13</v>
      </c>
      <c r="R84" s="39"/>
      <c r="S84" s="38"/>
    </row>
    <row r="85" spans="1:19" x14ac:dyDescent="0.25">
      <c r="A85" s="1"/>
      <c r="B85" s="81">
        <f t="shared" si="0"/>
        <v>76</v>
      </c>
      <c r="C85" s="86" t="s">
        <v>14</v>
      </c>
      <c r="D85" s="79" t="s">
        <v>80</v>
      </c>
      <c r="E85" s="67" t="s">
        <v>172</v>
      </c>
      <c r="F85" s="68" t="s">
        <v>227</v>
      </c>
      <c r="G85" s="67" t="s">
        <v>300</v>
      </c>
      <c r="H85" s="68" t="s">
        <v>315</v>
      </c>
      <c r="I85" s="67" t="s">
        <v>436</v>
      </c>
      <c r="J85" s="68" t="s">
        <v>374</v>
      </c>
      <c r="K85" s="67" t="s">
        <v>415</v>
      </c>
      <c r="L85" s="68">
        <v>2</v>
      </c>
      <c r="M85" s="67">
        <f t="shared" ref="M85" si="74">L85*5</f>
        <v>10</v>
      </c>
      <c r="N85" s="68">
        <v>100</v>
      </c>
      <c r="O85" s="69" t="s">
        <v>456</v>
      </c>
      <c r="P85" s="70">
        <v>1.1000000000000001E-3</v>
      </c>
      <c r="Q85" s="71">
        <f t="shared" ref="Q85" si="75">P85*N85</f>
        <v>0.11</v>
      </c>
      <c r="R85" s="68"/>
      <c r="S85" s="67"/>
    </row>
    <row r="86" spans="1:19" x14ac:dyDescent="0.25">
      <c r="A86" s="1"/>
      <c r="B86" s="78">
        <f>ROW(B86) - ROW($B$9)</f>
        <v>77</v>
      </c>
      <c r="C86" s="85" t="s">
        <v>14</v>
      </c>
      <c r="D86" s="82" t="s">
        <v>81</v>
      </c>
      <c r="E86" s="56" t="s">
        <v>173</v>
      </c>
      <c r="F86" s="39" t="s">
        <v>230</v>
      </c>
      <c r="G86" s="38" t="s">
        <v>513</v>
      </c>
      <c r="H86" s="39" t="s">
        <v>348</v>
      </c>
      <c r="I86" s="38" t="s">
        <v>436</v>
      </c>
      <c r="J86" s="39" t="s">
        <v>512</v>
      </c>
      <c r="K86" s="38" t="s">
        <v>416</v>
      </c>
      <c r="L86" s="39">
        <v>2</v>
      </c>
      <c r="M86" s="38">
        <f>L86*5</f>
        <v>10</v>
      </c>
      <c r="N86" s="38">
        <v>50</v>
      </c>
      <c r="O86" s="57" t="s">
        <v>456</v>
      </c>
      <c r="P86" s="47">
        <v>0.01</v>
      </c>
      <c r="Q86" s="40">
        <f>P86*N86</f>
        <v>0.5</v>
      </c>
      <c r="R86" s="39"/>
      <c r="S86" s="38"/>
    </row>
    <row r="87" spans="1:19" x14ac:dyDescent="0.25">
      <c r="A87" s="1"/>
      <c r="B87" s="81">
        <f t="shared" si="0"/>
        <v>78</v>
      </c>
      <c r="C87" s="86" t="s">
        <v>14</v>
      </c>
      <c r="D87" s="79" t="s">
        <v>82</v>
      </c>
      <c r="E87" s="67" t="s">
        <v>515</v>
      </c>
      <c r="F87" s="68" t="s">
        <v>226</v>
      </c>
      <c r="G87" s="67" t="s">
        <v>301</v>
      </c>
      <c r="H87" s="68" t="s">
        <v>315</v>
      </c>
      <c r="I87" s="67" t="s">
        <v>436</v>
      </c>
      <c r="J87" s="68" t="s">
        <v>514</v>
      </c>
      <c r="K87" s="67" t="s">
        <v>417</v>
      </c>
      <c r="L87" s="68">
        <v>2</v>
      </c>
      <c r="M87" s="67">
        <f t="shared" ref="M87" si="76">L87*5</f>
        <v>10</v>
      </c>
      <c r="N87" s="68">
        <v>100</v>
      </c>
      <c r="O87" s="69" t="s">
        <v>456</v>
      </c>
      <c r="P87" s="70">
        <v>1.1999999999999999E-3</v>
      </c>
      <c r="Q87" s="71">
        <f t="shared" ref="Q87" si="77">P87*N87</f>
        <v>0.12</v>
      </c>
      <c r="R87" s="68"/>
      <c r="S87" s="67"/>
    </row>
    <row r="88" spans="1:19" x14ac:dyDescent="0.25">
      <c r="A88" s="1"/>
      <c r="B88" s="78">
        <f>ROW(B88) - ROW($B$9)</f>
        <v>79</v>
      </c>
      <c r="C88" s="85" t="s">
        <v>14</v>
      </c>
      <c r="D88" s="82" t="s">
        <v>83</v>
      </c>
      <c r="E88" s="56" t="s">
        <v>174</v>
      </c>
      <c r="F88" s="39" t="s">
        <v>227</v>
      </c>
      <c r="G88" s="38" t="s">
        <v>302</v>
      </c>
      <c r="H88" s="39" t="s">
        <v>315</v>
      </c>
      <c r="I88" s="38" t="s">
        <v>436</v>
      </c>
      <c r="J88" s="39" t="s">
        <v>530</v>
      </c>
      <c r="K88" s="38" t="s">
        <v>418</v>
      </c>
      <c r="L88" s="39">
        <v>1</v>
      </c>
      <c r="M88" s="38">
        <f>L88*5</f>
        <v>5</v>
      </c>
      <c r="N88" s="38">
        <v>50</v>
      </c>
      <c r="O88" s="57" t="s">
        <v>456</v>
      </c>
      <c r="P88" s="47">
        <v>8.8000000000000005E-3</v>
      </c>
      <c r="Q88" s="40">
        <f>P88*N88</f>
        <v>0.44</v>
      </c>
      <c r="R88" s="39"/>
      <c r="S88" s="38"/>
    </row>
    <row r="89" spans="1:19" x14ac:dyDescent="0.25">
      <c r="A89" s="1"/>
      <c r="B89" s="81">
        <f t="shared" si="0"/>
        <v>80</v>
      </c>
      <c r="C89" s="86" t="s">
        <v>14</v>
      </c>
      <c r="D89" s="79" t="s">
        <v>84</v>
      </c>
      <c r="E89" s="67" t="s">
        <v>175</v>
      </c>
      <c r="F89" s="68" t="s">
        <v>227</v>
      </c>
      <c r="G89" s="67" t="s">
        <v>303</v>
      </c>
      <c r="H89" s="68" t="s">
        <v>315</v>
      </c>
      <c r="I89" s="67" t="s">
        <v>436</v>
      </c>
      <c r="J89" s="68" t="s">
        <v>531</v>
      </c>
      <c r="K89" s="67" t="s">
        <v>419</v>
      </c>
      <c r="L89" s="68">
        <v>1</v>
      </c>
      <c r="M89" s="67">
        <f t="shared" ref="M89" si="78">L89*5</f>
        <v>5</v>
      </c>
      <c r="N89" s="68">
        <v>20</v>
      </c>
      <c r="O89" s="69" t="s">
        <v>456</v>
      </c>
      <c r="P89" s="70">
        <v>2.7900000000000001E-2</v>
      </c>
      <c r="Q89" s="71">
        <f t="shared" ref="Q89" si="79">P89*N89</f>
        <v>0.55800000000000005</v>
      </c>
      <c r="R89" s="68"/>
      <c r="S89" s="67"/>
    </row>
    <row r="90" spans="1:19" ht="84" x14ac:dyDescent="0.25">
      <c r="A90" s="1"/>
      <c r="B90" s="81">
        <f t="shared" si="0"/>
        <v>81</v>
      </c>
      <c r="C90" s="88" t="s">
        <v>231</v>
      </c>
      <c r="D90" s="84" t="s">
        <v>85</v>
      </c>
      <c r="E90" s="58" t="s">
        <v>176</v>
      </c>
      <c r="F90" s="62" t="s">
        <v>425</v>
      </c>
      <c r="G90" s="58" t="s">
        <v>231</v>
      </c>
      <c r="H90" s="62" t="s">
        <v>436</v>
      </c>
      <c r="I90" s="58" t="s">
        <v>436</v>
      </c>
      <c r="J90" s="62" t="s">
        <v>436</v>
      </c>
      <c r="K90" s="58" t="s">
        <v>436</v>
      </c>
      <c r="L90" s="62">
        <v>42</v>
      </c>
      <c r="M90" s="58">
        <f t="shared" ref="M90" si="80">L90*5</f>
        <v>210</v>
      </c>
      <c r="N90" s="58" t="s">
        <v>436</v>
      </c>
      <c r="O90" s="63" t="s">
        <v>436</v>
      </c>
      <c r="P90" s="64" t="s">
        <v>436</v>
      </c>
      <c r="Q90" s="65" t="s">
        <v>436</v>
      </c>
      <c r="R90" s="62"/>
      <c r="S90" s="58"/>
    </row>
    <row r="91" spans="1:19" x14ac:dyDescent="0.25">
      <c r="A91" s="1"/>
      <c r="B91" s="78">
        <f>ROW(B91) - ROW($B$9)</f>
        <v>82</v>
      </c>
      <c r="C91" s="86" t="s">
        <v>532</v>
      </c>
      <c r="D91" s="79" t="s">
        <v>86</v>
      </c>
      <c r="E91" s="67" t="s">
        <v>177</v>
      </c>
      <c r="F91" s="68" t="s">
        <v>425</v>
      </c>
      <c r="G91" s="72" t="s">
        <v>232</v>
      </c>
      <c r="H91" s="68" t="s">
        <v>349</v>
      </c>
      <c r="I91" s="67" t="s">
        <v>567</v>
      </c>
      <c r="J91" s="68" t="s">
        <v>566</v>
      </c>
      <c r="K91" s="67" t="s">
        <v>436</v>
      </c>
      <c r="L91" s="68">
        <v>7</v>
      </c>
      <c r="M91" s="67">
        <f>L91*5</f>
        <v>35</v>
      </c>
      <c r="N91" s="68">
        <v>40</v>
      </c>
      <c r="O91" s="69" t="s">
        <v>456</v>
      </c>
      <c r="P91" s="70">
        <v>5.5500000000000001E-2</v>
      </c>
      <c r="Q91" s="71">
        <f>P91*N91</f>
        <v>2.2200000000000002</v>
      </c>
      <c r="R91" s="61"/>
      <c r="S91" s="67"/>
    </row>
    <row r="92" spans="1:19" x14ac:dyDescent="0.25">
      <c r="A92" s="1"/>
      <c r="B92" s="81">
        <f t="shared" si="0"/>
        <v>83</v>
      </c>
      <c r="C92" s="85" t="s">
        <v>533</v>
      </c>
      <c r="D92" s="82" t="s">
        <v>87</v>
      </c>
      <c r="E92" s="56" t="s">
        <v>178</v>
      </c>
      <c r="F92" s="39" t="s">
        <v>233</v>
      </c>
      <c r="G92" s="38" t="s">
        <v>304</v>
      </c>
      <c r="H92" s="39" t="s">
        <v>350</v>
      </c>
      <c r="I92" s="38"/>
      <c r="J92" s="39" t="s">
        <v>436</v>
      </c>
      <c r="K92" s="38" t="s">
        <v>436</v>
      </c>
      <c r="L92" s="39">
        <v>2</v>
      </c>
      <c r="M92" s="38">
        <f t="shared" ref="M92" si="81">L92*5</f>
        <v>10</v>
      </c>
      <c r="N92" s="38">
        <v>11</v>
      </c>
      <c r="O92" s="57" t="s">
        <v>565</v>
      </c>
      <c r="P92" s="47">
        <v>3.76</v>
      </c>
      <c r="Q92" s="40">
        <f t="shared" ref="Q92" si="82">P92*N92</f>
        <v>41.36</v>
      </c>
      <c r="R92" s="61" t="s">
        <v>568</v>
      </c>
      <c r="S92" s="38"/>
    </row>
    <row r="93" spans="1:19" ht="36" x14ac:dyDescent="0.25">
      <c r="A93" s="1"/>
      <c r="B93" s="78">
        <f>ROW(B93) - ROW($B$9)</f>
        <v>84</v>
      </c>
      <c r="C93" s="86" t="s">
        <v>533</v>
      </c>
      <c r="D93" s="79" t="s">
        <v>88</v>
      </c>
      <c r="E93" s="67" t="s">
        <v>179</v>
      </c>
      <c r="F93" s="68" t="s">
        <v>233</v>
      </c>
      <c r="G93" s="67" t="s">
        <v>305</v>
      </c>
      <c r="H93" s="68" t="s">
        <v>351</v>
      </c>
      <c r="I93" s="67" t="s">
        <v>436</v>
      </c>
      <c r="J93" s="68" t="s">
        <v>516</v>
      </c>
      <c r="K93" s="67" t="s">
        <v>436</v>
      </c>
      <c r="L93" s="68">
        <v>1</v>
      </c>
      <c r="M93" s="67">
        <f>L93*5</f>
        <v>5</v>
      </c>
      <c r="N93" s="68">
        <v>6</v>
      </c>
      <c r="O93" s="69" t="s">
        <v>456</v>
      </c>
      <c r="P93" s="70">
        <v>0.39779999999999999</v>
      </c>
      <c r="Q93" s="71">
        <f>P93*N93</f>
        <v>2.3868</v>
      </c>
      <c r="R93" s="68"/>
      <c r="S93" s="67"/>
    </row>
    <row r="94" spans="1:19" x14ac:dyDescent="0.25">
      <c r="A94" s="1"/>
      <c r="B94" s="81">
        <f t="shared" si="0"/>
        <v>85</v>
      </c>
      <c r="C94" s="85" t="s">
        <v>533</v>
      </c>
      <c r="D94" s="82" t="s">
        <v>89</v>
      </c>
      <c r="E94" s="56" t="s">
        <v>180</v>
      </c>
      <c r="F94" s="39" t="s">
        <v>234</v>
      </c>
      <c r="G94" s="38" t="s">
        <v>306</v>
      </c>
      <c r="H94" s="39" t="s">
        <v>351</v>
      </c>
      <c r="I94" s="38" t="s">
        <v>436</v>
      </c>
      <c r="J94" s="39" t="s">
        <v>517</v>
      </c>
      <c r="K94" s="38" t="s">
        <v>436</v>
      </c>
      <c r="L94" s="39">
        <v>1</v>
      </c>
      <c r="M94" s="38">
        <f t="shared" ref="M94" si="83">L94*5</f>
        <v>5</v>
      </c>
      <c r="N94" s="38">
        <v>6</v>
      </c>
      <c r="O94" s="57" t="s">
        <v>456</v>
      </c>
      <c r="P94" s="47">
        <v>1.0086999999999999</v>
      </c>
      <c r="Q94" s="40">
        <f t="shared" ref="Q94" si="84">P94*N94</f>
        <v>6.0521999999999991</v>
      </c>
      <c r="R94" s="39"/>
      <c r="S94" s="38"/>
    </row>
    <row r="95" spans="1:19" x14ac:dyDescent="0.25">
      <c r="A95" s="1"/>
      <c r="B95" s="78">
        <f>ROW(B95) - ROW($B$9)</f>
        <v>86</v>
      </c>
      <c r="C95" s="86" t="s">
        <v>533</v>
      </c>
      <c r="D95" s="79" t="s">
        <v>90</v>
      </c>
      <c r="E95" s="67" t="s">
        <v>181</v>
      </c>
      <c r="F95" s="68" t="s">
        <v>235</v>
      </c>
      <c r="G95" s="67" t="s">
        <v>307</v>
      </c>
      <c r="H95" s="68" t="s">
        <v>352</v>
      </c>
      <c r="I95" s="67" t="s">
        <v>436</v>
      </c>
      <c r="J95" s="68" t="s">
        <v>518</v>
      </c>
      <c r="K95" s="67" t="s">
        <v>436</v>
      </c>
      <c r="L95" s="68">
        <v>1</v>
      </c>
      <c r="M95" s="67">
        <f>L95*5</f>
        <v>5</v>
      </c>
      <c r="N95" s="68">
        <v>6</v>
      </c>
      <c r="O95" s="69" t="s">
        <v>456</v>
      </c>
      <c r="P95" s="70">
        <v>8.0723000000000003</v>
      </c>
      <c r="Q95" s="71">
        <f>P95*N95</f>
        <v>48.433800000000005</v>
      </c>
      <c r="R95" s="68"/>
      <c r="S95" s="67"/>
    </row>
    <row r="96" spans="1:19" x14ac:dyDescent="0.25">
      <c r="A96" s="1"/>
      <c r="B96" s="81">
        <f t="shared" si="0"/>
        <v>87</v>
      </c>
      <c r="C96" s="85" t="s">
        <v>533</v>
      </c>
      <c r="D96" s="82" t="s">
        <v>91</v>
      </c>
      <c r="E96" s="56" t="s">
        <v>182</v>
      </c>
      <c r="F96" s="39" t="s">
        <v>233</v>
      </c>
      <c r="G96" s="38" t="s">
        <v>308</v>
      </c>
      <c r="H96" s="39" t="s">
        <v>321</v>
      </c>
      <c r="I96" s="38" t="s">
        <v>436</v>
      </c>
      <c r="J96" s="39" t="s">
        <v>436</v>
      </c>
      <c r="K96" s="38" t="s">
        <v>436</v>
      </c>
      <c r="L96" s="39">
        <v>1</v>
      </c>
      <c r="M96" s="38">
        <f t="shared" ref="M96" si="85">L96*5</f>
        <v>5</v>
      </c>
      <c r="N96" s="38">
        <v>6</v>
      </c>
      <c r="O96" s="57" t="s">
        <v>565</v>
      </c>
      <c r="P96" s="47">
        <v>1.9550000000000001</v>
      </c>
      <c r="Q96" s="40">
        <f t="shared" ref="Q96" si="86">P96*N96</f>
        <v>11.73</v>
      </c>
      <c r="R96" s="61" t="s">
        <v>568</v>
      </c>
      <c r="S96" s="38"/>
    </row>
    <row r="97" spans="1:19" ht="24" x14ac:dyDescent="0.25">
      <c r="A97" s="1"/>
      <c r="B97" s="78">
        <f>ROW(B97) - ROW($B$9)</f>
        <v>88</v>
      </c>
      <c r="C97" s="86" t="s">
        <v>533</v>
      </c>
      <c r="D97" s="79" t="s">
        <v>92</v>
      </c>
      <c r="E97" s="67" t="s">
        <v>183</v>
      </c>
      <c r="F97" s="68" t="s">
        <v>439</v>
      </c>
      <c r="G97" s="67" t="s">
        <v>236</v>
      </c>
      <c r="H97" s="68" t="s">
        <v>353</v>
      </c>
      <c r="I97" s="67" t="s">
        <v>436</v>
      </c>
      <c r="J97" s="68" t="s">
        <v>436</v>
      </c>
      <c r="K97" s="67" t="s">
        <v>436</v>
      </c>
      <c r="L97" s="68">
        <v>1</v>
      </c>
      <c r="M97" s="67">
        <f>L97*5</f>
        <v>5</v>
      </c>
      <c r="N97" s="68">
        <v>6</v>
      </c>
      <c r="O97" s="69" t="s">
        <v>565</v>
      </c>
      <c r="P97" s="70">
        <v>7.52</v>
      </c>
      <c r="Q97" s="71">
        <f>P97*N97</f>
        <v>45.12</v>
      </c>
      <c r="R97" s="61" t="s">
        <v>568</v>
      </c>
      <c r="S97" s="67"/>
    </row>
    <row r="98" spans="1:19" ht="24" x14ac:dyDescent="0.25">
      <c r="A98" s="1"/>
      <c r="B98" s="81">
        <f t="shared" si="0"/>
        <v>89</v>
      </c>
      <c r="C98" s="85" t="s">
        <v>533</v>
      </c>
      <c r="D98" s="82" t="s">
        <v>93</v>
      </c>
      <c r="E98" s="56" t="s">
        <v>184</v>
      </c>
      <c r="F98" s="39" t="s">
        <v>437</v>
      </c>
      <c r="G98" s="38" t="s">
        <v>237</v>
      </c>
      <c r="H98" s="39" t="s">
        <v>354</v>
      </c>
      <c r="I98" s="38" t="s">
        <v>436</v>
      </c>
      <c r="J98" s="39" t="s">
        <v>519</v>
      </c>
      <c r="K98" s="38" t="s">
        <v>436</v>
      </c>
      <c r="L98" s="39">
        <v>4</v>
      </c>
      <c r="M98" s="38">
        <f t="shared" ref="M98" si="87">L98*5</f>
        <v>20</v>
      </c>
      <c r="N98" s="38">
        <v>25</v>
      </c>
      <c r="O98" s="57" t="s">
        <v>456</v>
      </c>
      <c r="P98" s="47">
        <v>0.41510000000000002</v>
      </c>
      <c r="Q98" s="40">
        <f t="shared" ref="Q98" si="88">P98*N98</f>
        <v>10.377500000000001</v>
      </c>
      <c r="R98" s="39"/>
      <c r="S98" s="38"/>
    </row>
    <row r="99" spans="1:19" x14ac:dyDescent="0.25">
      <c r="A99" s="1"/>
      <c r="B99" s="78">
        <f>ROW(B99) - ROW($B$9)</f>
        <v>90</v>
      </c>
      <c r="C99" s="86" t="s">
        <v>533</v>
      </c>
      <c r="D99" s="79" t="s">
        <v>94</v>
      </c>
      <c r="E99" s="67" t="s">
        <v>185</v>
      </c>
      <c r="F99" s="68" t="s">
        <v>238</v>
      </c>
      <c r="G99" s="67" t="s">
        <v>309</v>
      </c>
      <c r="H99" s="68" t="s">
        <v>351</v>
      </c>
      <c r="I99" s="67" t="s">
        <v>436</v>
      </c>
      <c r="J99" s="68" t="s">
        <v>520</v>
      </c>
      <c r="K99" s="67" t="s">
        <v>436</v>
      </c>
      <c r="L99" s="68">
        <v>3</v>
      </c>
      <c r="M99" s="67">
        <f>L99*5</f>
        <v>15</v>
      </c>
      <c r="N99" s="68">
        <v>20</v>
      </c>
      <c r="O99" s="69" t="s">
        <v>456</v>
      </c>
      <c r="P99" s="70">
        <v>0.25240000000000001</v>
      </c>
      <c r="Q99" s="71">
        <f>P99*N99</f>
        <v>5.048</v>
      </c>
      <c r="R99" s="68"/>
      <c r="S99" s="67"/>
    </row>
    <row r="100" spans="1:19" s="60" customFormat="1" x14ac:dyDescent="0.25">
      <c r="A100" s="59"/>
      <c r="B100" s="81">
        <f t="shared" si="0"/>
        <v>91</v>
      </c>
      <c r="C100" s="85" t="s">
        <v>533</v>
      </c>
      <c r="D100" s="82" t="s">
        <v>95</v>
      </c>
      <c r="E100" s="56" t="s">
        <v>186</v>
      </c>
      <c r="F100" s="39" t="s">
        <v>239</v>
      </c>
      <c r="G100" s="38" t="s">
        <v>310</v>
      </c>
      <c r="H100" s="39" t="s">
        <v>351</v>
      </c>
      <c r="I100" s="38" t="s">
        <v>436</v>
      </c>
      <c r="J100" s="39" t="s">
        <v>521</v>
      </c>
      <c r="K100" s="38" t="s">
        <v>436</v>
      </c>
      <c r="L100" s="39">
        <v>1</v>
      </c>
      <c r="M100" s="38">
        <f t="shared" ref="M100" si="89">L100*5</f>
        <v>5</v>
      </c>
      <c r="N100" s="38">
        <v>6</v>
      </c>
      <c r="O100" s="57" t="s">
        <v>565</v>
      </c>
      <c r="P100" s="47">
        <v>2.56</v>
      </c>
      <c r="Q100" s="40">
        <f t="shared" ref="Q100" si="90">P100*N100</f>
        <v>15.36</v>
      </c>
      <c r="R100" s="61" t="s">
        <v>568</v>
      </c>
      <c r="S100" s="38"/>
    </row>
    <row r="101" spans="1:19" x14ac:dyDescent="0.25">
      <c r="A101" s="1"/>
      <c r="B101" s="78">
        <f>ROW(B101) - ROW($B$9)</f>
        <v>92</v>
      </c>
      <c r="C101" s="86" t="s">
        <v>533</v>
      </c>
      <c r="D101" s="79" t="s">
        <v>96</v>
      </c>
      <c r="E101" s="67" t="s">
        <v>187</v>
      </c>
      <c r="F101" s="68" t="s">
        <v>240</v>
      </c>
      <c r="G101" s="67" t="s">
        <v>311</v>
      </c>
      <c r="H101" s="68" t="s">
        <v>355</v>
      </c>
      <c r="I101" s="67" t="s">
        <v>436</v>
      </c>
      <c r="J101" s="68" t="s">
        <v>522</v>
      </c>
      <c r="K101" s="67" t="s">
        <v>436</v>
      </c>
      <c r="L101" s="68">
        <v>1</v>
      </c>
      <c r="M101" s="67">
        <f>L101*5</f>
        <v>5</v>
      </c>
      <c r="N101" s="68">
        <v>6</v>
      </c>
      <c r="O101" s="69" t="s">
        <v>456</v>
      </c>
      <c r="P101" s="70">
        <v>4.2176</v>
      </c>
      <c r="Q101" s="71">
        <f>P101*N101</f>
        <v>25.305599999999998</v>
      </c>
      <c r="R101" s="77" t="s">
        <v>540</v>
      </c>
      <c r="S101" s="67"/>
    </row>
    <row r="102" spans="1:19" x14ac:dyDescent="0.25">
      <c r="A102" s="1"/>
      <c r="B102" s="81">
        <f t="shared" si="0"/>
        <v>93</v>
      </c>
      <c r="C102" s="85" t="s">
        <v>533</v>
      </c>
      <c r="D102" s="82" t="s">
        <v>97</v>
      </c>
      <c r="E102" s="56" t="s">
        <v>188</v>
      </c>
      <c r="F102" s="39" t="s">
        <v>425</v>
      </c>
      <c r="G102" s="38" t="s">
        <v>241</v>
      </c>
      <c r="H102" s="39" t="s">
        <v>356</v>
      </c>
      <c r="I102" s="38" t="s">
        <v>436</v>
      </c>
      <c r="J102" s="39" t="s">
        <v>523</v>
      </c>
      <c r="K102" s="38" t="s">
        <v>436</v>
      </c>
      <c r="L102" s="39">
        <v>1</v>
      </c>
      <c r="M102" s="38">
        <f t="shared" ref="M102" si="91">L102*5</f>
        <v>5</v>
      </c>
      <c r="N102" s="38">
        <v>6</v>
      </c>
      <c r="O102" s="57" t="s">
        <v>456</v>
      </c>
      <c r="P102" s="47">
        <v>1.0357000000000001</v>
      </c>
      <c r="Q102" s="40">
        <f t="shared" ref="Q102" si="92">P102*N102</f>
        <v>6.2141999999999999</v>
      </c>
      <c r="R102" s="39"/>
      <c r="S102" s="38"/>
    </row>
    <row r="103" spans="1:19" ht="36" x14ac:dyDescent="0.25">
      <c r="A103" s="1"/>
      <c r="B103" s="78">
        <f>ROW(B103) - ROW($B$9)</f>
        <v>94</v>
      </c>
      <c r="C103" s="86" t="s">
        <v>534</v>
      </c>
      <c r="D103" s="79" t="s">
        <v>98</v>
      </c>
      <c r="E103" s="67" t="s">
        <v>189</v>
      </c>
      <c r="F103" s="68" t="s">
        <v>425</v>
      </c>
      <c r="G103" s="67" t="s">
        <v>242</v>
      </c>
      <c r="H103" s="68" t="s">
        <v>357</v>
      </c>
      <c r="I103" s="67" t="s">
        <v>436</v>
      </c>
      <c r="J103" s="68" t="s">
        <v>524</v>
      </c>
      <c r="K103" s="67" t="s">
        <v>420</v>
      </c>
      <c r="L103" s="68">
        <v>1</v>
      </c>
      <c r="M103" s="67">
        <f>L103*5</f>
        <v>5</v>
      </c>
      <c r="N103" s="68">
        <v>6</v>
      </c>
      <c r="O103" s="69" t="s">
        <v>456</v>
      </c>
      <c r="P103" s="70">
        <v>0.19889999999999999</v>
      </c>
      <c r="Q103" s="71">
        <f>P103*N103</f>
        <v>1.1934</v>
      </c>
      <c r="R103" s="77" t="s">
        <v>569</v>
      </c>
      <c r="S103" s="67"/>
    </row>
    <row r="104" spans="1:19" ht="36" x14ac:dyDescent="0.25">
      <c r="A104" s="1"/>
      <c r="B104" s="81">
        <f t="shared" si="0"/>
        <v>95</v>
      </c>
      <c r="C104" s="85" t="s">
        <v>534</v>
      </c>
      <c r="D104" s="82" t="s">
        <v>99</v>
      </c>
      <c r="E104" s="56" t="s">
        <v>190</v>
      </c>
      <c r="F104" s="39" t="s">
        <v>425</v>
      </c>
      <c r="G104" s="38" t="s">
        <v>312</v>
      </c>
      <c r="H104" s="39" t="s">
        <v>358</v>
      </c>
      <c r="I104" s="38" t="s">
        <v>436</v>
      </c>
      <c r="J104" s="39" t="s">
        <v>376</v>
      </c>
      <c r="K104" s="38" t="s">
        <v>421</v>
      </c>
      <c r="L104" s="39">
        <v>1</v>
      </c>
      <c r="M104" s="38">
        <f t="shared" ref="M104" si="93">L104*5</f>
        <v>5</v>
      </c>
      <c r="N104" s="38">
        <v>10</v>
      </c>
      <c r="O104" s="57" t="s">
        <v>456</v>
      </c>
      <c r="P104" s="47">
        <v>0.1221</v>
      </c>
      <c r="Q104" s="40">
        <f t="shared" ref="Q104" si="94">P104*N104</f>
        <v>1.2210000000000001</v>
      </c>
      <c r="R104" s="39"/>
      <c r="S104" s="38"/>
    </row>
    <row r="105" spans="1:19" ht="36" x14ac:dyDescent="0.25">
      <c r="A105" s="1"/>
      <c r="B105" s="78">
        <f>ROW(B105) - ROW($B$9)</f>
        <v>96</v>
      </c>
      <c r="C105" s="86" t="s">
        <v>534</v>
      </c>
      <c r="D105" s="79" t="s">
        <v>100</v>
      </c>
      <c r="E105" s="67" t="s">
        <v>191</v>
      </c>
      <c r="F105" s="68" t="s">
        <v>425</v>
      </c>
      <c r="G105" s="67" t="s">
        <v>243</v>
      </c>
      <c r="H105" s="68" t="s">
        <v>359</v>
      </c>
      <c r="I105" s="67" t="s">
        <v>436</v>
      </c>
      <c r="J105" s="68" t="s">
        <v>525</v>
      </c>
      <c r="K105" s="67" t="s">
        <v>422</v>
      </c>
      <c r="L105" s="68">
        <v>1</v>
      </c>
      <c r="M105" s="67">
        <f>L105*5</f>
        <v>5</v>
      </c>
      <c r="N105" s="68">
        <v>10</v>
      </c>
      <c r="O105" s="69" t="s">
        <v>456</v>
      </c>
      <c r="P105" s="70">
        <v>0.22420000000000001</v>
      </c>
      <c r="Q105" s="71">
        <f>P105*N105</f>
        <v>2.242</v>
      </c>
      <c r="R105" s="68"/>
      <c r="S105" s="67"/>
    </row>
    <row r="106" spans="1:19" ht="36" x14ac:dyDescent="0.25">
      <c r="A106" s="1"/>
      <c r="B106" s="78">
        <f t="shared" ref="B106:B112" si="95">ROW(B106) - ROW($B$9)</f>
        <v>97</v>
      </c>
      <c r="C106" s="86" t="s">
        <v>554</v>
      </c>
      <c r="D106" s="79" t="s">
        <v>436</v>
      </c>
      <c r="E106" s="67" t="s">
        <v>547</v>
      </c>
      <c r="F106" s="68" t="s">
        <v>425</v>
      </c>
      <c r="G106" s="67" t="s">
        <v>548</v>
      </c>
      <c r="H106" s="68" t="s">
        <v>549</v>
      </c>
      <c r="I106" s="67" t="s">
        <v>436</v>
      </c>
      <c r="J106" s="68" t="s">
        <v>550</v>
      </c>
      <c r="K106" s="67" t="s">
        <v>436</v>
      </c>
      <c r="L106" s="68">
        <v>9</v>
      </c>
      <c r="M106" s="67">
        <f>L106*5</f>
        <v>45</v>
      </c>
      <c r="N106" s="68">
        <v>50</v>
      </c>
      <c r="O106" s="69" t="s">
        <v>456</v>
      </c>
      <c r="P106" s="70">
        <v>0.1595</v>
      </c>
      <c r="Q106" s="71">
        <f t="shared" ref="Q106:Q110" si="96">P106*N106</f>
        <v>7.9750000000000005</v>
      </c>
      <c r="R106" s="68"/>
      <c r="S106" s="67"/>
    </row>
    <row r="107" spans="1:19" ht="36" x14ac:dyDescent="0.25">
      <c r="A107" s="1"/>
      <c r="B107" s="78">
        <f t="shared" si="95"/>
        <v>98</v>
      </c>
      <c r="C107" s="86" t="s">
        <v>554</v>
      </c>
      <c r="D107" s="79" t="s">
        <v>436</v>
      </c>
      <c r="E107" s="67" t="s">
        <v>552</v>
      </c>
      <c r="F107" s="68" t="s">
        <v>425</v>
      </c>
      <c r="G107" s="67" t="s">
        <v>553</v>
      </c>
      <c r="H107" s="68" t="s">
        <v>549</v>
      </c>
      <c r="I107" s="67" t="s">
        <v>436</v>
      </c>
      <c r="J107" s="68" t="s">
        <v>551</v>
      </c>
      <c r="K107" s="67" t="s">
        <v>436</v>
      </c>
      <c r="L107" s="68">
        <v>5</v>
      </c>
      <c r="M107" s="67">
        <f>L107*5</f>
        <v>25</v>
      </c>
      <c r="N107" s="68">
        <v>30</v>
      </c>
      <c r="O107" s="69" t="s">
        <v>456</v>
      </c>
      <c r="P107" s="70">
        <v>0.29559999999999997</v>
      </c>
      <c r="Q107" s="71">
        <f t="shared" si="96"/>
        <v>8.8679999999999986</v>
      </c>
      <c r="R107" s="68"/>
      <c r="S107" s="67"/>
    </row>
    <row r="108" spans="1:19" ht="36" x14ac:dyDescent="0.25">
      <c r="A108" s="1"/>
      <c r="B108" s="78">
        <f t="shared" si="95"/>
        <v>99</v>
      </c>
      <c r="C108" s="86" t="s">
        <v>554</v>
      </c>
      <c r="D108" s="79" t="s">
        <v>436</v>
      </c>
      <c r="E108" s="67" t="s">
        <v>555</v>
      </c>
      <c r="F108" s="68" t="s">
        <v>425</v>
      </c>
      <c r="G108" s="67" t="s">
        <v>557</v>
      </c>
      <c r="H108" s="68" t="s">
        <v>549</v>
      </c>
      <c r="I108" s="67" t="s">
        <v>436</v>
      </c>
      <c r="J108" s="68" t="s">
        <v>556</v>
      </c>
      <c r="K108" s="67" t="s">
        <v>436</v>
      </c>
      <c r="L108" s="68">
        <v>1</v>
      </c>
      <c r="M108" s="67">
        <f>L108*5</f>
        <v>5</v>
      </c>
      <c r="N108" s="68">
        <v>10</v>
      </c>
      <c r="O108" s="69" t="s">
        <v>456</v>
      </c>
      <c r="P108" s="70">
        <v>0.34520000000000001</v>
      </c>
      <c r="Q108" s="71">
        <f t="shared" si="96"/>
        <v>3.452</v>
      </c>
      <c r="R108" s="68"/>
      <c r="S108" s="67"/>
    </row>
    <row r="109" spans="1:19" ht="24" x14ac:dyDescent="0.25">
      <c r="A109" s="1"/>
      <c r="B109" s="78">
        <f t="shared" si="95"/>
        <v>100</v>
      </c>
      <c r="C109" s="89" t="s">
        <v>561</v>
      </c>
      <c r="D109" s="79" t="s">
        <v>436</v>
      </c>
      <c r="E109" s="67" t="s">
        <v>563</v>
      </c>
      <c r="F109" s="68" t="s">
        <v>425</v>
      </c>
      <c r="G109" s="67" t="s">
        <v>436</v>
      </c>
      <c r="H109" s="68" t="s">
        <v>436</v>
      </c>
      <c r="I109" s="67" t="s">
        <v>436</v>
      </c>
      <c r="J109" s="68" t="s">
        <v>436</v>
      </c>
      <c r="K109" s="67" t="s">
        <v>436</v>
      </c>
      <c r="L109" s="68" t="s">
        <v>436</v>
      </c>
      <c r="M109" s="67" t="s">
        <v>436</v>
      </c>
      <c r="N109" s="68">
        <v>3</v>
      </c>
      <c r="O109" s="69" t="s">
        <v>562</v>
      </c>
      <c r="P109" s="70">
        <v>1.33</v>
      </c>
      <c r="Q109" s="71">
        <f t="shared" si="96"/>
        <v>3.99</v>
      </c>
      <c r="R109" s="68"/>
      <c r="S109" s="67"/>
    </row>
    <row r="110" spans="1:19" ht="24" x14ac:dyDescent="0.25">
      <c r="A110" s="1"/>
      <c r="B110" s="78">
        <f t="shared" si="95"/>
        <v>101</v>
      </c>
      <c r="C110" s="86" t="s">
        <v>570</v>
      </c>
      <c r="D110" s="79" t="s">
        <v>436</v>
      </c>
      <c r="E110" s="67" t="s">
        <v>571</v>
      </c>
      <c r="F110" s="68" t="s">
        <v>425</v>
      </c>
      <c r="G110" s="67" t="s">
        <v>436</v>
      </c>
      <c r="H110" s="68" t="s">
        <v>572</v>
      </c>
      <c r="I110" s="67" t="s">
        <v>436</v>
      </c>
      <c r="J110" s="68" t="s">
        <v>573</v>
      </c>
      <c r="K110" s="67" t="s">
        <v>436</v>
      </c>
      <c r="L110" s="68">
        <v>1</v>
      </c>
      <c r="M110" s="67">
        <f>L110*5</f>
        <v>5</v>
      </c>
      <c r="N110" s="68">
        <v>5</v>
      </c>
      <c r="O110" s="69" t="s">
        <v>456</v>
      </c>
      <c r="P110" s="70">
        <v>1.23</v>
      </c>
      <c r="Q110" s="71">
        <f t="shared" si="96"/>
        <v>6.15</v>
      </c>
      <c r="R110" s="68"/>
      <c r="S110" s="67"/>
    </row>
    <row r="111" spans="1:19" x14ac:dyDescent="0.25">
      <c r="A111" s="1"/>
      <c r="B111" s="78">
        <f t="shared" si="95"/>
        <v>102</v>
      </c>
      <c r="C111" s="89" t="s">
        <v>576</v>
      </c>
      <c r="D111" s="79" t="s">
        <v>436</v>
      </c>
      <c r="E111" s="67" t="s">
        <v>436</v>
      </c>
      <c r="F111" s="68" t="s">
        <v>425</v>
      </c>
      <c r="G111" s="67" t="s">
        <v>574</v>
      </c>
      <c r="H111" s="68"/>
      <c r="I111" s="67"/>
      <c r="J111" s="68" t="s">
        <v>575</v>
      </c>
      <c r="K111" s="67" t="s">
        <v>436</v>
      </c>
      <c r="L111" s="68">
        <v>1</v>
      </c>
      <c r="M111" s="67">
        <f>L111*5</f>
        <v>5</v>
      </c>
      <c r="N111" s="68">
        <v>5</v>
      </c>
      <c r="O111" s="69" t="s">
        <v>456</v>
      </c>
      <c r="P111" s="70">
        <v>3.2073</v>
      </c>
      <c r="Q111" s="80">
        <f>P111*N111</f>
        <v>16.0365</v>
      </c>
      <c r="R111" s="68"/>
      <c r="S111" s="67"/>
    </row>
    <row r="112" spans="1:19" ht="24.75" thickBot="1" x14ac:dyDescent="0.3">
      <c r="A112" s="1"/>
      <c r="B112" s="78">
        <f t="shared" si="95"/>
        <v>103</v>
      </c>
      <c r="C112" s="86" t="s">
        <v>577</v>
      </c>
      <c r="D112" s="79" t="s">
        <v>436</v>
      </c>
      <c r="E112" s="67" t="s">
        <v>578</v>
      </c>
      <c r="F112" s="68" t="s">
        <v>425</v>
      </c>
      <c r="G112" s="67" t="s">
        <v>579</v>
      </c>
      <c r="H112" s="68" t="s">
        <v>580</v>
      </c>
      <c r="I112" s="67"/>
      <c r="J112" s="68" t="s">
        <v>581</v>
      </c>
      <c r="K112" s="67" t="s">
        <v>436</v>
      </c>
      <c r="L112" s="68">
        <v>1</v>
      </c>
      <c r="M112" s="67">
        <f>L112*5</f>
        <v>5</v>
      </c>
      <c r="N112" s="68">
        <v>5</v>
      </c>
      <c r="O112" s="69" t="s">
        <v>456</v>
      </c>
      <c r="P112" s="70">
        <v>0.1827</v>
      </c>
      <c r="Q112" s="80">
        <f>P112*N112</f>
        <v>0.91349999999999998</v>
      </c>
      <c r="R112" s="68"/>
      <c r="S112" s="67"/>
    </row>
    <row r="113" spans="1:19" ht="19.5" thickBot="1" x14ac:dyDescent="0.3">
      <c r="A113" s="1"/>
      <c r="B113" s="41"/>
      <c r="C113" s="42"/>
      <c r="D113" s="43"/>
      <c r="E113" s="44"/>
      <c r="F113" s="45"/>
      <c r="G113" s="46"/>
      <c r="H113" s="45"/>
      <c r="I113" s="46"/>
      <c r="J113" s="45"/>
      <c r="K113" s="46"/>
      <c r="L113" s="46"/>
      <c r="M113" s="46"/>
      <c r="N113" s="99" t="s">
        <v>5</v>
      </c>
      <c r="O113" s="100"/>
      <c r="P113" s="100"/>
      <c r="Q113" s="48">
        <f>SUM(Q10:Q112)</f>
        <v>391.76029999999997</v>
      </c>
      <c r="R113" s="95"/>
      <c r="S113" s="96"/>
    </row>
    <row r="114" spans="1:19" ht="19.5" thickBot="1" x14ac:dyDescent="0.3">
      <c r="A114" s="1"/>
      <c r="B114" s="25"/>
      <c r="C114" s="37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99" t="s">
        <v>6</v>
      </c>
      <c r="O114" s="100"/>
      <c r="P114" s="100"/>
      <c r="Q114" s="49">
        <f>Q113/5</f>
        <v>78.352059999999994</v>
      </c>
      <c r="R114" s="97"/>
      <c r="S114" s="98"/>
    </row>
  </sheetData>
  <mergeCells count="5">
    <mergeCell ref="K1:S1"/>
    <mergeCell ref="S3:S8"/>
    <mergeCell ref="R113:S114"/>
    <mergeCell ref="N113:P113"/>
    <mergeCell ref="N114:P114"/>
  </mergeCells>
  <hyperlinks>
    <hyperlink ref="O10" r:id="rId1"/>
    <hyperlink ref="O12" r:id="rId2"/>
    <hyperlink ref="O13" r:id="rId3"/>
    <hyperlink ref="O14" r:id="rId4"/>
    <hyperlink ref="O15" r:id="rId5"/>
    <hyperlink ref="O16" r:id="rId6"/>
    <hyperlink ref="O18" r:id="rId7"/>
    <hyperlink ref="O17" r:id="rId8"/>
    <hyperlink ref="O19" r:id="rId9"/>
    <hyperlink ref="O21" r:id="rId10"/>
    <hyperlink ref="O20" r:id="rId11"/>
    <hyperlink ref="O22" r:id="rId12"/>
    <hyperlink ref="O23" r:id="rId13"/>
    <hyperlink ref="O24" r:id="rId14"/>
    <hyperlink ref="O25" r:id="rId15"/>
    <hyperlink ref="O26" r:id="rId16"/>
    <hyperlink ref="O27" r:id="rId17"/>
    <hyperlink ref="O30" r:id="rId18"/>
    <hyperlink ref="O29" r:id="rId19"/>
    <hyperlink ref="O33" r:id="rId20"/>
    <hyperlink ref="O34" r:id="rId21"/>
    <hyperlink ref="O35" r:id="rId22"/>
    <hyperlink ref="O36" r:id="rId23"/>
    <hyperlink ref="O38" r:id="rId24"/>
    <hyperlink ref="O41" r:id="rId25"/>
    <hyperlink ref="O42" r:id="rId26"/>
    <hyperlink ref="O43" r:id="rId27"/>
    <hyperlink ref="O45" r:id="rId28"/>
    <hyperlink ref="O46" r:id="rId29"/>
    <hyperlink ref="O53" r:id="rId30"/>
    <hyperlink ref="O40" r:id="rId31"/>
    <hyperlink ref="O49" r:id="rId32"/>
    <hyperlink ref="O52" r:id="rId33"/>
    <hyperlink ref="O54" r:id="rId34"/>
    <hyperlink ref="O56" r:id="rId35"/>
    <hyperlink ref="O44" r:id="rId36"/>
    <hyperlink ref="O50" r:id="rId37"/>
    <hyperlink ref="O51" r:id="rId38"/>
    <hyperlink ref="O28" r:id="rId39"/>
    <hyperlink ref="O39" r:id="rId40"/>
    <hyperlink ref="O48" r:id="rId41"/>
    <hyperlink ref="O57" r:id="rId42"/>
    <hyperlink ref="O58" r:id="rId43"/>
    <hyperlink ref="O59" r:id="rId44"/>
    <hyperlink ref="O60" r:id="rId45"/>
    <hyperlink ref="O61" r:id="rId46"/>
    <hyperlink ref="O62" r:id="rId47"/>
    <hyperlink ref="O63" r:id="rId48"/>
    <hyperlink ref="O64" r:id="rId49"/>
    <hyperlink ref="O65" r:id="rId50"/>
    <hyperlink ref="O66" r:id="rId51"/>
    <hyperlink ref="O67" r:id="rId52"/>
    <hyperlink ref="O68" r:id="rId53"/>
    <hyperlink ref="O69" r:id="rId54"/>
    <hyperlink ref="O71" r:id="rId55"/>
    <hyperlink ref="O72" r:id="rId56"/>
    <hyperlink ref="O74" r:id="rId57"/>
    <hyperlink ref="O77" r:id="rId58"/>
    <hyperlink ref="O78" r:id="rId59"/>
    <hyperlink ref="O86" r:id="rId60"/>
    <hyperlink ref="O87" r:id="rId61"/>
    <hyperlink ref="O94" r:id="rId62"/>
    <hyperlink ref="O95" r:id="rId63"/>
    <hyperlink ref="O99" r:id="rId64"/>
    <hyperlink ref="O101" r:id="rId65"/>
    <hyperlink ref="O102" r:id="rId66"/>
    <hyperlink ref="O93" r:id="rId67"/>
    <hyperlink ref="O98" r:id="rId68"/>
    <hyperlink ref="O103" r:id="rId69"/>
    <hyperlink ref="O105" r:id="rId70"/>
    <hyperlink ref="O70" r:id="rId71"/>
    <hyperlink ref="O73" r:id="rId72"/>
    <hyperlink ref="O75" r:id="rId73"/>
    <hyperlink ref="O76" r:id="rId74"/>
    <hyperlink ref="O79" r:id="rId75"/>
    <hyperlink ref="O80" r:id="rId76"/>
    <hyperlink ref="O88" r:id="rId77"/>
    <hyperlink ref="O89" r:id="rId78"/>
    <hyperlink ref="O81" r:id="rId79"/>
    <hyperlink ref="O82" r:id="rId80"/>
    <hyperlink ref="O83" r:id="rId81"/>
    <hyperlink ref="O84" r:id="rId82"/>
    <hyperlink ref="O85" r:id="rId83"/>
    <hyperlink ref="O104" r:id="rId84"/>
    <hyperlink ref="O55" r:id="rId85"/>
    <hyperlink ref="O11" r:id="rId86"/>
    <hyperlink ref="O31" r:id="rId87"/>
    <hyperlink ref="O106" r:id="rId88"/>
    <hyperlink ref="O107" r:id="rId89"/>
    <hyperlink ref="O108" r:id="rId90"/>
    <hyperlink ref="O37" r:id="rId91"/>
    <hyperlink ref="O109" r:id="rId92"/>
    <hyperlink ref="O91" r:id="rId93"/>
    <hyperlink ref="O110" r:id="rId94"/>
    <hyperlink ref="O111" r:id="rId95"/>
    <hyperlink ref="O112" r:id="rId96"/>
    <hyperlink ref="O32" r:id="rId97"/>
  </hyperlinks>
  <pageMargins left="0.7" right="0.7" top="0.75" bottom="0.75" header="0.3" footer="0.3"/>
  <pageSetup paperSize="9" orientation="portrait" r:id="rId98"/>
  <drawing r:id="rId9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4"/>
  <sheetViews>
    <sheetView tabSelected="1" topLeftCell="D101" workbookViewId="0">
      <selection activeCell="F111" sqref="F111"/>
    </sheetView>
  </sheetViews>
  <sheetFormatPr defaultRowHeight="15" x14ac:dyDescent="0.25"/>
  <cols>
    <col min="2" max="2" width="4" bestFit="1" customWidth="1"/>
    <col min="3" max="3" width="14.140625" customWidth="1"/>
    <col min="4" max="4" width="31.140625" bestFit="1" customWidth="1"/>
    <col min="5" max="5" width="25" customWidth="1"/>
    <col min="6" max="6" width="23.85546875" customWidth="1"/>
    <col min="7" max="7" width="25.28515625" bestFit="1" customWidth="1"/>
    <col min="8" max="8" width="13.28515625" bestFit="1" customWidth="1"/>
    <col min="9" max="9" width="21.5703125" bestFit="1" customWidth="1"/>
    <col min="10" max="10" width="17" bestFit="1" customWidth="1"/>
    <col min="11" max="11" width="8.85546875" bestFit="1" customWidth="1"/>
    <col min="12" max="12" width="8.7109375" bestFit="1" customWidth="1"/>
    <col min="13" max="13" width="19.28515625" bestFit="1" customWidth="1"/>
    <col min="14" max="14" width="16.140625" bestFit="1" customWidth="1"/>
    <col min="15" max="15" width="5.85546875" bestFit="1" customWidth="1"/>
    <col min="16" max="16" width="19.28515625" bestFit="1" customWidth="1"/>
    <col min="17" max="17" width="19.85546875" bestFit="1" customWidth="1"/>
    <col min="19" max="19" width="26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91"/>
      <c r="L1" s="91"/>
      <c r="M1" s="91"/>
      <c r="N1" s="91"/>
      <c r="O1" s="91"/>
      <c r="P1" s="91"/>
      <c r="Q1" s="91"/>
      <c r="R1" s="91"/>
      <c r="S1" s="92"/>
    </row>
    <row r="2" spans="1:19" ht="32.25" thickBot="1" x14ac:dyDescent="0.3">
      <c r="A2" s="1"/>
      <c r="B2" s="21"/>
      <c r="C2" s="32"/>
      <c r="D2" s="11" t="s">
        <v>0</v>
      </c>
      <c r="E2" s="11"/>
      <c r="F2" s="50" t="s">
        <v>545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3"/>
      <c r="D3" s="13" t="s">
        <v>1</v>
      </c>
      <c r="E3" s="13"/>
      <c r="F3" s="51" t="s">
        <v>546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93"/>
    </row>
    <row r="4" spans="1:19" x14ac:dyDescent="0.25">
      <c r="A4" s="1"/>
      <c r="B4" s="22"/>
      <c r="C4" s="33"/>
      <c r="D4" s="13" t="s">
        <v>2</v>
      </c>
      <c r="E4" s="13"/>
      <c r="F4" s="52" t="s">
        <v>546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94"/>
    </row>
    <row r="5" spans="1:19" x14ac:dyDescent="0.25">
      <c r="A5" s="1"/>
      <c r="B5" s="22"/>
      <c r="C5" s="33"/>
      <c r="D5" s="13" t="s">
        <v>3</v>
      </c>
      <c r="E5" s="13"/>
      <c r="F5" s="53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94"/>
    </row>
    <row r="6" spans="1:19" x14ac:dyDescent="0.25">
      <c r="A6" s="1"/>
      <c r="B6" s="23"/>
      <c r="C6" s="34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94"/>
    </row>
    <row r="7" spans="1:19" x14ac:dyDescent="0.25">
      <c r="A7" s="1"/>
      <c r="B7" s="24"/>
      <c r="C7" s="35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94"/>
    </row>
    <row r="8" spans="1:19" ht="15.75" thickBot="1" x14ac:dyDescent="0.3">
      <c r="A8" s="1"/>
      <c r="B8" s="27"/>
      <c r="C8" s="36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94"/>
    </row>
    <row r="9" spans="1:19" ht="15.75" thickBot="1" x14ac:dyDescent="0.3">
      <c r="A9" s="1"/>
      <c r="B9" s="54" t="s">
        <v>4</v>
      </c>
      <c r="C9" s="30" t="s">
        <v>8</v>
      </c>
      <c r="D9" s="55" t="s">
        <v>15</v>
      </c>
      <c r="E9" s="31" t="s">
        <v>101</v>
      </c>
      <c r="F9" s="54" t="s">
        <v>192</v>
      </c>
      <c r="G9" s="30" t="s">
        <v>244</v>
      </c>
      <c r="H9" s="55" t="s">
        <v>313</v>
      </c>
      <c r="I9" s="30" t="s">
        <v>426</v>
      </c>
      <c r="J9" s="31" t="s">
        <v>360</v>
      </c>
      <c r="K9" s="30" t="s">
        <v>427</v>
      </c>
      <c r="L9" s="31" t="s">
        <v>423</v>
      </c>
      <c r="M9" s="30" t="s">
        <v>584</v>
      </c>
      <c r="N9" s="31" t="s">
        <v>583</v>
      </c>
      <c r="O9" s="30" t="s">
        <v>430</v>
      </c>
      <c r="P9" s="31" t="s">
        <v>585</v>
      </c>
      <c r="Q9" s="30" t="s">
        <v>586</v>
      </c>
      <c r="R9" s="31" t="s">
        <v>433</v>
      </c>
      <c r="S9" s="30" t="s">
        <v>434</v>
      </c>
    </row>
    <row r="10" spans="1:19" s="60" customFormat="1" ht="24" x14ac:dyDescent="0.25">
      <c r="A10" s="59"/>
      <c r="B10" s="78">
        <f>ROW(B10) - ROW($B$9)</f>
        <v>1</v>
      </c>
      <c r="C10" s="85" t="s">
        <v>9</v>
      </c>
      <c r="D10" s="82" t="s">
        <v>16</v>
      </c>
      <c r="E10" s="38" t="s">
        <v>102</v>
      </c>
      <c r="F10" s="39" t="s">
        <v>425</v>
      </c>
      <c r="G10" s="38" t="s">
        <v>424</v>
      </c>
      <c r="H10" s="39" t="s">
        <v>314</v>
      </c>
      <c r="I10" s="38" t="s">
        <v>436</v>
      </c>
      <c r="J10" s="38" t="s">
        <v>455</v>
      </c>
      <c r="K10" s="38" t="s">
        <v>377</v>
      </c>
      <c r="L10" s="39">
        <v>13</v>
      </c>
      <c r="M10" s="38">
        <f>L10*10</f>
        <v>130</v>
      </c>
      <c r="N10" s="38">
        <v>140</v>
      </c>
      <c r="O10" s="57" t="s">
        <v>456</v>
      </c>
      <c r="P10" s="40">
        <v>2.81E-2</v>
      </c>
      <c r="Q10" s="40">
        <f>P10*N10</f>
        <v>3.9340000000000002</v>
      </c>
      <c r="R10" s="39"/>
      <c r="S10" s="101"/>
    </row>
    <row r="11" spans="1:19" s="60" customFormat="1" x14ac:dyDescent="0.25">
      <c r="A11" s="59"/>
      <c r="B11" s="81">
        <f t="shared" ref="B11:B104" si="0">ROW(B11) - ROW($B$9)</f>
        <v>2</v>
      </c>
      <c r="C11" s="86" t="s">
        <v>9</v>
      </c>
      <c r="D11" s="79" t="s">
        <v>17</v>
      </c>
      <c r="E11" s="67" t="s">
        <v>103</v>
      </c>
      <c r="F11" s="68" t="s">
        <v>193</v>
      </c>
      <c r="G11" s="67" t="s">
        <v>245</v>
      </c>
      <c r="H11" s="68" t="s">
        <v>315</v>
      </c>
      <c r="I11" s="67" t="s">
        <v>436</v>
      </c>
      <c r="J11" s="68" t="s">
        <v>361</v>
      </c>
      <c r="K11" s="67" t="s">
        <v>378</v>
      </c>
      <c r="L11" s="68">
        <v>1</v>
      </c>
      <c r="M11" s="38">
        <f t="shared" ref="M11:M74" si="1">L11*10</f>
        <v>10</v>
      </c>
      <c r="N11" s="68">
        <v>50</v>
      </c>
      <c r="O11" s="69" t="s">
        <v>456</v>
      </c>
      <c r="P11" s="70">
        <v>1.18E-2</v>
      </c>
      <c r="Q11" s="71">
        <f t="shared" ref="Q11" si="2">P11*N11</f>
        <v>0.59</v>
      </c>
      <c r="R11" s="68"/>
      <c r="S11" s="67"/>
    </row>
    <row r="12" spans="1:19" s="60" customFormat="1" x14ac:dyDescent="0.25">
      <c r="A12" s="59"/>
      <c r="B12" s="78">
        <f>ROW(B12) - ROW($B$9)</f>
        <v>3</v>
      </c>
      <c r="C12" s="85" t="s">
        <v>9</v>
      </c>
      <c r="D12" s="82" t="s">
        <v>446</v>
      </c>
      <c r="E12" s="56" t="s">
        <v>104</v>
      </c>
      <c r="F12" s="39" t="s">
        <v>194</v>
      </c>
      <c r="G12" s="38" t="s">
        <v>246</v>
      </c>
      <c r="H12" s="39" t="s">
        <v>315</v>
      </c>
      <c r="I12" s="38" t="s">
        <v>436</v>
      </c>
      <c r="J12" s="39" t="s">
        <v>362</v>
      </c>
      <c r="K12" s="38" t="s">
        <v>379</v>
      </c>
      <c r="L12" s="39">
        <v>9</v>
      </c>
      <c r="M12" s="38">
        <f t="shared" si="1"/>
        <v>90</v>
      </c>
      <c r="N12" s="38">
        <v>100</v>
      </c>
      <c r="O12" s="57" t="s">
        <v>456</v>
      </c>
      <c r="P12" s="47">
        <v>4.7000000000000002E-3</v>
      </c>
      <c r="Q12" s="40">
        <f>P12*N12</f>
        <v>0.47000000000000003</v>
      </c>
      <c r="R12" s="39"/>
      <c r="S12" s="38"/>
    </row>
    <row r="13" spans="1:19" s="60" customFormat="1" ht="60" x14ac:dyDescent="0.25">
      <c r="A13" s="59"/>
      <c r="B13" s="81">
        <f t="shared" si="0"/>
        <v>4</v>
      </c>
      <c r="C13" s="86" t="s">
        <v>9</v>
      </c>
      <c r="D13" s="79" t="s">
        <v>18</v>
      </c>
      <c r="E13" s="67" t="s">
        <v>105</v>
      </c>
      <c r="F13" s="68" t="s">
        <v>425</v>
      </c>
      <c r="G13" s="67" t="s">
        <v>195</v>
      </c>
      <c r="H13" s="68" t="s">
        <v>316</v>
      </c>
      <c r="I13" s="67" t="s">
        <v>436</v>
      </c>
      <c r="J13" s="68" t="s">
        <v>457</v>
      </c>
      <c r="K13" s="67" t="s">
        <v>380</v>
      </c>
      <c r="L13" s="68">
        <v>5</v>
      </c>
      <c r="M13" s="38">
        <f t="shared" si="1"/>
        <v>50</v>
      </c>
      <c r="N13" s="68">
        <v>52</v>
      </c>
      <c r="O13" s="69" t="s">
        <v>456</v>
      </c>
      <c r="P13" s="70">
        <v>0.27210000000000001</v>
      </c>
      <c r="Q13" s="71">
        <f t="shared" ref="Q13" si="3">P13*N13</f>
        <v>14.1492</v>
      </c>
      <c r="R13" s="68"/>
      <c r="S13" s="67"/>
    </row>
    <row r="14" spans="1:19" s="60" customFormat="1" ht="60" x14ac:dyDescent="0.25">
      <c r="A14" s="59"/>
      <c r="B14" s="78">
        <f>ROW(B14) - ROW($B$9)</f>
        <v>5</v>
      </c>
      <c r="C14" s="85" t="s">
        <v>9</v>
      </c>
      <c r="D14" s="82" t="s">
        <v>447</v>
      </c>
      <c r="E14" s="56" t="s">
        <v>106</v>
      </c>
      <c r="F14" s="39" t="s">
        <v>194</v>
      </c>
      <c r="G14" s="38" t="s">
        <v>247</v>
      </c>
      <c r="H14" s="39" t="s">
        <v>315</v>
      </c>
      <c r="I14" s="38" t="s">
        <v>436</v>
      </c>
      <c r="J14" s="39" t="s">
        <v>458</v>
      </c>
      <c r="K14" s="38" t="s">
        <v>378</v>
      </c>
      <c r="L14" s="39">
        <v>37</v>
      </c>
      <c r="M14" s="38">
        <f t="shared" si="1"/>
        <v>370</v>
      </c>
      <c r="N14" s="38">
        <v>400</v>
      </c>
      <c r="O14" s="57" t="s">
        <v>456</v>
      </c>
      <c r="P14" s="47">
        <v>2.7000000000000001E-3</v>
      </c>
      <c r="Q14" s="40">
        <f>P14*N14</f>
        <v>1.08</v>
      </c>
      <c r="R14" s="39"/>
      <c r="S14" s="38"/>
    </row>
    <row r="15" spans="1:19" s="60" customFormat="1" x14ac:dyDescent="0.25">
      <c r="A15" s="59"/>
      <c r="B15" s="81">
        <f t="shared" si="0"/>
        <v>6</v>
      </c>
      <c r="C15" s="86" t="s">
        <v>9</v>
      </c>
      <c r="D15" s="79" t="s">
        <v>19</v>
      </c>
      <c r="E15" s="67" t="s">
        <v>107</v>
      </c>
      <c r="F15" s="68" t="s">
        <v>425</v>
      </c>
      <c r="G15" s="67" t="s">
        <v>196</v>
      </c>
      <c r="H15" s="68" t="s">
        <v>317</v>
      </c>
      <c r="I15" s="67" t="s">
        <v>436</v>
      </c>
      <c r="J15" s="68" t="s">
        <v>459</v>
      </c>
      <c r="K15" s="67" t="s">
        <v>381</v>
      </c>
      <c r="L15" s="68">
        <v>1</v>
      </c>
      <c r="M15" s="38">
        <f t="shared" si="1"/>
        <v>10</v>
      </c>
      <c r="N15" s="68">
        <v>15</v>
      </c>
      <c r="O15" s="69" t="s">
        <v>456</v>
      </c>
      <c r="P15" s="70">
        <v>0.1363</v>
      </c>
      <c r="Q15" s="71">
        <f t="shared" ref="Q15" si="4">P15*N15</f>
        <v>2.0445000000000002</v>
      </c>
      <c r="R15" s="68"/>
      <c r="S15" s="67"/>
    </row>
    <row r="16" spans="1:19" s="60" customFormat="1" ht="24" x14ac:dyDescent="0.25">
      <c r="A16" s="59"/>
      <c r="B16" s="78">
        <f>ROW(B16) - ROW($B$9)</f>
        <v>7</v>
      </c>
      <c r="C16" s="85" t="s">
        <v>9</v>
      </c>
      <c r="D16" s="82" t="s">
        <v>20</v>
      </c>
      <c r="E16" s="56" t="s">
        <v>108</v>
      </c>
      <c r="F16" s="39" t="s">
        <v>194</v>
      </c>
      <c r="G16" s="38" t="s">
        <v>248</v>
      </c>
      <c r="H16" s="39" t="s">
        <v>315</v>
      </c>
      <c r="I16" s="38" t="s">
        <v>436</v>
      </c>
      <c r="J16" s="39" t="s">
        <v>460</v>
      </c>
      <c r="K16" s="38" t="s">
        <v>382</v>
      </c>
      <c r="L16" s="39">
        <v>1</v>
      </c>
      <c r="M16" s="38">
        <f t="shared" si="1"/>
        <v>10</v>
      </c>
      <c r="N16" s="38">
        <v>100</v>
      </c>
      <c r="O16" s="57" t="s">
        <v>456</v>
      </c>
      <c r="P16" s="47">
        <v>2.5000000000000001E-3</v>
      </c>
      <c r="Q16" s="40">
        <f>P16*N16</f>
        <v>0.25</v>
      </c>
      <c r="R16" s="39"/>
      <c r="S16" s="38"/>
    </row>
    <row r="17" spans="1:19" s="60" customFormat="1" ht="36" x14ac:dyDescent="0.25">
      <c r="A17" s="59"/>
      <c r="B17" s="81">
        <f t="shared" si="0"/>
        <v>8</v>
      </c>
      <c r="C17" s="86" t="s">
        <v>9</v>
      </c>
      <c r="D17" s="79" t="s">
        <v>21</v>
      </c>
      <c r="E17" s="67" t="s">
        <v>109</v>
      </c>
      <c r="F17" s="68" t="s">
        <v>197</v>
      </c>
      <c r="G17" s="67" t="s">
        <v>249</v>
      </c>
      <c r="H17" s="68" t="s">
        <v>318</v>
      </c>
      <c r="I17" s="67" t="s">
        <v>436</v>
      </c>
      <c r="J17" s="68" t="s">
        <v>461</v>
      </c>
      <c r="K17" s="67" t="s">
        <v>379</v>
      </c>
      <c r="L17" s="68">
        <v>1</v>
      </c>
      <c r="M17" s="38">
        <f t="shared" si="1"/>
        <v>10</v>
      </c>
      <c r="N17" s="68">
        <v>11</v>
      </c>
      <c r="O17" s="69" t="s">
        <v>456</v>
      </c>
      <c r="P17" s="70">
        <v>0.15959999999999999</v>
      </c>
      <c r="Q17" s="71">
        <f t="shared" ref="Q17" si="5">P17*N17</f>
        <v>1.7555999999999998</v>
      </c>
      <c r="R17" s="68"/>
      <c r="S17" s="67"/>
    </row>
    <row r="18" spans="1:19" s="60" customFormat="1" ht="24" x14ac:dyDescent="0.25">
      <c r="A18" s="59"/>
      <c r="B18" s="78">
        <f>ROW(B18) - ROW($B$9)</f>
        <v>9</v>
      </c>
      <c r="C18" s="85" t="s">
        <v>9</v>
      </c>
      <c r="D18" s="82" t="s">
        <v>22</v>
      </c>
      <c r="E18" s="56" t="s">
        <v>110</v>
      </c>
      <c r="F18" s="39" t="s">
        <v>194</v>
      </c>
      <c r="G18" s="38" t="s">
        <v>250</v>
      </c>
      <c r="H18" s="39" t="s">
        <v>315</v>
      </c>
      <c r="I18" s="38" t="s">
        <v>436</v>
      </c>
      <c r="J18" s="39" t="s">
        <v>462</v>
      </c>
      <c r="K18" s="38" t="s">
        <v>383</v>
      </c>
      <c r="L18" s="39">
        <v>2</v>
      </c>
      <c r="M18" s="38">
        <f t="shared" si="1"/>
        <v>20</v>
      </c>
      <c r="N18" s="38">
        <v>100</v>
      </c>
      <c r="O18" s="57" t="s">
        <v>456</v>
      </c>
      <c r="P18" s="47">
        <v>2.5999999999999999E-3</v>
      </c>
      <c r="Q18" s="40">
        <f>P18*N18</f>
        <v>0.26</v>
      </c>
      <c r="R18" s="39"/>
      <c r="S18" s="38"/>
    </row>
    <row r="19" spans="1:19" s="60" customFormat="1" ht="24" x14ac:dyDescent="0.25">
      <c r="A19" s="59"/>
      <c r="B19" s="81">
        <f t="shared" si="0"/>
        <v>10</v>
      </c>
      <c r="C19" s="86" t="s">
        <v>9</v>
      </c>
      <c r="D19" s="79" t="s">
        <v>464</v>
      </c>
      <c r="E19" s="67" t="s">
        <v>111</v>
      </c>
      <c r="F19" s="68" t="s">
        <v>194</v>
      </c>
      <c r="G19" s="67" t="s">
        <v>251</v>
      </c>
      <c r="H19" s="68" t="s">
        <v>315</v>
      </c>
      <c r="I19" s="67" t="s">
        <v>436</v>
      </c>
      <c r="J19" s="68" t="s">
        <v>364</v>
      </c>
      <c r="K19" s="67" t="s">
        <v>384</v>
      </c>
      <c r="L19" s="68">
        <v>4</v>
      </c>
      <c r="M19" s="38">
        <f t="shared" si="1"/>
        <v>40</v>
      </c>
      <c r="N19" s="68">
        <v>100</v>
      </c>
      <c r="O19" s="69" t="s">
        <v>456</v>
      </c>
      <c r="P19" s="70">
        <v>2.8999999999999998E-3</v>
      </c>
      <c r="Q19" s="71">
        <f t="shared" ref="Q19" si="6">P19*N19</f>
        <v>0.28999999999999998</v>
      </c>
      <c r="R19" s="68"/>
      <c r="S19" s="67"/>
    </row>
    <row r="20" spans="1:19" s="60" customFormat="1" x14ac:dyDescent="0.25">
      <c r="A20" s="59"/>
      <c r="B20" s="78">
        <f>ROW(B20) - ROW($B$9)</f>
        <v>11</v>
      </c>
      <c r="C20" s="85" t="s">
        <v>9</v>
      </c>
      <c r="D20" s="82" t="s">
        <v>23</v>
      </c>
      <c r="E20" s="56" t="s">
        <v>112</v>
      </c>
      <c r="F20" s="39" t="s">
        <v>193</v>
      </c>
      <c r="G20" s="38" t="s">
        <v>252</v>
      </c>
      <c r="H20" s="39" t="s">
        <v>315</v>
      </c>
      <c r="I20" s="38" t="s">
        <v>436</v>
      </c>
      <c r="J20" s="39" t="s">
        <v>363</v>
      </c>
      <c r="K20" s="38" t="s">
        <v>385</v>
      </c>
      <c r="L20" s="39">
        <v>1</v>
      </c>
      <c r="M20" s="38">
        <f t="shared" si="1"/>
        <v>10</v>
      </c>
      <c r="N20" s="38">
        <v>20</v>
      </c>
      <c r="O20" s="57" t="s">
        <v>456</v>
      </c>
      <c r="P20" s="47">
        <v>3.5200000000000002E-2</v>
      </c>
      <c r="Q20" s="40">
        <f>P20*N20</f>
        <v>0.70400000000000007</v>
      </c>
      <c r="R20" s="39"/>
      <c r="S20" s="38"/>
    </row>
    <row r="21" spans="1:19" s="60" customFormat="1" x14ac:dyDescent="0.25">
      <c r="A21" s="59"/>
      <c r="B21" s="81">
        <f t="shared" si="0"/>
        <v>12</v>
      </c>
      <c r="C21" s="86" t="s">
        <v>9</v>
      </c>
      <c r="D21" s="79" t="s">
        <v>24</v>
      </c>
      <c r="E21" s="67" t="s">
        <v>113</v>
      </c>
      <c r="F21" s="68" t="s">
        <v>194</v>
      </c>
      <c r="G21" s="67" t="s">
        <v>253</v>
      </c>
      <c r="H21" s="68" t="s">
        <v>319</v>
      </c>
      <c r="I21" s="67" t="s">
        <v>436</v>
      </c>
      <c r="J21" s="68" t="s">
        <v>463</v>
      </c>
      <c r="K21" s="67" t="s">
        <v>386</v>
      </c>
      <c r="L21" s="68">
        <v>1</v>
      </c>
      <c r="M21" s="38">
        <f t="shared" si="1"/>
        <v>10</v>
      </c>
      <c r="N21" s="68">
        <v>20</v>
      </c>
      <c r="O21" s="69" t="s">
        <v>456</v>
      </c>
      <c r="P21" s="70">
        <v>3.04E-2</v>
      </c>
      <c r="Q21" s="71">
        <f t="shared" ref="Q21:Q22" si="7">P21*N21</f>
        <v>0.60799999999999998</v>
      </c>
      <c r="R21" s="68"/>
      <c r="S21" s="67"/>
    </row>
    <row r="22" spans="1:19" s="60" customFormat="1" ht="24" x14ac:dyDescent="0.25">
      <c r="A22" s="59"/>
      <c r="B22" s="81">
        <f t="shared" si="0"/>
        <v>13</v>
      </c>
      <c r="C22" s="85" t="s">
        <v>9</v>
      </c>
      <c r="D22" s="82" t="s">
        <v>25</v>
      </c>
      <c r="E22" s="56" t="s">
        <v>114</v>
      </c>
      <c r="F22" s="39" t="s">
        <v>194</v>
      </c>
      <c r="G22" s="38" t="s">
        <v>254</v>
      </c>
      <c r="H22" s="39" t="s">
        <v>315</v>
      </c>
      <c r="I22" s="38" t="s">
        <v>436</v>
      </c>
      <c r="J22" s="39" t="s">
        <v>465</v>
      </c>
      <c r="K22" s="38" t="s">
        <v>387</v>
      </c>
      <c r="L22" s="39">
        <v>1</v>
      </c>
      <c r="M22" s="38">
        <f t="shared" si="1"/>
        <v>10</v>
      </c>
      <c r="N22" s="38">
        <v>100</v>
      </c>
      <c r="O22" s="57" t="s">
        <v>456</v>
      </c>
      <c r="P22" s="47">
        <v>3.3E-3</v>
      </c>
      <c r="Q22" s="40">
        <f t="shared" si="7"/>
        <v>0.33</v>
      </c>
      <c r="R22" s="39"/>
      <c r="S22" s="38"/>
    </row>
    <row r="23" spans="1:19" s="60" customFormat="1" x14ac:dyDescent="0.25">
      <c r="A23" s="59"/>
      <c r="B23" s="78">
        <f>ROW(B23) - ROW($B$9)</f>
        <v>14</v>
      </c>
      <c r="C23" s="86" t="s">
        <v>9</v>
      </c>
      <c r="D23" s="79" t="s">
        <v>26</v>
      </c>
      <c r="E23" s="67" t="s">
        <v>115</v>
      </c>
      <c r="F23" s="68" t="s">
        <v>194</v>
      </c>
      <c r="G23" s="67" t="s">
        <v>255</v>
      </c>
      <c r="H23" s="68" t="s">
        <v>319</v>
      </c>
      <c r="I23" s="67" t="s">
        <v>436</v>
      </c>
      <c r="J23" s="68" t="s">
        <v>466</v>
      </c>
      <c r="K23" s="67" t="s">
        <v>388</v>
      </c>
      <c r="L23" s="68">
        <v>1</v>
      </c>
      <c r="M23" s="38">
        <f t="shared" si="1"/>
        <v>10</v>
      </c>
      <c r="N23" s="68">
        <v>20</v>
      </c>
      <c r="O23" s="69" t="s">
        <v>456</v>
      </c>
      <c r="P23" s="70">
        <v>2.9899999999999999E-2</v>
      </c>
      <c r="Q23" s="71">
        <f>P23*N23</f>
        <v>0.59799999999999998</v>
      </c>
      <c r="R23" s="68"/>
      <c r="S23" s="67"/>
    </row>
    <row r="24" spans="1:19" s="60" customFormat="1" ht="24" x14ac:dyDescent="0.25">
      <c r="A24" s="59"/>
      <c r="B24" s="81">
        <f t="shared" si="0"/>
        <v>15</v>
      </c>
      <c r="C24" s="85" t="s">
        <v>9</v>
      </c>
      <c r="D24" s="82" t="s">
        <v>27</v>
      </c>
      <c r="E24" s="56" t="s">
        <v>116</v>
      </c>
      <c r="F24" s="39" t="s">
        <v>194</v>
      </c>
      <c r="G24" s="38" t="s">
        <v>256</v>
      </c>
      <c r="H24" s="39" t="s">
        <v>315</v>
      </c>
      <c r="I24" s="38" t="s">
        <v>436</v>
      </c>
      <c r="J24" s="39" t="s">
        <v>467</v>
      </c>
      <c r="K24" s="38" t="s">
        <v>389</v>
      </c>
      <c r="L24" s="39">
        <v>1</v>
      </c>
      <c r="M24" s="38">
        <f t="shared" si="1"/>
        <v>10</v>
      </c>
      <c r="N24" s="38">
        <v>100</v>
      </c>
      <c r="O24" s="57" t="s">
        <v>456</v>
      </c>
      <c r="P24" s="47">
        <v>3.0999999999999999E-3</v>
      </c>
      <c r="Q24" s="40">
        <f t="shared" ref="Q24" si="8">P24*N24</f>
        <v>0.31</v>
      </c>
      <c r="R24" s="39"/>
      <c r="S24" s="38"/>
    </row>
    <row r="25" spans="1:19" s="60" customFormat="1" ht="36" x14ac:dyDescent="0.25">
      <c r="A25" s="59"/>
      <c r="B25" s="78">
        <f>ROW(B25) - ROW($B$9)</f>
        <v>16</v>
      </c>
      <c r="C25" s="86" t="s">
        <v>10</v>
      </c>
      <c r="D25" s="79" t="s">
        <v>28</v>
      </c>
      <c r="E25" s="67" t="s">
        <v>117</v>
      </c>
      <c r="F25" s="68" t="s">
        <v>198</v>
      </c>
      <c r="G25" s="67" t="s">
        <v>257</v>
      </c>
      <c r="H25" s="68" t="s">
        <v>320</v>
      </c>
      <c r="I25" s="67" t="s">
        <v>436</v>
      </c>
      <c r="J25" s="68" t="s">
        <v>468</v>
      </c>
      <c r="K25" s="67" t="s">
        <v>436</v>
      </c>
      <c r="L25" s="68">
        <v>1</v>
      </c>
      <c r="M25" s="38">
        <f t="shared" si="1"/>
        <v>10</v>
      </c>
      <c r="N25" s="68">
        <v>20</v>
      </c>
      <c r="O25" s="69" t="s">
        <v>456</v>
      </c>
      <c r="P25" s="70">
        <v>3.2899999999999999E-2</v>
      </c>
      <c r="Q25" s="71">
        <f>P25*N25</f>
        <v>0.65799999999999992</v>
      </c>
      <c r="R25" s="68"/>
      <c r="S25" s="67"/>
    </row>
    <row r="26" spans="1:19" s="60" customFormat="1" ht="24" x14ac:dyDescent="0.25">
      <c r="A26" s="59"/>
      <c r="B26" s="81">
        <f t="shared" si="0"/>
        <v>17</v>
      </c>
      <c r="C26" s="85" t="s">
        <v>10</v>
      </c>
      <c r="D26" s="82" t="s">
        <v>29</v>
      </c>
      <c r="E26" s="56" t="s">
        <v>118</v>
      </c>
      <c r="F26" s="39" t="s">
        <v>198</v>
      </c>
      <c r="G26" s="38" t="s">
        <v>258</v>
      </c>
      <c r="H26" s="39" t="s">
        <v>321</v>
      </c>
      <c r="I26" s="38" t="s">
        <v>436</v>
      </c>
      <c r="J26" s="39" t="s">
        <v>469</v>
      </c>
      <c r="K26" s="38" t="s">
        <v>436</v>
      </c>
      <c r="L26" s="39">
        <v>1</v>
      </c>
      <c r="M26" s="38">
        <f t="shared" si="1"/>
        <v>10</v>
      </c>
      <c r="N26" s="38">
        <v>11</v>
      </c>
      <c r="O26" s="57" t="s">
        <v>456</v>
      </c>
      <c r="P26" s="47">
        <v>0.17660000000000001</v>
      </c>
      <c r="Q26" s="40">
        <f t="shared" ref="Q26" si="9">P26*N26</f>
        <v>1.9426000000000001</v>
      </c>
      <c r="R26" s="39"/>
      <c r="S26" s="38"/>
    </row>
    <row r="27" spans="1:19" s="60" customFormat="1" ht="48" x14ac:dyDescent="0.25">
      <c r="A27" s="59"/>
      <c r="B27" s="78">
        <f>ROW(B27) - ROW($B$9)</f>
        <v>18</v>
      </c>
      <c r="C27" s="86" t="s">
        <v>10</v>
      </c>
      <c r="D27" s="79" t="s">
        <v>30</v>
      </c>
      <c r="E27" s="67" t="s">
        <v>119</v>
      </c>
      <c r="F27" s="68" t="s">
        <v>199</v>
      </c>
      <c r="G27" s="67" t="s">
        <v>199</v>
      </c>
      <c r="H27" s="68" t="s">
        <v>322</v>
      </c>
      <c r="I27" s="67" t="s">
        <v>436</v>
      </c>
      <c r="J27" s="68" t="s">
        <v>470</v>
      </c>
      <c r="K27" s="67" t="s">
        <v>436</v>
      </c>
      <c r="L27" s="68">
        <v>1</v>
      </c>
      <c r="M27" s="38">
        <f t="shared" si="1"/>
        <v>10</v>
      </c>
      <c r="N27" s="68">
        <v>20</v>
      </c>
      <c r="O27" s="69" t="s">
        <v>456</v>
      </c>
      <c r="P27" s="70">
        <v>3.1399999999999997E-2</v>
      </c>
      <c r="Q27" s="71">
        <f>P27*N27</f>
        <v>0.62799999999999989</v>
      </c>
      <c r="R27" s="68"/>
      <c r="S27" s="67"/>
    </row>
    <row r="28" spans="1:19" s="60" customFormat="1" ht="24" x14ac:dyDescent="0.25">
      <c r="A28" s="59"/>
      <c r="B28" s="81">
        <f t="shared" si="0"/>
        <v>19</v>
      </c>
      <c r="C28" s="85" t="s">
        <v>10</v>
      </c>
      <c r="D28" s="82" t="s">
        <v>31</v>
      </c>
      <c r="E28" s="56" t="s">
        <v>120</v>
      </c>
      <c r="F28" s="39" t="s">
        <v>200</v>
      </c>
      <c r="G28" s="38" t="s">
        <v>259</v>
      </c>
      <c r="H28" s="39" t="s">
        <v>323</v>
      </c>
      <c r="I28" s="38" t="s">
        <v>436</v>
      </c>
      <c r="J28" s="39" t="s">
        <v>365</v>
      </c>
      <c r="K28" s="38" t="s">
        <v>436</v>
      </c>
      <c r="L28" s="39">
        <v>5</v>
      </c>
      <c r="M28" s="38">
        <f t="shared" si="1"/>
        <v>50</v>
      </c>
      <c r="N28" s="38">
        <v>60</v>
      </c>
      <c r="O28" s="57" t="s">
        <v>456</v>
      </c>
      <c r="P28" s="47">
        <v>2.0400000000000001E-2</v>
      </c>
      <c r="Q28" s="40">
        <f t="shared" ref="Q28" si="10">P28*N28</f>
        <v>1.2240000000000002</v>
      </c>
      <c r="R28" s="39"/>
      <c r="S28" s="38"/>
    </row>
    <row r="29" spans="1:19" s="60" customFormat="1" ht="36" x14ac:dyDescent="0.25">
      <c r="A29" s="59"/>
      <c r="B29" s="78">
        <f>ROW(B29) - ROW($B$9)</f>
        <v>20</v>
      </c>
      <c r="C29" s="86" t="s">
        <v>10</v>
      </c>
      <c r="D29" s="79" t="s">
        <v>32</v>
      </c>
      <c r="E29" s="67" t="s">
        <v>121</v>
      </c>
      <c r="F29" s="68" t="s">
        <v>201</v>
      </c>
      <c r="G29" s="67" t="s">
        <v>260</v>
      </c>
      <c r="H29" s="68" t="s">
        <v>324</v>
      </c>
      <c r="I29" s="67" t="s">
        <v>436</v>
      </c>
      <c r="J29" s="68" t="s">
        <v>471</v>
      </c>
      <c r="K29" s="67" t="s">
        <v>436</v>
      </c>
      <c r="L29" s="68">
        <v>1</v>
      </c>
      <c r="M29" s="38">
        <f t="shared" si="1"/>
        <v>10</v>
      </c>
      <c r="N29" s="68">
        <v>20</v>
      </c>
      <c r="O29" s="69" t="s">
        <v>456</v>
      </c>
      <c r="P29" s="70">
        <v>6.2700000000000006E-2</v>
      </c>
      <c r="Q29" s="71">
        <f>P29*N29</f>
        <v>1.254</v>
      </c>
      <c r="R29" s="68"/>
      <c r="S29" s="67"/>
    </row>
    <row r="30" spans="1:19" s="60" customFormat="1" x14ac:dyDescent="0.25">
      <c r="A30" s="59"/>
      <c r="B30" s="81">
        <f t="shared" si="0"/>
        <v>21</v>
      </c>
      <c r="C30" s="85" t="s">
        <v>10</v>
      </c>
      <c r="D30" s="82" t="s">
        <v>33</v>
      </c>
      <c r="E30" s="56" t="s">
        <v>122</v>
      </c>
      <c r="F30" s="39" t="s">
        <v>202</v>
      </c>
      <c r="G30" s="38" t="s">
        <v>202</v>
      </c>
      <c r="H30" s="39" t="s">
        <v>325</v>
      </c>
      <c r="I30" s="38" t="s">
        <v>436</v>
      </c>
      <c r="J30" s="39" t="s">
        <v>472</v>
      </c>
      <c r="K30" s="38" t="s">
        <v>436</v>
      </c>
      <c r="L30" s="39">
        <v>1</v>
      </c>
      <c r="M30" s="38">
        <f t="shared" si="1"/>
        <v>10</v>
      </c>
      <c r="N30" s="38">
        <v>15</v>
      </c>
      <c r="O30" s="57" t="s">
        <v>456</v>
      </c>
      <c r="P30" s="47">
        <v>7.7499999999999999E-2</v>
      </c>
      <c r="Q30" s="40">
        <f t="shared" ref="Q30" si="11">P30*N30</f>
        <v>1.1625000000000001</v>
      </c>
      <c r="R30" s="39"/>
      <c r="S30" s="38"/>
    </row>
    <row r="31" spans="1:19" s="60" customFormat="1" ht="36" x14ac:dyDescent="0.25">
      <c r="A31" s="59"/>
      <c r="B31" s="78">
        <f>ROW(B31) - ROW($B$9)</f>
        <v>22</v>
      </c>
      <c r="C31" s="86" t="s">
        <v>10</v>
      </c>
      <c r="D31" s="79" t="s">
        <v>34</v>
      </c>
      <c r="E31" s="38" t="s">
        <v>543</v>
      </c>
      <c r="F31" s="38" t="s">
        <v>198</v>
      </c>
      <c r="G31" s="67" t="s">
        <v>261</v>
      </c>
      <c r="H31" s="68" t="s">
        <v>325</v>
      </c>
      <c r="I31" s="67" t="s">
        <v>436</v>
      </c>
      <c r="J31" s="68" t="s">
        <v>544</v>
      </c>
      <c r="K31" s="67" t="s">
        <v>436</v>
      </c>
      <c r="L31" s="68">
        <v>1</v>
      </c>
      <c r="M31" s="38">
        <f t="shared" si="1"/>
        <v>10</v>
      </c>
      <c r="N31" s="68">
        <v>20</v>
      </c>
      <c r="O31" s="69" t="s">
        <v>456</v>
      </c>
      <c r="P31" s="70">
        <v>3.8100000000000002E-2</v>
      </c>
      <c r="Q31" s="71">
        <f>P31*N31</f>
        <v>0.76200000000000001</v>
      </c>
      <c r="R31" s="68"/>
      <c r="S31" s="67"/>
    </row>
    <row r="32" spans="1:19" s="60" customFormat="1" ht="24" x14ac:dyDescent="0.25">
      <c r="A32" s="59"/>
      <c r="B32" s="81">
        <f t="shared" si="0"/>
        <v>23</v>
      </c>
      <c r="C32" s="85" t="s">
        <v>438</v>
      </c>
      <c r="D32" s="82" t="s">
        <v>35</v>
      </c>
      <c r="E32" s="56" t="s">
        <v>123</v>
      </c>
      <c r="F32" s="39" t="s">
        <v>425</v>
      </c>
      <c r="G32" s="58" t="s">
        <v>203</v>
      </c>
      <c r="H32" s="39" t="s">
        <v>326</v>
      </c>
      <c r="I32" s="38" t="s">
        <v>587</v>
      </c>
      <c r="J32" s="39" t="s">
        <v>588</v>
      </c>
      <c r="K32" s="38" t="s">
        <v>436</v>
      </c>
      <c r="L32" s="39">
        <v>1</v>
      </c>
      <c r="M32" s="38">
        <f t="shared" si="1"/>
        <v>10</v>
      </c>
      <c r="N32" s="38">
        <v>15</v>
      </c>
      <c r="O32" s="57" t="s">
        <v>456</v>
      </c>
      <c r="P32" s="47">
        <v>0.28199999999999997</v>
      </c>
      <c r="Q32" s="40">
        <f t="shared" ref="Q32" si="12">P32*N32</f>
        <v>4.2299999999999995</v>
      </c>
      <c r="R32" s="39"/>
      <c r="S32" s="38"/>
    </row>
    <row r="33" spans="1:19" s="60" customFormat="1" ht="24" x14ac:dyDescent="0.25">
      <c r="A33" s="59"/>
      <c r="B33" s="78">
        <f>ROW(B33) - ROW($B$9)</f>
        <v>24</v>
      </c>
      <c r="C33" s="86" t="s">
        <v>441</v>
      </c>
      <c r="D33" s="79" t="s">
        <v>36</v>
      </c>
      <c r="E33" s="67" t="s">
        <v>124</v>
      </c>
      <c r="F33" s="68" t="s">
        <v>425</v>
      </c>
      <c r="G33" s="72" t="s">
        <v>204</v>
      </c>
      <c r="H33" s="68" t="s">
        <v>327</v>
      </c>
      <c r="I33" s="67" t="s">
        <v>473</v>
      </c>
      <c r="J33" s="68" t="s">
        <v>476</v>
      </c>
      <c r="K33" s="67" t="s">
        <v>436</v>
      </c>
      <c r="L33" s="68">
        <v>9</v>
      </c>
      <c r="M33" s="38">
        <f t="shared" si="1"/>
        <v>90</v>
      </c>
      <c r="N33" s="68">
        <v>100</v>
      </c>
      <c r="O33" s="69" t="s">
        <v>456</v>
      </c>
      <c r="P33" s="70">
        <v>6.0100000000000001E-2</v>
      </c>
      <c r="Q33" s="71">
        <f>P33*N33</f>
        <v>6.01</v>
      </c>
      <c r="R33" s="68"/>
      <c r="S33" s="67"/>
    </row>
    <row r="34" spans="1:19" s="60" customFormat="1" ht="24" x14ac:dyDescent="0.25">
      <c r="A34" s="59"/>
      <c r="B34" s="81">
        <f t="shared" si="0"/>
        <v>25</v>
      </c>
      <c r="C34" s="85" t="s">
        <v>441</v>
      </c>
      <c r="D34" s="82" t="s">
        <v>37</v>
      </c>
      <c r="E34" s="56" t="s">
        <v>124</v>
      </c>
      <c r="F34" s="39" t="s">
        <v>425</v>
      </c>
      <c r="G34" s="58" t="s">
        <v>205</v>
      </c>
      <c r="H34" s="39" t="s">
        <v>327</v>
      </c>
      <c r="I34" s="38" t="s">
        <v>474</v>
      </c>
      <c r="J34" s="39" t="s">
        <v>477</v>
      </c>
      <c r="K34" s="38" t="s">
        <v>436</v>
      </c>
      <c r="L34" s="39">
        <v>5</v>
      </c>
      <c r="M34" s="38">
        <f t="shared" si="1"/>
        <v>50</v>
      </c>
      <c r="N34" s="38">
        <v>55</v>
      </c>
      <c r="O34" s="57" t="s">
        <v>456</v>
      </c>
      <c r="P34" s="47">
        <v>8.2400000000000001E-2</v>
      </c>
      <c r="Q34" s="40">
        <f t="shared" ref="Q34" si="13">P34*N34</f>
        <v>4.532</v>
      </c>
      <c r="R34" s="39"/>
      <c r="S34" s="38"/>
    </row>
    <row r="35" spans="1:19" s="60" customFormat="1" ht="24" x14ac:dyDescent="0.25">
      <c r="A35" s="59"/>
      <c r="B35" s="78">
        <f>ROW(B35) - ROW($B$9)</f>
        <v>26</v>
      </c>
      <c r="C35" s="86" t="s">
        <v>441</v>
      </c>
      <c r="D35" s="79" t="s">
        <v>38</v>
      </c>
      <c r="E35" s="67" t="s">
        <v>124</v>
      </c>
      <c r="F35" s="68" t="s">
        <v>425</v>
      </c>
      <c r="G35" s="72" t="s">
        <v>206</v>
      </c>
      <c r="H35" s="68" t="s">
        <v>327</v>
      </c>
      <c r="I35" s="67" t="s">
        <v>475</v>
      </c>
      <c r="J35" s="68" t="s">
        <v>478</v>
      </c>
      <c r="K35" s="67" t="s">
        <v>436</v>
      </c>
      <c r="L35" s="68">
        <v>1</v>
      </c>
      <c r="M35" s="38">
        <f t="shared" si="1"/>
        <v>10</v>
      </c>
      <c r="N35" s="68">
        <v>15</v>
      </c>
      <c r="O35" s="69" t="s">
        <v>456</v>
      </c>
      <c r="P35" s="70">
        <v>0.1163</v>
      </c>
      <c r="Q35" s="71">
        <f>P35*N35</f>
        <v>1.7444999999999999</v>
      </c>
      <c r="R35" s="68"/>
      <c r="S35" s="67"/>
    </row>
    <row r="36" spans="1:19" s="60" customFormat="1" ht="48" x14ac:dyDescent="0.25">
      <c r="A36" s="59"/>
      <c r="B36" s="81">
        <f t="shared" si="0"/>
        <v>27</v>
      </c>
      <c r="C36" s="85" t="s">
        <v>442</v>
      </c>
      <c r="D36" s="84" t="s">
        <v>39</v>
      </c>
      <c r="E36" s="58" t="s">
        <v>125</v>
      </c>
      <c r="F36" s="62" t="s">
        <v>425</v>
      </c>
      <c r="G36" s="58" t="s">
        <v>207</v>
      </c>
      <c r="H36" s="62" t="s">
        <v>328</v>
      </c>
      <c r="I36" s="58" t="s">
        <v>436</v>
      </c>
      <c r="J36" s="62" t="s">
        <v>479</v>
      </c>
      <c r="K36" s="58" t="s">
        <v>436</v>
      </c>
      <c r="L36" s="62">
        <v>1</v>
      </c>
      <c r="M36" s="38">
        <f t="shared" si="1"/>
        <v>10</v>
      </c>
      <c r="N36" s="58">
        <v>6</v>
      </c>
      <c r="O36" s="63" t="s">
        <v>456</v>
      </c>
      <c r="P36" s="64" t="s">
        <v>436</v>
      </c>
      <c r="Q36" s="65" t="s">
        <v>436</v>
      </c>
      <c r="R36" s="90" t="s">
        <v>582</v>
      </c>
      <c r="S36" s="38"/>
    </row>
    <row r="37" spans="1:19" s="60" customFormat="1" ht="108" x14ac:dyDescent="0.25">
      <c r="A37" s="59"/>
      <c r="B37" s="78">
        <f>ROW(B37) - ROW($B$9)</f>
        <v>28</v>
      </c>
      <c r="C37" s="86" t="s">
        <v>438</v>
      </c>
      <c r="D37" s="79" t="s">
        <v>40</v>
      </c>
      <c r="E37" s="67" t="s">
        <v>126</v>
      </c>
      <c r="F37" s="68" t="s">
        <v>425</v>
      </c>
      <c r="G37" s="72" t="s">
        <v>208</v>
      </c>
      <c r="H37" s="68" t="s">
        <v>559</v>
      </c>
      <c r="I37" s="67" t="s">
        <v>558</v>
      </c>
      <c r="J37" s="68" t="s">
        <v>558</v>
      </c>
      <c r="K37" s="67" t="s">
        <v>436</v>
      </c>
      <c r="L37" s="68">
        <v>1</v>
      </c>
      <c r="M37" s="38">
        <f t="shared" si="1"/>
        <v>10</v>
      </c>
      <c r="N37" s="68">
        <v>20</v>
      </c>
      <c r="O37" s="69" t="s">
        <v>456</v>
      </c>
      <c r="P37" s="70">
        <v>4.3200000000000002E-2</v>
      </c>
      <c r="Q37" s="71">
        <f>P37*N37</f>
        <v>0.8640000000000001</v>
      </c>
      <c r="R37" s="77" t="s">
        <v>560</v>
      </c>
      <c r="S37" s="67"/>
    </row>
    <row r="38" spans="1:19" s="60" customFormat="1" ht="24" x14ac:dyDescent="0.25">
      <c r="A38" s="59"/>
      <c r="B38" s="81">
        <f t="shared" si="0"/>
        <v>29</v>
      </c>
      <c r="C38" s="85" t="s">
        <v>11</v>
      </c>
      <c r="D38" s="82" t="s">
        <v>41</v>
      </c>
      <c r="E38" s="56" t="s">
        <v>127</v>
      </c>
      <c r="F38" s="39" t="s">
        <v>425</v>
      </c>
      <c r="G38" s="38" t="s">
        <v>262</v>
      </c>
      <c r="H38" s="39" t="s">
        <v>329</v>
      </c>
      <c r="I38" s="38" t="s">
        <v>436</v>
      </c>
      <c r="J38" s="39" t="s">
        <v>366</v>
      </c>
      <c r="K38" s="38" t="s">
        <v>436</v>
      </c>
      <c r="L38" s="39">
        <v>1</v>
      </c>
      <c r="M38" s="38">
        <f t="shared" si="1"/>
        <v>10</v>
      </c>
      <c r="N38" s="38">
        <v>11</v>
      </c>
      <c r="O38" s="57" t="s">
        <v>456</v>
      </c>
      <c r="P38" s="47">
        <v>0.17649999999999999</v>
      </c>
      <c r="Q38" s="40">
        <f t="shared" ref="Q38" si="14">P38*N38</f>
        <v>1.9415</v>
      </c>
      <c r="R38" s="39"/>
      <c r="S38" s="38"/>
    </row>
    <row r="39" spans="1:19" s="60" customFormat="1" ht="36" x14ac:dyDescent="0.25">
      <c r="A39" s="59"/>
      <c r="B39" s="78">
        <f>ROW(B39) - ROW($B$9)</f>
        <v>30</v>
      </c>
      <c r="C39" s="86" t="s">
        <v>12</v>
      </c>
      <c r="D39" s="79" t="s">
        <v>42</v>
      </c>
      <c r="E39" s="67" t="s">
        <v>128</v>
      </c>
      <c r="F39" s="68" t="s">
        <v>209</v>
      </c>
      <c r="G39" s="67" t="s">
        <v>263</v>
      </c>
      <c r="H39" s="68" t="s">
        <v>330</v>
      </c>
      <c r="I39" s="67" t="s">
        <v>436</v>
      </c>
      <c r="J39" s="68" t="s">
        <v>367</v>
      </c>
      <c r="K39" s="67" t="s">
        <v>436</v>
      </c>
      <c r="L39" s="68">
        <v>5</v>
      </c>
      <c r="M39" s="38">
        <f t="shared" si="1"/>
        <v>50</v>
      </c>
      <c r="N39" s="68">
        <v>52</v>
      </c>
      <c r="O39" s="69" t="s">
        <v>456</v>
      </c>
      <c r="P39" s="70">
        <v>0.9546</v>
      </c>
      <c r="Q39" s="71">
        <f>P39*N39</f>
        <v>49.639200000000002</v>
      </c>
      <c r="R39" s="68"/>
      <c r="S39" s="67"/>
    </row>
    <row r="40" spans="1:19" s="60" customFormat="1" ht="24" x14ac:dyDescent="0.25">
      <c r="A40" s="59"/>
      <c r="B40" s="81">
        <f t="shared" si="0"/>
        <v>31</v>
      </c>
      <c r="C40" s="85" t="s">
        <v>443</v>
      </c>
      <c r="D40" s="82" t="s">
        <v>43</v>
      </c>
      <c r="E40" s="56" t="s">
        <v>129</v>
      </c>
      <c r="F40" s="39" t="s">
        <v>210</v>
      </c>
      <c r="G40" s="38" t="s">
        <v>264</v>
      </c>
      <c r="H40" s="39" t="s">
        <v>331</v>
      </c>
      <c r="I40" s="38" t="s">
        <v>436</v>
      </c>
      <c r="J40" s="39" t="s">
        <v>480</v>
      </c>
      <c r="K40" s="38" t="s">
        <v>390</v>
      </c>
      <c r="L40" s="39">
        <v>1</v>
      </c>
      <c r="M40" s="38">
        <f t="shared" si="1"/>
        <v>10</v>
      </c>
      <c r="N40" s="38">
        <v>20</v>
      </c>
      <c r="O40" s="57" t="s">
        <v>456</v>
      </c>
      <c r="P40" s="47">
        <v>4.4299999999999999E-2</v>
      </c>
      <c r="Q40" s="40">
        <f t="shared" ref="Q40" si="15">P40*N40</f>
        <v>0.88600000000000001</v>
      </c>
      <c r="R40" s="39"/>
      <c r="S40" s="38"/>
    </row>
    <row r="41" spans="1:19" s="60" customFormat="1" ht="48" x14ac:dyDescent="0.25">
      <c r="A41" s="59"/>
      <c r="B41" s="78">
        <f>ROW(B41) - ROW($B$9)</f>
        <v>32</v>
      </c>
      <c r="C41" s="86" t="s">
        <v>443</v>
      </c>
      <c r="D41" s="79" t="s">
        <v>44</v>
      </c>
      <c r="E41" s="67" t="s">
        <v>130</v>
      </c>
      <c r="F41" s="68" t="s">
        <v>425</v>
      </c>
      <c r="G41" s="67" t="s">
        <v>211</v>
      </c>
      <c r="H41" s="68" t="s">
        <v>332</v>
      </c>
      <c r="I41" s="67" t="s">
        <v>436</v>
      </c>
      <c r="J41" s="68" t="s">
        <v>481</v>
      </c>
      <c r="K41" s="67" t="s">
        <v>391</v>
      </c>
      <c r="L41" s="68">
        <v>1</v>
      </c>
      <c r="M41" s="38">
        <f t="shared" si="1"/>
        <v>10</v>
      </c>
      <c r="N41" s="68">
        <v>11</v>
      </c>
      <c r="O41" s="69" t="s">
        <v>456</v>
      </c>
      <c r="P41" s="70">
        <v>0.40260000000000001</v>
      </c>
      <c r="Q41" s="71">
        <f>P41*N41</f>
        <v>4.4286000000000003</v>
      </c>
      <c r="R41" s="68"/>
      <c r="S41" s="67"/>
    </row>
    <row r="42" spans="1:19" s="60" customFormat="1" ht="24" x14ac:dyDescent="0.25">
      <c r="A42" s="59"/>
      <c r="B42" s="81">
        <f t="shared" si="0"/>
        <v>33</v>
      </c>
      <c r="C42" s="85" t="s">
        <v>443</v>
      </c>
      <c r="D42" s="82" t="s">
        <v>45</v>
      </c>
      <c r="E42" s="56" t="s">
        <v>131</v>
      </c>
      <c r="F42" s="39" t="s">
        <v>212</v>
      </c>
      <c r="G42" s="38" t="s">
        <v>265</v>
      </c>
      <c r="H42" s="39" t="s">
        <v>333</v>
      </c>
      <c r="I42" s="38" t="s">
        <v>436</v>
      </c>
      <c r="J42" s="39" t="s">
        <v>482</v>
      </c>
      <c r="K42" s="38" t="s">
        <v>392</v>
      </c>
      <c r="L42" s="39">
        <v>1</v>
      </c>
      <c r="M42" s="38">
        <f t="shared" si="1"/>
        <v>10</v>
      </c>
      <c r="N42" s="38">
        <v>15</v>
      </c>
      <c r="O42" s="57" t="s">
        <v>456</v>
      </c>
      <c r="P42" s="47">
        <v>7.7700000000000005E-2</v>
      </c>
      <c r="Q42" s="40">
        <f t="shared" ref="Q42" si="16">P42*N42</f>
        <v>1.1655</v>
      </c>
      <c r="R42" s="39"/>
      <c r="S42" s="38"/>
    </row>
    <row r="43" spans="1:19" s="60" customFormat="1" ht="36" x14ac:dyDescent="0.25">
      <c r="A43" s="59"/>
      <c r="B43" s="78">
        <f>ROW(B43) - ROW($B$9)</f>
        <v>34</v>
      </c>
      <c r="C43" s="86" t="s">
        <v>443</v>
      </c>
      <c r="D43" s="79" t="s">
        <v>46</v>
      </c>
      <c r="E43" s="67" t="s">
        <v>132</v>
      </c>
      <c r="F43" s="68" t="s">
        <v>213</v>
      </c>
      <c r="G43" s="67" t="s">
        <v>266</v>
      </c>
      <c r="H43" s="68" t="s">
        <v>334</v>
      </c>
      <c r="I43" s="67" t="s">
        <v>436</v>
      </c>
      <c r="J43" s="68" t="s">
        <v>483</v>
      </c>
      <c r="K43" s="67" t="s">
        <v>393</v>
      </c>
      <c r="L43" s="68">
        <v>1</v>
      </c>
      <c r="M43" s="38">
        <f t="shared" si="1"/>
        <v>10</v>
      </c>
      <c r="N43" s="68">
        <v>15</v>
      </c>
      <c r="O43" s="69" t="s">
        <v>456</v>
      </c>
      <c r="P43" s="70">
        <v>8.5099999999999995E-2</v>
      </c>
      <c r="Q43" s="71">
        <f>P43*N43</f>
        <v>1.2765</v>
      </c>
      <c r="R43" s="68"/>
      <c r="S43" s="67"/>
    </row>
    <row r="44" spans="1:19" s="60" customFormat="1" ht="24" x14ac:dyDescent="0.25">
      <c r="A44" s="59"/>
      <c r="B44" s="81">
        <f t="shared" si="0"/>
        <v>35</v>
      </c>
      <c r="C44" s="85" t="s">
        <v>444</v>
      </c>
      <c r="D44" s="82" t="s">
        <v>47</v>
      </c>
      <c r="E44" s="56" t="s">
        <v>133</v>
      </c>
      <c r="F44" s="39" t="s">
        <v>214</v>
      </c>
      <c r="G44" s="58" t="s">
        <v>267</v>
      </c>
      <c r="H44" s="39" t="s">
        <v>335</v>
      </c>
      <c r="I44" s="38" t="s">
        <v>494</v>
      </c>
      <c r="J44" s="39" t="s">
        <v>484</v>
      </c>
      <c r="K44" s="38" t="s">
        <v>436</v>
      </c>
      <c r="L44" s="39">
        <v>7</v>
      </c>
      <c r="M44" s="38">
        <f t="shared" si="1"/>
        <v>70</v>
      </c>
      <c r="N44" s="38">
        <v>80</v>
      </c>
      <c r="O44" s="57" t="s">
        <v>456</v>
      </c>
      <c r="P44" s="47">
        <v>3.6700000000000003E-2</v>
      </c>
      <c r="Q44" s="40">
        <f t="shared" ref="Q44" si="17">P44*N44</f>
        <v>2.9360000000000004</v>
      </c>
      <c r="R44" s="39"/>
      <c r="S44" s="38"/>
    </row>
    <row r="45" spans="1:19" s="60" customFormat="1" x14ac:dyDescent="0.25">
      <c r="A45" s="59"/>
      <c r="B45" s="78">
        <f>ROW(B45) - ROW($B$9)</f>
        <v>36</v>
      </c>
      <c r="C45" s="86" t="s">
        <v>444</v>
      </c>
      <c r="D45" s="79" t="s">
        <v>48</v>
      </c>
      <c r="E45" s="67" t="s">
        <v>134</v>
      </c>
      <c r="F45" s="68" t="s">
        <v>425</v>
      </c>
      <c r="G45" s="67" t="s">
        <v>268</v>
      </c>
      <c r="H45" s="68" t="s">
        <v>336</v>
      </c>
      <c r="I45" s="67" t="s">
        <v>436</v>
      </c>
      <c r="J45" s="68" t="s">
        <v>485</v>
      </c>
      <c r="K45" s="67" t="s">
        <v>436</v>
      </c>
      <c r="L45" s="68">
        <v>1</v>
      </c>
      <c r="M45" s="38">
        <f t="shared" si="1"/>
        <v>10</v>
      </c>
      <c r="N45" s="68">
        <v>15</v>
      </c>
      <c r="O45" s="69" t="s">
        <v>456</v>
      </c>
      <c r="P45" s="70">
        <v>0.1186</v>
      </c>
      <c r="Q45" s="71">
        <f>P45*N45</f>
        <v>1.7789999999999999</v>
      </c>
      <c r="R45" s="68"/>
      <c r="S45" s="67"/>
    </row>
    <row r="46" spans="1:19" s="60" customFormat="1" ht="36" x14ac:dyDescent="0.25">
      <c r="A46" s="59"/>
      <c r="B46" s="81">
        <f t="shared" si="0"/>
        <v>37</v>
      </c>
      <c r="C46" s="85" t="s">
        <v>445</v>
      </c>
      <c r="D46" s="82" t="s">
        <v>49</v>
      </c>
      <c r="E46" s="56" t="s">
        <v>135</v>
      </c>
      <c r="F46" s="39" t="s">
        <v>425</v>
      </c>
      <c r="G46" s="38" t="s">
        <v>215</v>
      </c>
      <c r="H46" s="39" t="s">
        <v>337</v>
      </c>
      <c r="I46" s="38" t="s">
        <v>436</v>
      </c>
      <c r="J46" s="39" t="s">
        <v>486</v>
      </c>
      <c r="K46" s="38" t="s">
        <v>436</v>
      </c>
      <c r="L46" s="39">
        <v>1</v>
      </c>
      <c r="M46" s="38">
        <f t="shared" si="1"/>
        <v>10</v>
      </c>
      <c r="N46" s="38">
        <v>15</v>
      </c>
      <c r="O46" s="57" t="s">
        <v>456</v>
      </c>
      <c r="P46" s="47">
        <v>0.3352</v>
      </c>
      <c r="Q46" s="40">
        <f t="shared" ref="Q46" si="18">P46*N46</f>
        <v>5.0279999999999996</v>
      </c>
      <c r="R46" s="39"/>
      <c r="S46" s="38"/>
    </row>
    <row r="47" spans="1:19" s="60" customFormat="1" x14ac:dyDescent="0.25">
      <c r="A47" s="59"/>
      <c r="B47" s="78">
        <f>ROW(B47) - ROW($B$9)</f>
        <v>38</v>
      </c>
      <c r="C47" s="87" t="s">
        <v>394</v>
      </c>
      <c r="D47" s="83" t="s">
        <v>50</v>
      </c>
      <c r="E47" s="72" t="s">
        <v>136</v>
      </c>
      <c r="F47" s="73" t="s">
        <v>425</v>
      </c>
      <c r="G47" s="72" t="s">
        <v>216</v>
      </c>
      <c r="H47" s="73" t="s">
        <v>436</v>
      </c>
      <c r="I47" s="72" t="s">
        <v>436</v>
      </c>
      <c r="J47" s="73" t="s">
        <v>436</v>
      </c>
      <c r="K47" s="72" t="s">
        <v>436</v>
      </c>
      <c r="L47" s="73">
        <v>2</v>
      </c>
      <c r="M47" s="38">
        <f t="shared" si="1"/>
        <v>20</v>
      </c>
      <c r="N47" s="73" t="s">
        <v>436</v>
      </c>
      <c r="O47" s="74" t="s">
        <v>436</v>
      </c>
      <c r="P47" s="75" t="s">
        <v>436</v>
      </c>
      <c r="Q47" s="76" t="s">
        <v>436</v>
      </c>
      <c r="R47" s="73"/>
      <c r="S47" s="72"/>
    </row>
    <row r="48" spans="1:19" s="60" customFormat="1" ht="24" x14ac:dyDescent="0.25">
      <c r="A48" s="59"/>
      <c r="B48" s="81">
        <f t="shared" si="0"/>
        <v>39</v>
      </c>
      <c r="C48" s="85" t="s">
        <v>438</v>
      </c>
      <c r="D48" s="82" t="s">
        <v>51</v>
      </c>
      <c r="E48" s="56" t="s">
        <v>137</v>
      </c>
      <c r="F48" s="39" t="s">
        <v>217</v>
      </c>
      <c r="G48" s="58">
        <v>61300311121</v>
      </c>
      <c r="H48" s="39" t="s">
        <v>338</v>
      </c>
      <c r="I48" s="38" t="s">
        <v>497</v>
      </c>
      <c r="J48" s="39" t="s">
        <v>497</v>
      </c>
      <c r="K48" s="38" t="s">
        <v>436</v>
      </c>
      <c r="L48" s="39">
        <v>2</v>
      </c>
      <c r="M48" s="38">
        <f t="shared" si="1"/>
        <v>20</v>
      </c>
      <c r="N48" s="38">
        <v>50</v>
      </c>
      <c r="O48" s="57" t="s">
        <v>456</v>
      </c>
      <c r="P48" s="47">
        <v>1.44E-2</v>
      </c>
      <c r="Q48" s="40">
        <f t="shared" ref="Q48" si="19">P48*N48</f>
        <v>0.72</v>
      </c>
      <c r="R48" s="39"/>
      <c r="S48" s="38"/>
    </row>
    <row r="49" spans="1:19" s="60" customFormat="1" ht="24" x14ac:dyDescent="0.25">
      <c r="A49" s="59"/>
      <c r="B49" s="78">
        <f>ROW(B49) - ROW($B$9)</f>
        <v>40</v>
      </c>
      <c r="C49" s="86" t="s">
        <v>438</v>
      </c>
      <c r="D49" s="79" t="s">
        <v>52</v>
      </c>
      <c r="E49" s="67" t="s">
        <v>138</v>
      </c>
      <c r="F49" s="68" t="s">
        <v>218</v>
      </c>
      <c r="G49" s="72">
        <v>61300611121</v>
      </c>
      <c r="H49" s="68" t="s">
        <v>338</v>
      </c>
      <c r="I49" s="67" t="s">
        <v>495</v>
      </c>
      <c r="J49" s="68" t="s">
        <v>487</v>
      </c>
      <c r="K49" s="67" t="s">
        <v>436</v>
      </c>
      <c r="L49" s="68">
        <v>4</v>
      </c>
      <c r="M49" s="38">
        <f t="shared" si="1"/>
        <v>40</v>
      </c>
      <c r="N49" s="68">
        <v>60</v>
      </c>
      <c r="O49" s="69" t="s">
        <v>456</v>
      </c>
      <c r="P49" s="70">
        <v>3.0800000000000001E-2</v>
      </c>
      <c r="Q49" s="71">
        <f>P49*N49</f>
        <v>1.8480000000000001</v>
      </c>
      <c r="R49" s="68"/>
      <c r="S49" s="67"/>
    </row>
    <row r="50" spans="1:19" s="60" customFormat="1" x14ac:dyDescent="0.25">
      <c r="A50" s="59"/>
      <c r="B50" s="81">
        <f t="shared" si="0"/>
        <v>41</v>
      </c>
      <c r="C50" s="85" t="s">
        <v>438</v>
      </c>
      <c r="D50" s="82" t="s">
        <v>53</v>
      </c>
      <c r="E50" s="56" t="s">
        <v>139</v>
      </c>
      <c r="F50" s="39" t="s">
        <v>219</v>
      </c>
      <c r="G50" s="58" t="s">
        <v>269</v>
      </c>
      <c r="H50" s="39" t="s">
        <v>339</v>
      </c>
      <c r="I50" s="38" t="s">
        <v>488</v>
      </c>
      <c r="J50" s="39" t="s">
        <v>488</v>
      </c>
      <c r="K50" s="38" t="s">
        <v>436</v>
      </c>
      <c r="L50" s="39">
        <v>1</v>
      </c>
      <c r="M50" s="38">
        <f t="shared" si="1"/>
        <v>10</v>
      </c>
      <c r="N50" s="38">
        <v>15</v>
      </c>
      <c r="O50" s="57" t="s">
        <v>456</v>
      </c>
      <c r="P50" s="47">
        <v>0.11509999999999999</v>
      </c>
      <c r="Q50" s="40">
        <f t="shared" ref="Q50" si="20">P50*N50</f>
        <v>1.7264999999999999</v>
      </c>
      <c r="R50" s="39"/>
      <c r="S50" s="38"/>
    </row>
    <row r="51" spans="1:19" s="60" customFormat="1" ht="24" x14ac:dyDescent="0.25">
      <c r="A51" s="59"/>
      <c r="B51" s="78">
        <f>ROW(B51) - ROW($B$9)</f>
        <v>42</v>
      </c>
      <c r="C51" s="86" t="s">
        <v>438</v>
      </c>
      <c r="D51" s="79" t="s">
        <v>54</v>
      </c>
      <c r="E51" s="67" t="s">
        <v>140</v>
      </c>
      <c r="F51" s="68" t="s">
        <v>220</v>
      </c>
      <c r="G51" s="72">
        <v>61300211121</v>
      </c>
      <c r="H51" s="68" t="s">
        <v>338</v>
      </c>
      <c r="I51" s="67" t="s">
        <v>564</v>
      </c>
      <c r="J51" s="68" t="s">
        <v>489</v>
      </c>
      <c r="K51" s="67" t="s">
        <v>436</v>
      </c>
      <c r="L51" s="68">
        <v>3</v>
      </c>
      <c r="M51" s="38">
        <f t="shared" si="1"/>
        <v>30</v>
      </c>
      <c r="N51" s="68">
        <v>50</v>
      </c>
      <c r="O51" s="69" t="s">
        <v>456</v>
      </c>
      <c r="P51" s="70">
        <v>1.37E-2</v>
      </c>
      <c r="Q51" s="71">
        <f>P51*N51</f>
        <v>0.68500000000000005</v>
      </c>
      <c r="R51" s="68"/>
      <c r="S51" s="67"/>
    </row>
    <row r="52" spans="1:19" s="60" customFormat="1" ht="24" x14ac:dyDescent="0.25">
      <c r="A52" s="59"/>
      <c r="B52" s="81">
        <f t="shared" si="0"/>
        <v>43</v>
      </c>
      <c r="C52" s="85" t="s">
        <v>438</v>
      </c>
      <c r="D52" s="82" t="s">
        <v>55</v>
      </c>
      <c r="E52" s="56" t="s">
        <v>141</v>
      </c>
      <c r="F52" s="39" t="s">
        <v>221</v>
      </c>
      <c r="G52" s="58">
        <v>61300411121</v>
      </c>
      <c r="H52" s="39" t="s">
        <v>338</v>
      </c>
      <c r="I52" s="38" t="s">
        <v>496</v>
      </c>
      <c r="J52" s="39" t="s">
        <v>490</v>
      </c>
      <c r="K52" s="38" t="s">
        <v>436</v>
      </c>
      <c r="L52" s="39">
        <v>1</v>
      </c>
      <c r="M52" s="38">
        <f t="shared" si="1"/>
        <v>10</v>
      </c>
      <c r="N52" s="38">
        <v>20</v>
      </c>
      <c r="O52" s="57" t="s">
        <v>456</v>
      </c>
      <c r="P52" s="47">
        <v>2.2100000000000002E-2</v>
      </c>
      <c r="Q52" s="40">
        <f t="shared" ref="Q52" si="21">P52*N52</f>
        <v>0.44200000000000006</v>
      </c>
      <c r="R52" s="39"/>
      <c r="S52" s="38"/>
    </row>
    <row r="53" spans="1:19" s="60" customFormat="1" ht="24" x14ac:dyDescent="0.25">
      <c r="A53" s="59"/>
      <c r="B53" s="78">
        <f>ROW(B53) - ROW($B$9)</f>
        <v>44</v>
      </c>
      <c r="C53" s="86" t="s">
        <v>13</v>
      </c>
      <c r="D53" s="79" t="s">
        <v>56</v>
      </c>
      <c r="E53" s="67" t="s">
        <v>142</v>
      </c>
      <c r="F53" s="68" t="s">
        <v>222</v>
      </c>
      <c r="G53" s="67" t="s">
        <v>270</v>
      </c>
      <c r="H53" s="68" t="s">
        <v>323</v>
      </c>
      <c r="I53" s="67" t="s">
        <v>436</v>
      </c>
      <c r="J53" s="68" t="s">
        <v>491</v>
      </c>
      <c r="K53" s="67" t="s">
        <v>436</v>
      </c>
      <c r="L53" s="68">
        <v>9</v>
      </c>
      <c r="M53" s="38">
        <f t="shared" si="1"/>
        <v>90</v>
      </c>
      <c r="N53" s="68">
        <v>92</v>
      </c>
      <c r="O53" s="69" t="s">
        <v>456</v>
      </c>
      <c r="P53" s="70">
        <v>0.31269999999999998</v>
      </c>
      <c r="Q53" s="71">
        <f>P53*N53</f>
        <v>28.7684</v>
      </c>
      <c r="R53" s="68"/>
      <c r="S53" s="67"/>
    </row>
    <row r="54" spans="1:19" s="60" customFormat="1" ht="24" x14ac:dyDescent="0.25">
      <c r="A54" s="59"/>
      <c r="B54" s="81">
        <f t="shared" si="0"/>
        <v>45</v>
      </c>
      <c r="C54" s="85" t="s">
        <v>13</v>
      </c>
      <c r="D54" s="82" t="s">
        <v>57</v>
      </c>
      <c r="E54" s="56" t="s">
        <v>143</v>
      </c>
      <c r="F54" s="39" t="s">
        <v>223</v>
      </c>
      <c r="G54" s="38" t="s">
        <v>271</v>
      </c>
      <c r="H54" s="39" t="s">
        <v>340</v>
      </c>
      <c r="I54" s="38" t="s">
        <v>436</v>
      </c>
      <c r="J54" s="39" t="s">
        <v>492</v>
      </c>
      <c r="K54" s="38" t="s">
        <v>436</v>
      </c>
      <c r="L54" s="39">
        <v>1</v>
      </c>
      <c r="M54" s="38">
        <f t="shared" si="1"/>
        <v>10</v>
      </c>
      <c r="N54" s="38">
        <v>15</v>
      </c>
      <c r="O54" s="57" t="s">
        <v>456</v>
      </c>
      <c r="P54" s="47">
        <v>7.3599999999999999E-2</v>
      </c>
      <c r="Q54" s="40">
        <f t="shared" ref="Q54" si="22">P54*N54</f>
        <v>1.1040000000000001</v>
      </c>
      <c r="R54" s="39"/>
      <c r="S54" s="38"/>
    </row>
    <row r="55" spans="1:19" s="60" customFormat="1" x14ac:dyDescent="0.25">
      <c r="A55" s="59"/>
      <c r="B55" s="78">
        <f>ROW(B55) - ROW($B$9)</f>
        <v>46</v>
      </c>
      <c r="C55" s="86" t="s">
        <v>13</v>
      </c>
      <c r="D55" s="79" t="s">
        <v>58</v>
      </c>
      <c r="E55" s="67" t="s">
        <v>144</v>
      </c>
      <c r="F55" s="68" t="s">
        <v>224</v>
      </c>
      <c r="G55" s="67" t="s">
        <v>272</v>
      </c>
      <c r="H55" s="68" t="s">
        <v>341</v>
      </c>
      <c r="I55" s="67" t="s">
        <v>436</v>
      </c>
      <c r="J55" s="68" t="s">
        <v>436</v>
      </c>
      <c r="K55" s="67" t="s">
        <v>436</v>
      </c>
      <c r="L55" s="68">
        <v>2</v>
      </c>
      <c r="M55" s="38">
        <f t="shared" si="1"/>
        <v>20</v>
      </c>
      <c r="N55" s="68">
        <v>21</v>
      </c>
      <c r="O55" s="69" t="s">
        <v>456</v>
      </c>
      <c r="P55" s="70">
        <v>0.80349999999999999</v>
      </c>
      <c r="Q55" s="71">
        <f>P55*N55</f>
        <v>16.8735</v>
      </c>
      <c r="R55" s="68"/>
      <c r="S55" s="67"/>
    </row>
    <row r="56" spans="1:19" s="60" customFormat="1" ht="24" x14ac:dyDescent="0.25">
      <c r="A56" s="59"/>
      <c r="B56" s="81">
        <f t="shared" si="0"/>
        <v>47</v>
      </c>
      <c r="C56" s="85" t="s">
        <v>13</v>
      </c>
      <c r="D56" s="82" t="s">
        <v>59</v>
      </c>
      <c r="E56" s="56" t="s">
        <v>145</v>
      </c>
      <c r="F56" s="39" t="s">
        <v>223</v>
      </c>
      <c r="G56" s="38" t="s">
        <v>273</v>
      </c>
      <c r="H56" s="39" t="s">
        <v>340</v>
      </c>
      <c r="I56" s="38" t="s">
        <v>436</v>
      </c>
      <c r="J56" s="39" t="s">
        <v>493</v>
      </c>
      <c r="K56" s="38" t="s">
        <v>436</v>
      </c>
      <c r="L56" s="39">
        <v>2</v>
      </c>
      <c r="M56" s="38">
        <f t="shared" si="1"/>
        <v>20</v>
      </c>
      <c r="N56" s="38">
        <v>25</v>
      </c>
      <c r="O56" s="57" t="s">
        <v>456</v>
      </c>
      <c r="P56" s="47">
        <v>0.1227</v>
      </c>
      <c r="Q56" s="40">
        <f t="shared" ref="Q56" si="23">P56*N56</f>
        <v>3.0674999999999999</v>
      </c>
      <c r="R56" s="39"/>
      <c r="S56" s="38"/>
    </row>
    <row r="57" spans="1:19" s="60" customFormat="1" ht="24" x14ac:dyDescent="0.25">
      <c r="A57" s="59"/>
      <c r="B57" s="78">
        <f>ROW(B57) - ROW($B$9)</f>
        <v>48</v>
      </c>
      <c r="C57" s="86" t="s">
        <v>13</v>
      </c>
      <c r="D57" s="79" t="s">
        <v>60</v>
      </c>
      <c r="E57" s="67" t="s">
        <v>146</v>
      </c>
      <c r="F57" s="68" t="s">
        <v>223</v>
      </c>
      <c r="G57" s="67" t="s">
        <v>274</v>
      </c>
      <c r="H57" s="68" t="s">
        <v>323</v>
      </c>
      <c r="I57" s="67" t="s">
        <v>436</v>
      </c>
      <c r="J57" s="68" t="s">
        <v>368</v>
      </c>
      <c r="K57" s="67" t="s">
        <v>436</v>
      </c>
      <c r="L57" s="68">
        <v>6</v>
      </c>
      <c r="M57" s="38">
        <f t="shared" si="1"/>
        <v>60</v>
      </c>
      <c r="N57" s="68">
        <v>80</v>
      </c>
      <c r="O57" s="69" t="s">
        <v>456</v>
      </c>
      <c r="P57" s="70">
        <v>3.49E-2</v>
      </c>
      <c r="Q57" s="71">
        <f>P57*N57</f>
        <v>2.7919999999999998</v>
      </c>
      <c r="R57" s="68"/>
      <c r="S57" s="67"/>
    </row>
    <row r="58" spans="1:19" s="60" customFormat="1" ht="24" x14ac:dyDescent="0.25">
      <c r="A58" s="59"/>
      <c r="B58" s="81">
        <f t="shared" si="0"/>
        <v>49</v>
      </c>
      <c r="C58" s="85" t="s">
        <v>13</v>
      </c>
      <c r="D58" s="82" t="s">
        <v>61</v>
      </c>
      <c r="E58" s="56" t="s">
        <v>147</v>
      </c>
      <c r="F58" s="39" t="s">
        <v>223</v>
      </c>
      <c r="G58" s="38" t="s">
        <v>275</v>
      </c>
      <c r="H58" s="39" t="s">
        <v>342</v>
      </c>
      <c r="I58" s="38" t="s">
        <v>436</v>
      </c>
      <c r="J58" s="39" t="s">
        <v>498</v>
      </c>
      <c r="K58" s="38" t="s">
        <v>436</v>
      </c>
      <c r="L58" s="39">
        <v>10</v>
      </c>
      <c r="M58" s="38">
        <f t="shared" si="1"/>
        <v>100</v>
      </c>
      <c r="N58" s="38">
        <v>120</v>
      </c>
      <c r="O58" s="57" t="s">
        <v>456</v>
      </c>
      <c r="P58" s="47">
        <v>1.9199999999999998E-2</v>
      </c>
      <c r="Q58" s="40">
        <f t="shared" ref="Q58" si="24">P58*N58</f>
        <v>2.3039999999999998</v>
      </c>
      <c r="R58" s="39"/>
      <c r="S58" s="38"/>
    </row>
    <row r="59" spans="1:19" s="60" customFormat="1" ht="24" x14ac:dyDescent="0.25">
      <c r="A59" s="59"/>
      <c r="B59" s="78">
        <f>ROW(B59) - ROW($B$9)</f>
        <v>50</v>
      </c>
      <c r="C59" s="86" t="s">
        <v>13</v>
      </c>
      <c r="D59" s="79" t="s">
        <v>62</v>
      </c>
      <c r="E59" s="67" t="s">
        <v>148</v>
      </c>
      <c r="F59" s="68" t="s">
        <v>223</v>
      </c>
      <c r="G59" s="67" t="s">
        <v>276</v>
      </c>
      <c r="H59" s="68" t="s">
        <v>342</v>
      </c>
      <c r="I59" s="67" t="s">
        <v>436</v>
      </c>
      <c r="J59" s="68" t="s">
        <v>499</v>
      </c>
      <c r="K59" s="67" t="s">
        <v>436</v>
      </c>
      <c r="L59" s="68">
        <v>2</v>
      </c>
      <c r="M59" s="38">
        <f t="shared" si="1"/>
        <v>20</v>
      </c>
      <c r="N59" s="68">
        <v>40</v>
      </c>
      <c r="O59" s="69" t="s">
        <v>456</v>
      </c>
      <c r="P59" s="70">
        <v>2.3900000000000001E-2</v>
      </c>
      <c r="Q59" s="71">
        <f>P59*N59</f>
        <v>0.95600000000000007</v>
      </c>
      <c r="R59" s="68"/>
      <c r="S59" s="67"/>
    </row>
    <row r="60" spans="1:19" s="60" customFormat="1" ht="24" x14ac:dyDescent="0.25">
      <c r="A60" s="59"/>
      <c r="B60" s="81">
        <f t="shared" si="0"/>
        <v>51</v>
      </c>
      <c r="C60" s="85" t="s">
        <v>13</v>
      </c>
      <c r="D60" s="82" t="s">
        <v>63</v>
      </c>
      <c r="E60" s="56" t="s">
        <v>149</v>
      </c>
      <c r="F60" s="39" t="s">
        <v>223</v>
      </c>
      <c r="G60" s="38" t="s">
        <v>277</v>
      </c>
      <c r="H60" s="39" t="s">
        <v>321</v>
      </c>
      <c r="I60" s="38" t="s">
        <v>436</v>
      </c>
      <c r="J60" s="39" t="s">
        <v>500</v>
      </c>
      <c r="K60" s="38" t="s">
        <v>436</v>
      </c>
      <c r="L60" s="39">
        <v>3</v>
      </c>
      <c r="M60" s="38">
        <f t="shared" si="1"/>
        <v>30</v>
      </c>
      <c r="N60" s="38">
        <v>40</v>
      </c>
      <c r="O60" s="57" t="s">
        <v>456</v>
      </c>
      <c r="P60" s="47">
        <v>2.9700000000000001E-2</v>
      </c>
      <c r="Q60" s="40">
        <f t="shared" ref="Q60" si="25">P60*N60</f>
        <v>1.1879999999999999</v>
      </c>
      <c r="R60" s="39"/>
      <c r="S60" s="38"/>
    </row>
    <row r="61" spans="1:19" s="60" customFormat="1" ht="36" x14ac:dyDescent="0.25">
      <c r="A61" s="59"/>
      <c r="B61" s="78">
        <f>ROW(B61) - ROW($B$9)</f>
        <v>52</v>
      </c>
      <c r="C61" s="86" t="s">
        <v>13</v>
      </c>
      <c r="D61" s="79" t="s">
        <v>64</v>
      </c>
      <c r="E61" s="67" t="s">
        <v>150</v>
      </c>
      <c r="F61" s="68" t="s">
        <v>440</v>
      </c>
      <c r="G61" s="67" t="s">
        <v>225</v>
      </c>
      <c r="H61" s="68" t="s">
        <v>343</v>
      </c>
      <c r="I61" s="67" t="s">
        <v>436</v>
      </c>
      <c r="J61" s="68" t="s">
        <v>501</v>
      </c>
      <c r="K61" s="67" t="s">
        <v>436</v>
      </c>
      <c r="L61" s="68">
        <v>1</v>
      </c>
      <c r="M61" s="38">
        <f t="shared" si="1"/>
        <v>10</v>
      </c>
      <c r="N61" s="68">
        <v>15</v>
      </c>
      <c r="O61" s="69" t="s">
        <v>456</v>
      </c>
      <c r="P61" s="70">
        <v>0.32490000000000002</v>
      </c>
      <c r="Q61" s="71">
        <f>P61*N61</f>
        <v>4.8734999999999999</v>
      </c>
      <c r="R61" s="68"/>
      <c r="S61" s="67"/>
    </row>
    <row r="62" spans="1:19" s="60" customFormat="1" ht="36" x14ac:dyDescent="0.25">
      <c r="A62" s="59"/>
      <c r="B62" s="81">
        <f t="shared" si="0"/>
        <v>53</v>
      </c>
      <c r="C62" s="85" t="s">
        <v>13</v>
      </c>
      <c r="D62" s="82" t="s">
        <v>65</v>
      </c>
      <c r="E62" s="56" t="s">
        <v>151</v>
      </c>
      <c r="F62" s="39" t="s">
        <v>223</v>
      </c>
      <c r="G62" s="38" t="s">
        <v>278</v>
      </c>
      <c r="H62" s="39" t="s">
        <v>344</v>
      </c>
      <c r="I62" s="38" t="s">
        <v>436</v>
      </c>
      <c r="J62" s="39" t="s">
        <v>369</v>
      </c>
      <c r="K62" s="38" t="s">
        <v>436</v>
      </c>
      <c r="L62" s="39">
        <v>1</v>
      </c>
      <c r="M62" s="38">
        <f t="shared" si="1"/>
        <v>10</v>
      </c>
      <c r="N62" s="38">
        <v>20</v>
      </c>
      <c r="O62" s="57" t="s">
        <v>456</v>
      </c>
      <c r="P62" s="47">
        <v>4.6899999999999997E-2</v>
      </c>
      <c r="Q62" s="40">
        <f t="shared" ref="Q62" si="26">P62*N62</f>
        <v>0.93799999999999994</v>
      </c>
      <c r="R62" s="39"/>
      <c r="S62" s="38"/>
    </row>
    <row r="63" spans="1:19" s="60" customFormat="1" ht="36" x14ac:dyDescent="0.25">
      <c r="A63" s="59"/>
      <c r="B63" s="78">
        <f>ROW(B63) - ROW($B$9)</f>
        <v>54</v>
      </c>
      <c r="C63" s="86" t="s">
        <v>14</v>
      </c>
      <c r="D63" s="79" t="s">
        <v>66</v>
      </c>
      <c r="E63" s="67" t="s">
        <v>152</v>
      </c>
      <c r="F63" s="68" t="s">
        <v>226</v>
      </c>
      <c r="G63" s="67" t="s">
        <v>279</v>
      </c>
      <c r="H63" s="68" t="s">
        <v>315</v>
      </c>
      <c r="I63" s="67" t="s">
        <v>436</v>
      </c>
      <c r="J63" s="68" t="s">
        <v>502</v>
      </c>
      <c r="K63" s="67" t="s">
        <v>395</v>
      </c>
      <c r="L63" s="68">
        <v>1</v>
      </c>
      <c r="M63" s="38">
        <f t="shared" si="1"/>
        <v>10</v>
      </c>
      <c r="N63" s="68">
        <v>100</v>
      </c>
      <c r="O63" s="69" t="s">
        <v>456</v>
      </c>
      <c r="P63" s="70">
        <v>2E-3</v>
      </c>
      <c r="Q63" s="71">
        <f>P63*N63</f>
        <v>0.2</v>
      </c>
      <c r="R63" s="68"/>
      <c r="S63" s="67"/>
    </row>
    <row r="64" spans="1:19" s="60" customFormat="1" x14ac:dyDescent="0.25">
      <c r="A64" s="59"/>
      <c r="B64" s="81">
        <f t="shared" si="0"/>
        <v>55</v>
      </c>
      <c r="C64" s="85" t="s">
        <v>14</v>
      </c>
      <c r="D64" s="82" t="s">
        <v>67</v>
      </c>
      <c r="E64" s="56" t="s">
        <v>153</v>
      </c>
      <c r="F64" s="39" t="s">
        <v>226</v>
      </c>
      <c r="G64" s="38" t="s">
        <v>280</v>
      </c>
      <c r="H64" s="39" t="s">
        <v>315</v>
      </c>
      <c r="I64" s="38" t="s">
        <v>436</v>
      </c>
      <c r="J64" s="39" t="s">
        <v>503</v>
      </c>
      <c r="K64" s="38" t="s">
        <v>396</v>
      </c>
      <c r="L64" s="39">
        <v>1</v>
      </c>
      <c r="M64" s="38">
        <f t="shared" si="1"/>
        <v>10</v>
      </c>
      <c r="N64" s="38">
        <v>100</v>
      </c>
      <c r="O64" s="57" t="s">
        <v>456</v>
      </c>
      <c r="P64" s="47">
        <v>1.1999999999999999E-3</v>
      </c>
      <c r="Q64" s="40">
        <f t="shared" ref="Q64" si="27">P64*N64</f>
        <v>0.12</v>
      </c>
      <c r="R64" s="39"/>
      <c r="S64" s="38"/>
    </row>
    <row r="65" spans="1:19" s="60" customFormat="1" ht="48" x14ac:dyDescent="0.25">
      <c r="A65" s="59"/>
      <c r="B65" s="78">
        <f>ROW(B65) - ROW($B$9)</f>
        <v>56</v>
      </c>
      <c r="C65" s="86" t="s">
        <v>14</v>
      </c>
      <c r="D65" s="79" t="s">
        <v>68</v>
      </c>
      <c r="E65" s="67" t="s">
        <v>154</v>
      </c>
      <c r="F65" s="68" t="s">
        <v>226</v>
      </c>
      <c r="G65" s="67" t="s">
        <v>435</v>
      </c>
      <c r="H65" s="68" t="s">
        <v>345</v>
      </c>
      <c r="I65" s="67" t="s">
        <v>436</v>
      </c>
      <c r="J65" s="68" t="s">
        <v>504</v>
      </c>
      <c r="K65" s="67" t="s">
        <v>397</v>
      </c>
      <c r="L65" s="68">
        <v>1</v>
      </c>
      <c r="M65" s="38">
        <f t="shared" si="1"/>
        <v>10</v>
      </c>
      <c r="N65" s="68">
        <v>50</v>
      </c>
      <c r="O65" s="69" t="s">
        <v>456</v>
      </c>
      <c r="P65" s="70">
        <v>3.8E-3</v>
      </c>
      <c r="Q65" s="71">
        <f>P65*N65</f>
        <v>0.19</v>
      </c>
      <c r="R65" s="68"/>
      <c r="S65" s="67"/>
    </row>
    <row r="66" spans="1:19" s="60" customFormat="1" ht="24" x14ac:dyDescent="0.25">
      <c r="A66" s="59"/>
      <c r="B66" s="78">
        <f>ROW(B66) - ROW($B$9)</f>
        <v>57</v>
      </c>
      <c r="C66" s="85" t="s">
        <v>14</v>
      </c>
      <c r="D66" s="82" t="s">
        <v>454</v>
      </c>
      <c r="E66" s="56" t="s">
        <v>541</v>
      </c>
      <c r="F66" s="39" t="s">
        <v>227</v>
      </c>
      <c r="G66" s="38" t="s">
        <v>281</v>
      </c>
      <c r="H66" s="39" t="s">
        <v>315</v>
      </c>
      <c r="I66" s="38" t="s">
        <v>436</v>
      </c>
      <c r="J66" s="39" t="s">
        <v>375</v>
      </c>
      <c r="K66" s="38" t="s">
        <v>399</v>
      </c>
      <c r="L66" s="39">
        <v>15</v>
      </c>
      <c r="M66" s="38">
        <f t="shared" si="1"/>
        <v>150</v>
      </c>
      <c r="N66" s="38">
        <v>200</v>
      </c>
      <c r="O66" s="57" t="s">
        <v>456</v>
      </c>
      <c r="P66" s="47">
        <v>1.1999999999999999E-3</v>
      </c>
      <c r="Q66" s="40">
        <f>P66*N66</f>
        <v>0.24</v>
      </c>
      <c r="R66" s="39"/>
      <c r="S66" s="38"/>
    </row>
    <row r="67" spans="1:19" s="60" customFormat="1" ht="24" x14ac:dyDescent="0.25">
      <c r="A67" s="59"/>
      <c r="B67" s="81">
        <f t="shared" si="0"/>
        <v>58</v>
      </c>
      <c r="C67" s="86" t="s">
        <v>14</v>
      </c>
      <c r="D67" s="79" t="s">
        <v>69</v>
      </c>
      <c r="E67" s="67" t="s">
        <v>155</v>
      </c>
      <c r="F67" s="68" t="s">
        <v>226</v>
      </c>
      <c r="G67" s="67" t="s">
        <v>282</v>
      </c>
      <c r="H67" s="68" t="s">
        <v>315</v>
      </c>
      <c r="I67" s="67" t="s">
        <v>436</v>
      </c>
      <c r="J67" s="68" t="s">
        <v>505</v>
      </c>
      <c r="K67" s="67" t="s">
        <v>400</v>
      </c>
      <c r="L67" s="68">
        <v>2</v>
      </c>
      <c r="M67" s="38">
        <f t="shared" si="1"/>
        <v>20</v>
      </c>
      <c r="N67" s="68">
        <v>100</v>
      </c>
      <c r="O67" s="69" t="s">
        <v>456</v>
      </c>
      <c r="P67" s="70">
        <v>1.5E-3</v>
      </c>
      <c r="Q67" s="71">
        <f t="shared" ref="Q67" si="28">P67*N67</f>
        <v>0.15</v>
      </c>
      <c r="R67" s="68"/>
      <c r="S67" s="67"/>
    </row>
    <row r="68" spans="1:19" s="60" customFormat="1" ht="48" x14ac:dyDescent="0.25">
      <c r="A68" s="59"/>
      <c r="B68" s="78">
        <f>ROW(B68) - ROW($B$9)</f>
        <v>59</v>
      </c>
      <c r="C68" s="85" t="s">
        <v>14</v>
      </c>
      <c r="D68" s="82" t="s">
        <v>70</v>
      </c>
      <c r="E68" s="56" t="s">
        <v>156</v>
      </c>
      <c r="F68" s="39" t="s">
        <v>226</v>
      </c>
      <c r="G68" s="38" t="s">
        <v>283</v>
      </c>
      <c r="H68" s="39" t="s">
        <v>346</v>
      </c>
      <c r="I68" s="38" t="s">
        <v>436</v>
      </c>
      <c r="J68" s="39" t="s">
        <v>506</v>
      </c>
      <c r="K68" s="38" t="s">
        <v>401</v>
      </c>
      <c r="L68" s="39">
        <v>1</v>
      </c>
      <c r="M68" s="38">
        <f t="shared" si="1"/>
        <v>10</v>
      </c>
      <c r="N68" s="38">
        <v>100</v>
      </c>
      <c r="O68" s="57" t="s">
        <v>456</v>
      </c>
      <c r="P68" s="47">
        <v>1.6999999999999999E-3</v>
      </c>
      <c r="Q68" s="40">
        <f>P68*N68</f>
        <v>0.16999999999999998</v>
      </c>
      <c r="R68" s="39"/>
      <c r="S68" s="38"/>
    </row>
    <row r="69" spans="1:19" s="60" customFormat="1" ht="36" x14ac:dyDescent="0.25">
      <c r="A69" s="59"/>
      <c r="B69" s="81">
        <f t="shared" si="0"/>
        <v>60</v>
      </c>
      <c r="C69" s="86" t="s">
        <v>14</v>
      </c>
      <c r="D69" s="79" t="s">
        <v>448</v>
      </c>
      <c r="E69" s="67" t="s">
        <v>157</v>
      </c>
      <c r="F69" s="68" t="s">
        <v>227</v>
      </c>
      <c r="G69" s="67" t="s">
        <v>284</v>
      </c>
      <c r="H69" s="68" t="s">
        <v>315</v>
      </c>
      <c r="I69" s="67" t="s">
        <v>436</v>
      </c>
      <c r="J69" s="68" t="s">
        <v>370</v>
      </c>
      <c r="K69" s="67" t="s">
        <v>398</v>
      </c>
      <c r="L69" s="68">
        <v>20</v>
      </c>
      <c r="M69" s="38">
        <f t="shared" si="1"/>
        <v>200</v>
      </c>
      <c r="N69" s="68">
        <v>300</v>
      </c>
      <c r="O69" s="69" t="s">
        <v>456</v>
      </c>
      <c r="P69" s="70">
        <v>1E-3</v>
      </c>
      <c r="Q69" s="71">
        <f t="shared" ref="Q69" si="29">P69*N69</f>
        <v>0.3</v>
      </c>
      <c r="R69" s="68"/>
      <c r="S69" s="67"/>
    </row>
    <row r="70" spans="1:19" s="60" customFormat="1" x14ac:dyDescent="0.25">
      <c r="A70" s="59"/>
      <c r="B70" s="78">
        <f>ROW(B70) - ROW($B$9)</f>
        <v>61</v>
      </c>
      <c r="C70" s="85" t="s">
        <v>14</v>
      </c>
      <c r="D70" s="82" t="s">
        <v>71</v>
      </c>
      <c r="E70" s="56" t="s">
        <v>158</v>
      </c>
      <c r="F70" s="39" t="s">
        <v>227</v>
      </c>
      <c r="G70" s="38" t="s">
        <v>285</v>
      </c>
      <c r="H70" s="39" t="s">
        <v>315</v>
      </c>
      <c r="I70" s="38" t="s">
        <v>436</v>
      </c>
      <c r="J70" s="39" t="s">
        <v>526</v>
      </c>
      <c r="K70" s="38" t="s">
        <v>402</v>
      </c>
      <c r="L70" s="39">
        <v>1</v>
      </c>
      <c r="M70" s="38">
        <f t="shared" si="1"/>
        <v>10</v>
      </c>
      <c r="N70" s="38">
        <v>100</v>
      </c>
      <c r="O70" s="57" t="s">
        <v>456</v>
      </c>
      <c r="P70" s="47">
        <v>1.2999999999999999E-3</v>
      </c>
      <c r="Q70" s="40">
        <f>P70*N70</f>
        <v>0.13</v>
      </c>
      <c r="R70" s="39"/>
      <c r="S70" s="38"/>
    </row>
    <row r="71" spans="1:19" s="60" customFormat="1" ht="24" x14ac:dyDescent="0.25">
      <c r="A71" s="59"/>
      <c r="B71" s="81">
        <f t="shared" si="0"/>
        <v>62</v>
      </c>
      <c r="C71" s="86" t="s">
        <v>14</v>
      </c>
      <c r="D71" s="79" t="s">
        <v>72</v>
      </c>
      <c r="E71" s="67" t="s">
        <v>159</v>
      </c>
      <c r="F71" s="68" t="s">
        <v>226</v>
      </c>
      <c r="G71" s="67" t="s">
        <v>286</v>
      </c>
      <c r="H71" s="68" t="s">
        <v>315</v>
      </c>
      <c r="I71" s="67" t="s">
        <v>436</v>
      </c>
      <c r="J71" s="68" t="s">
        <v>507</v>
      </c>
      <c r="K71" s="67" t="s">
        <v>403</v>
      </c>
      <c r="L71" s="68">
        <v>3</v>
      </c>
      <c r="M71" s="38">
        <f t="shared" si="1"/>
        <v>30</v>
      </c>
      <c r="N71" s="68">
        <v>100</v>
      </c>
      <c r="O71" s="69" t="s">
        <v>456</v>
      </c>
      <c r="P71" s="70">
        <v>1.1999999999999999E-3</v>
      </c>
      <c r="Q71" s="71">
        <f t="shared" ref="Q71" si="30">P71*N71</f>
        <v>0.12</v>
      </c>
      <c r="R71" s="68"/>
      <c r="S71" s="67"/>
    </row>
    <row r="72" spans="1:19" s="60" customFormat="1" ht="24" x14ac:dyDescent="0.25">
      <c r="A72" s="59"/>
      <c r="B72" s="78">
        <f>ROW(B72) - ROW($B$9)</f>
        <v>63</v>
      </c>
      <c r="C72" s="85" t="s">
        <v>14</v>
      </c>
      <c r="D72" s="82" t="s">
        <v>453</v>
      </c>
      <c r="E72" s="56" t="s">
        <v>160</v>
      </c>
      <c r="F72" s="39" t="s">
        <v>226</v>
      </c>
      <c r="G72" s="38" t="s">
        <v>287</v>
      </c>
      <c r="H72" s="39" t="s">
        <v>347</v>
      </c>
      <c r="I72" s="38" t="s">
        <v>436</v>
      </c>
      <c r="J72" s="39" t="s">
        <v>508</v>
      </c>
      <c r="K72" s="38" t="s">
        <v>404</v>
      </c>
      <c r="L72" s="39">
        <v>8</v>
      </c>
      <c r="M72" s="38">
        <f t="shared" si="1"/>
        <v>80</v>
      </c>
      <c r="N72" s="38">
        <v>100</v>
      </c>
      <c r="O72" s="57" t="s">
        <v>456</v>
      </c>
      <c r="P72" s="47">
        <v>1.1999999999999999E-3</v>
      </c>
      <c r="Q72" s="40">
        <f>P72*N72</f>
        <v>0.12</v>
      </c>
      <c r="R72" s="39"/>
      <c r="S72" s="38"/>
    </row>
    <row r="73" spans="1:19" s="60" customFormat="1" x14ac:dyDescent="0.25">
      <c r="A73" s="59"/>
      <c r="B73" s="81">
        <f t="shared" si="0"/>
        <v>64</v>
      </c>
      <c r="C73" s="86" t="s">
        <v>14</v>
      </c>
      <c r="D73" s="79" t="s">
        <v>73</v>
      </c>
      <c r="E73" s="67" t="s">
        <v>161</v>
      </c>
      <c r="F73" s="68" t="s">
        <v>226</v>
      </c>
      <c r="G73" s="67" t="s">
        <v>288</v>
      </c>
      <c r="H73" s="68" t="s">
        <v>315</v>
      </c>
      <c r="I73" s="67" t="s">
        <v>436</v>
      </c>
      <c r="J73" s="68" t="s">
        <v>527</v>
      </c>
      <c r="K73" s="67" t="s">
        <v>405</v>
      </c>
      <c r="L73" s="68">
        <v>2</v>
      </c>
      <c r="M73" s="38">
        <f t="shared" si="1"/>
        <v>20</v>
      </c>
      <c r="N73" s="68">
        <v>100</v>
      </c>
      <c r="O73" s="69" t="s">
        <v>456</v>
      </c>
      <c r="P73" s="70">
        <v>1.1999999999999999E-3</v>
      </c>
      <c r="Q73" s="71">
        <f t="shared" ref="Q73" si="31">P73*N73</f>
        <v>0.12</v>
      </c>
      <c r="R73" s="68"/>
      <c r="S73" s="67"/>
    </row>
    <row r="74" spans="1:19" s="60" customFormat="1" ht="24" x14ac:dyDescent="0.25">
      <c r="A74" s="59"/>
      <c r="B74" s="78">
        <f>ROW(B74) - ROW($B$9)</f>
        <v>65</v>
      </c>
      <c r="C74" s="85" t="s">
        <v>14</v>
      </c>
      <c r="D74" s="82" t="s">
        <v>450</v>
      </c>
      <c r="E74" s="56" t="s">
        <v>162</v>
      </c>
      <c r="F74" s="39" t="s">
        <v>226</v>
      </c>
      <c r="G74" s="38" t="s">
        <v>289</v>
      </c>
      <c r="H74" s="39" t="s">
        <v>315</v>
      </c>
      <c r="I74" s="38" t="s">
        <v>436</v>
      </c>
      <c r="J74" s="39" t="s">
        <v>509</v>
      </c>
      <c r="K74" s="38" t="s">
        <v>406</v>
      </c>
      <c r="L74" s="39">
        <v>13</v>
      </c>
      <c r="M74" s="38">
        <f t="shared" si="1"/>
        <v>130</v>
      </c>
      <c r="N74" s="38">
        <v>200</v>
      </c>
      <c r="O74" s="57" t="s">
        <v>456</v>
      </c>
      <c r="P74" s="47">
        <v>1E-3</v>
      </c>
      <c r="Q74" s="40">
        <f>P74*N74</f>
        <v>0.2</v>
      </c>
      <c r="R74" s="39"/>
      <c r="S74" s="38"/>
    </row>
    <row r="75" spans="1:19" s="60" customFormat="1" ht="24" x14ac:dyDescent="0.25">
      <c r="A75" s="59"/>
      <c r="B75" s="81">
        <f t="shared" si="0"/>
        <v>66</v>
      </c>
      <c r="C75" s="86" t="s">
        <v>14</v>
      </c>
      <c r="D75" s="79" t="s">
        <v>542</v>
      </c>
      <c r="E75" s="67" t="s">
        <v>163</v>
      </c>
      <c r="F75" s="68" t="s">
        <v>227</v>
      </c>
      <c r="G75" s="67" t="s">
        <v>290</v>
      </c>
      <c r="H75" s="68" t="s">
        <v>315</v>
      </c>
      <c r="I75" s="67" t="s">
        <v>436</v>
      </c>
      <c r="J75" s="68" t="s">
        <v>528</v>
      </c>
      <c r="K75" s="67" t="s">
        <v>408</v>
      </c>
      <c r="L75" s="68">
        <v>2</v>
      </c>
      <c r="M75" s="38">
        <f t="shared" ref="M75:M112" si="32">L75*10</f>
        <v>20</v>
      </c>
      <c r="N75" s="68">
        <v>40</v>
      </c>
      <c r="O75" s="69" t="s">
        <v>456</v>
      </c>
      <c r="P75" s="70">
        <v>2.92E-2</v>
      </c>
      <c r="Q75" s="71">
        <f t="shared" ref="Q75" si="33">P75*N75</f>
        <v>1.1679999999999999</v>
      </c>
      <c r="R75" s="68"/>
      <c r="S75" s="67"/>
    </row>
    <row r="76" spans="1:19" s="60" customFormat="1" ht="24" x14ac:dyDescent="0.25">
      <c r="A76" s="59"/>
      <c r="B76" s="78">
        <f>ROW(B76) - ROW($B$9)</f>
        <v>67</v>
      </c>
      <c r="C76" s="85" t="s">
        <v>14</v>
      </c>
      <c r="D76" s="82" t="s">
        <v>74</v>
      </c>
      <c r="E76" s="56" t="s">
        <v>164</v>
      </c>
      <c r="F76" s="39" t="s">
        <v>227</v>
      </c>
      <c r="G76" s="38" t="s">
        <v>291</v>
      </c>
      <c r="H76" s="39" t="s">
        <v>315</v>
      </c>
      <c r="I76" s="38" t="s">
        <v>436</v>
      </c>
      <c r="J76" s="39" t="s">
        <v>529</v>
      </c>
      <c r="K76" s="38" t="s">
        <v>409</v>
      </c>
      <c r="L76" s="39">
        <v>1</v>
      </c>
      <c r="M76" s="38">
        <f t="shared" si="32"/>
        <v>10</v>
      </c>
      <c r="N76" s="38">
        <v>20</v>
      </c>
      <c r="O76" s="57" t="s">
        <v>456</v>
      </c>
      <c r="P76" s="47">
        <v>0.03</v>
      </c>
      <c r="Q76" s="40">
        <f>P76*N76</f>
        <v>0.6</v>
      </c>
      <c r="R76" s="39"/>
      <c r="S76" s="38"/>
    </row>
    <row r="77" spans="1:19" s="60" customFormat="1" x14ac:dyDescent="0.25">
      <c r="A77" s="59"/>
      <c r="B77" s="81">
        <f t="shared" si="0"/>
        <v>68</v>
      </c>
      <c r="C77" s="86" t="s">
        <v>14</v>
      </c>
      <c r="D77" s="79" t="s">
        <v>451</v>
      </c>
      <c r="E77" s="67" t="s">
        <v>165</v>
      </c>
      <c r="F77" s="68" t="s">
        <v>226</v>
      </c>
      <c r="G77" s="67" t="s">
        <v>292</v>
      </c>
      <c r="H77" s="68" t="s">
        <v>315</v>
      </c>
      <c r="I77" s="67" t="s">
        <v>436</v>
      </c>
      <c r="J77" s="68" t="s">
        <v>510</v>
      </c>
      <c r="K77" s="67" t="s">
        <v>410</v>
      </c>
      <c r="L77" s="68">
        <v>3</v>
      </c>
      <c r="M77" s="38">
        <f t="shared" si="32"/>
        <v>30</v>
      </c>
      <c r="N77" s="68">
        <v>100</v>
      </c>
      <c r="O77" s="69" t="s">
        <v>456</v>
      </c>
      <c r="P77" s="70">
        <v>1.1999999999999999E-3</v>
      </c>
      <c r="Q77" s="71">
        <f t="shared" ref="Q77" si="34">P77*N77</f>
        <v>0.12</v>
      </c>
      <c r="R77" s="68"/>
      <c r="S77" s="67"/>
    </row>
    <row r="78" spans="1:19" s="60" customFormat="1" ht="48" x14ac:dyDescent="0.25">
      <c r="A78" s="59"/>
      <c r="B78" s="78">
        <f>ROW(B78) - ROW($B$9)</f>
        <v>69</v>
      </c>
      <c r="C78" s="85" t="s">
        <v>14</v>
      </c>
      <c r="D78" s="82" t="s">
        <v>449</v>
      </c>
      <c r="E78" s="56" t="s">
        <v>166</v>
      </c>
      <c r="F78" s="39" t="s">
        <v>226</v>
      </c>
      <c r="G78" s="38" t="s">
        <v>293</v>
      </c>
      <c r="H78" s="39" t="s">
        <v>315</v>
      </c>
      <c r="I78" s="38" t="s">
        <v>436</v>
      </c>
      <c r="J78" s="39" t="s">
        <v>511</v>
      </c>
      <c r="K78" s="38" t="s">
        <v>407</v>
      </c>
      <c r="L78" s="39">
        <v>24</v>
      </c>
      <c r="M78" s="38">
        <f t="shared" si="32"/>
        <v>240</v>
      </c>
      <c r="N78" s="38">
        <v>300</v>
      </c>
      <c r="O78" s="57" t="s">
        <v>456</v>
      </c>
      <c r="P78" s="47">
        <v>1.1999999999999999E-3</v>
      </c>
      <c r="Q78" s="40">
        <f>P78*N78</f>
        <v>0.36</v>
      </c>
      <c r="R78" s="39"/>
      <c r="S78" s="38"/>
    </row>
    <row r="79" spans="1:19" s="60" customFormat="1" x14ac:dyDescent="0.25">
      <c r="A79" s="59"/>
      <c r="B79" s="81">
        <f t="shared" si="0"/>
        <v>70</v>
      </c>
      <c r="C79" s="86" t="s">
        <v>14</v>
      </c>
      <c r="D79" s="79" t="s">
        <v>75</v>
      </c>
      <c r="E79" s="67" t="s">
        <v>167</v>
      </c>
      <c r="F79" s="68" t="s">
        <v>228</v>
      </c>
      <c r="G79" s="67" t="s">
        <v>294</v>
      </c>
      <c r="H79" s="68" t="s">
        <v>315</v>
      </c>
      <c r="I79" s="67" t="s">
        <v>436</v>
      </c>
      <c r="J79" s="68" t="s">
        <v>371</v>
      </c>
      <c r="K79" s="67" t="s">
        <v>411</v>
      </c>
      <c r="L79" s="68">
        <v>1</v>
      </c>
      <c r="M79" s="38">
        <f t="shared" si="32"/>
        <v>10</v>
      </c>
      <c r="N79" s="68">
        <v>100</v>
      </c>
      <c r="O79" s="69" t="s">
        <v>456</v>
      </c>
      <c r="P79" s="70">
        <v>2.2000000000000001E-3</v>
      </c>
      <c r="Q79" s="71">
        <f t="shared" ref="Q79" si="35">P79*N79</f>
        <v>0.22</v>
      </c>
      <c r="R79" s="68"/>
      <c r="S79" s="67"/>
    </row>
    <row r="80" spans="1:19" s="60" customFormat="1" x14ac:dyDescent="0.25">
      <c r="A80" s="59"/>
      <c r="B80" s="78">
        <f>ROW(B80) - ROW($B$9)</f>
        <v>71</v>
      </c>
      <c r="C80" s="85" t="s">
        <v>14</v>
      </c>
      <c r="D80" s="82" t="s">
        <v>76</v>
      </c>
      <c r="E80" s="56" t="s">
        <v>168</v>
      </c>
      <c r="F80" s="39" t="s">
        <v>229</v>
      </c>
      <c r="G80" s="38" t="s">
        <v>295</v>
      </c>
      <c r="H80" s="39" t="s">
        <v>315</v>
      </c>
      <c r="I80" s="38" t="s">
        <v>436</v>
      </c>
      <c r="J80" s="39" t="s">
        <v>372</v>
      </c>
      <c r="K80" s="38" t="s">
        <v>406</v>
      </c>
      <c r="L80" s="39">
        <v>1</v>
      </c>
      <c r="M80" s="38">
        <f t="shared" si="32"/>
        <v>10</v>
      </c>
      <c r="N80" s="38">
        <v>50</v>
      </c>
      <c r="O80" s="57" t="s">
        <v>456</v>
      </c>
      <c r="P80" s="47">
        <v>1.6899999999999998E-2</v>
      </c>
      <c r="Q80" s="40">
        <f>P80*N80</f>
        <v>0.84499999999999997</v>
      </c>
      <c r="R80" s="39"/>
      <c r="S80" s="38"/>
    </row>
    <row r="81" spans="1:19" s="60" customFormat="1" x14ac:dyDescent="0.25">
      <c r="A81" s="59"/>
      <c r="B81" s="81">
        <f t="shared" si="0"/>
        <v>72</v>
      </c>
      <c r="C81" s="86" t="s">
        <v>14</v>
      </c>
      <c r="D81" s="79" t="s">
        <v>77</v>
      </c>
      <c r="E81" s="67" t="s">
        <v>169</v>
      </c>
      <c r="F81" s="68" t="s">
        <v>227</v>
      </c>
      <c r="G81" s="67" t="s">
        <v>296</v>
      </c>
      <c r="H81" s="68" t="s">
        <v>315</v>
      </c>
      <c r="I81" s="67" t="s">
        <v>436</v>
      </c>
      <c r="J81" s="68" t="s">
        <v>373</v>
      </c>
      <c r="K81" s="67" t="s">
        <v>412</v>
      </c>
      <c r="L81" s="68">
        <v>1</v>
      </c>
      <c r="M81" s="38">
        <f t="shared" si="32"/>
        <v>10</v>
      </c>
      <c r="N81" s="68">
        <v>100</v>
      </c>
      <c r="O81" s="69" t="s">
        <v>456</v>
      </c>
      <c r="P81" s="70">
        <v>1.2999999999999999E-3</v>
      </c>
      <c r="Q81" s="71">
        <f t="shared" ref="Q81" si="36">P81*N81</f>
        <v>0.13</v>
      </c>
      <c r="R81" s="68"/>
      <c r="S81" s="67"/>
    </row>
    <row r="82" spans="1:19" s="60" customFormat="1" ht="24" x14ac:dyDescent="0.25">
      <c r="A82" s="59"/>
      <c r="B82" s="78">
        <f>ROW(B82) - ROW($B$9)</f>
        <v>73</v>
      </c>
      <c r="C82" s="85" t="s">
        <v>14</v>
      </c>
      <c r="D82" s="82" t="s">
        <v>78</v>
      </c>
      <c r="E82" s="56" t="s">
        <v>170</v>
      </c>
      <c r="F82" s="39" t="s">
        <v>226</v>
      </c>
      <c r="G82" s="38" t="s">
        <v>297</v>
      </c>
      <c r="H82" s="39" t="s">
        <v>315</v>
      </c>
      <c r="I82" s="38" t="s">
        <v>436</v>
      </c>
      <c r="J82" s="39" t="s">
        <v>535</v>
      </c>
      <c r="K82" s="38" t="s">
        <v>413</v>
      </c>
      <c r="L82" s="39">
        <v>2</v>
      </c>
      <c r="M82" s="38">
        <f t="shared" si="32"/>
        <v>20</v>
      </c>
      <c r="N82" s="38">
        <v>100</v>
      </c>
      <c r="O82" s="57" t="s">
        <v>456</v>
      </c>
      <c r="P82" s="47">
        <v>1.1999999999999999E-3</v>
      </c>
      <c r="Q82" s="40">
        <f>P82*N82</f>
        <v>0.12</v>
      </c>
      <c r="R82" s="39"/>
      <c r="S82" s="38"/>
    </row>
    <row r="83" spans="1:19" s="60" customFormat="1" x14ac:dyDescent="0.25">
      <c r="A83" s="59"/>
      <c r="B83" s="81">
        <f t="shared" si="0"/>
        <v>74</v>
      </c>
      <c r="C83" s="86" t="s">
        <v>14</v>
      </c>
      <c r="D83" s="79" t="s">
        <v>452</v>
      </c>
      <c r="E83" s="67" t="s">
        <v>171</v>
      </c>
      <c r="F83" s="68" t="s">
        <v>226</v>
      </c>
      <c r="G83" s="72" t="s">
        <v>298</v>
      </c>
      <c r="H83" s="68" t="s">
        <v>315</v>
      </c>
      <c r="I83" s="67" t="s">
        <v>537</v>
      </c>
      <c r="J83" s="68" t="s">
        <v>536</v>
      </c>
      <c r="K83" s="67" t="s">
        <v>411</v>
      </c>
      <c r="L83" s="68">
        <v>5</v>
      </c>
      <c r="M83" s="38">
        <f t="shared" si="32"/>
        <v>50</v>
      </c>
      <c r="N83" s="68">
        <v>100</v>
      </c>
      <c r="O83" s="69" t="s">
        <v>456</v>
      </c>
      <c r="P83" s="70">
        <v>2E-3</v>
      </c>
      <c r="Q83" s="71">
        <f t="shared" ref="Q83" si="37">P83*N83</f>
        <v>0.2</v>
      </c>
      <c r="R83" s="68"/>
      <c r="S83" s="67"/>
    </row>
    <row r="84" spans="1:19" s="60" customFormat="1" x14ac:dyDescent="0.25">
      <c r="A84" s="59"/>
      <c r="B84" s="78">
        <f>ROW(B84) - ROW($B$9)</f>
        <v>75</v>
      </c>
      <c r="C84" s="85" t="s">
        <v>14</v>
      </c>
      <c r="D84" s="82" t="s">
        <v>79</v>
      </c>
      <c r="E84" s="56" t="s">
        <v>538</v>
      </c>
      <c r="F84" s="39" t="s">
        <v>226</v>
      </c>
      <c r="G84" s="38" t="s">
        <v>299</v>
      </c>
      <c r="H84" s="39" t="s">
        <v>315</v>
      </c>
      <c r="I84" s="38" t="s">
        <v>436</v>
      </c>
      <c r="J84" s="39" t="s">
        <v>539</v>
      </c>
      <c r="K84" s="38" t="s">
        <v>414</v>
      </c>
      <c r="L84" s="39">
        <v>2</v>
      </c>
      <c r="M84" s="38">
        <f t="shared" si="32"/>
        <v>20</v>
      </c>
      <c r="N84" s="38">
        <v>100</v>
      </c>
      <c r="O84" s="57" t="s">
        <v>456</v>
      </c>
      <c r="P84" s="47">
        <v>1.2999999999999999E-3</v>
      </c>
      <c r="Q84" s="40">
        <f>P84*N84</f>
        <v>0.13</v>
      </c>
      <c r="R84" s="39"/>
      <c r="S84" s="38"/>
    </row>
    <row r="85" spans="1:19" s="60" customFormat="1" x14ac:dyDescent="0.25">
      <c r="A85" s="59"/>
      <c r="B85" s="81">
        <f t="shared" si="0"/>
        <v>76</v>
      </c>
      <c r="C85" s="86" t="s">
        <v>14</v>
      </c>
      <c r="D85" s="79" t="s">
        <v>80</v>
      </c>
      <c r="E85" s="67" t="s">
        <v>172</v>
      </c>
      <c r="F85" s="68" t="s">
        <v>227</v>
      </c>
      <c r="G85" s="67" t="s">
        <v>300</v>
      </c>
      <c r="H85" s="68" t="s">
        <v>315</v>
      </c>
      <c r="I85" s="67" t="s">
        <v>436</v>
      </c>
      <c r="J85" s="68" t="s">
        <v>374</v>
      </c>
      <c r="K85" s="67" t="s">
        <v>415</v>
      </c>
      <c r="L85" s="68">
        <v>2</v>
      </c>
      <c r="M85" s="38">
        <f t="shared" si="32"/>
        <v>20</v>
      </c>
      <c r="N85" s="68">
        <v>100</v>
      </c>
      <c r="O85" s="69" t="s">
        <v>456</v>
      </c>
      <c r="P85" s="70">
        <v>1.1000000000000001E-3</v>
      </c>
      <c r="Q85" s="71">
        <f t="shared" ref="Q85" si="38">P85*N85</f>
        <v>0.11</v>
      </c>
      <c r="R85" s="68"/>
      <c r="S85" s="67"/>
    </row>
    <row r="86" spans="1:19" s="60" customFormat="1" ht="24" x14ac:dyDescent="0.25">
      <c r="A86" s="59"/>
      <c r="B86" s="78">
        <f>ROW(B86) - ROW($B$9)</f>
        <v>77</v>
      </c>
      <c r="C86" s="85" t="s">
        <v>14</v>
      </c>
      <c r="D86" s="82" t="s">
        <v>81</v>
      </c>
      <c r="E86" s="56" t="s">
        <v>173</v>
      </c>
      <c r="F86" s="39" t="s">
        <v>230</v>
      </c>
      <c r="G86" s="38" t="s">
        <v>513</v>
      </c>
      <c r="H86" s="39" t="s">
        <v>348</v>
      </c>
      <c r="I86" s="38" t="s">
        <v>436</v>
      </c>
      <c r="J86" s="39" t="s">
        <v>512</v>
      </c>
      <c r="K86" s="38" t="s">
        <v>416</v>
      </c>
      <c r="L86" s="39">
        <v>2</v>
      </c>
      <c r="M86" s="38">
        <f t="shared" si="32"/>
        <v>20</v>
      </c>
      <c r="N86" s="38">
        <v>50</v>
      </c>
      <c r="O86" s="57" t="s">
        <v>456</v>
      </c>
      <c r="P86" s="47">
        <v>0.01</v>
      </c>
      <c r="Q86" s="40">
        <f>P86*N86</f>
        <v>0.5</v>
      </c>
      <c r="R86" s="39"/>
      <c r="S86" s="38"/>
    </row>
    <row r="87" spans="1:19" s="60" customFormat="1" x14ac:dyDescent="0.25">
      <c r="A87" s="59"/>
      <c r="B87" s="81">
        <f t="shared" si="0"/>
        <v>78</v>
      </c>
      <c r="C87" s="86" t="s">
        <v>14</v>
      </c>
      <c r="D87" s="79" t="s">
        <v>82</v>
      </c>
      <c r="E87" s="67" t="s">
        <v>515</v>
      </c>
      <c r="F87" s="68" t="s">
        <v>226</v>
      </c>
      <c r="G87" s="67" t="s">
        <v>301</v>
      </c>
      <c r="H87" s="68" t="s">
        <v>315</v>
      </c>
      <c r="I87" s="67" t="s">
        <v>436</v>
      </c>
      <c r="J87" s="68" t="s">
        <v>514</v>
      </c>
      <c r="K87" s="67" t="s">
        <v>417</v>
      </c>
      <c r="L87" s="68">
        <v>2</v>
      </c>
      <c r="M87" s="38">
        <f t="shared" si="32"/>
        <v>20</v>
      </c>
      <c r="N87" s="68">
        <v>100</v>
      </c>
      <c r="O87" s="69" t="s">
        <v>456</v>
      </c>
      <c r="P87" s="70">
        <v>1.1999999999999999E-3</v>
      </c>
      <c r="Q87" s="71">
        <f t="shared" ref="Q87" si="39">P87*N87</f>
        <v>0.12</v>
      </c>
      <c r="R87" s="68"/>
      <c r="S87" s="67"/>
    </row>
    <row r="88" spans="1:19" s="60" customFormat="1" x14ac:dyDescent="0.25">
      <c r="A88" s="59"/>
      <c r="B88" s="78">
        <f>ROW(B88) - ROW($B$9)</f>
        <v>79</v>
      </c>
      <c r="C88" s="85" t="s">
        <v>14</v>
      </c>
      <c r="D88" s="82" t="s">
        <v>83</v>
      </c>
      <c r="E88" s="56" t="s">
        <v>174</v>
      </c>
      <c r="F88" s="39" t="s">
        <v>227</v>
      </c>
      <c r="G88" s="38" t="s">
        <v>302</v>
      </c>
      <c r="H88" s="39" t="s">
        <v>315</v>
      </c>
      <c r="I88" s="38" t="s">
        <v>436</v>
      </c>
      <c r="J88" s="39" t="s">
        <v>530</v>
      </c>
      <c r="K88" s="38" t="s">
        <v>418</v>
      </c>
      <c r="L88" s="39">
        <v>1</v>
      </c>
      <c r="M88" s="38">
        <f t="shared" si="32"/>
        <v>10</v>
      </c>
      <c r="N88" s="38">
        <v>50</v>
      </c>
      <c r="O88" s="57" t="s">
        <v>456</v>
      </c>
      <c r="P88" s="47">
        <v>8.8000000000000005E-3</v>
      </c>
      <c r="Q88" s="40">
        <f>P88*N88</f>
        <v>0.44</v>
      </c>
      <c r="R88" s="39"/>
      <c r="S88" s="38"/>
    </row>
    <row r="89" spans="1:19" s="60" customFormat="1" ht="24" x14ac:dyDescent="0.25">
      <c r="A89" s="59"/>
      <c r="B89" s="81">
        <f t="shared" si="0"/>
        <v>80</v>
      </c>
      <c r="C89" s="86" t="s">
        <v>14</v>
      </c>
      <c r="D89" s="79" t="s">
        <v>84</v>
      </c>
      <c r="E89" s="67" t="s">
        <v>175</v>
      </c>
      <c r="F89" s="68" t="s">
        <v>227</v>
      </c>
      <c r="G89" s="67" t="s">
        <v>303</v>
      </c>
      <c r="H89" s="68" t="s">
        <v>315</v>
      </c>
      <c r="I89" s="67" t="s">
        <v>436</v>
      </c>
      <c r="J89" s="68" t="s">
        <v>531</v>
      </c>
      <c r="K89" s="67" t="s">
        <v>419</v>
      </c>
      <c r="L89" s="68">
        <v>1</v>
      </c>
      <c r="M89" s="38">
        <f t="shared" si="32"/>
        <v>10</v>
      </c>
      <c r="N89" s="68">
        <v>20</v>
      </c>
      <c r="O89" s="69" t="s">
        <v>456</v>
      </c>
      <c r="P89" s="70">
        <v>2.7900000000000001E-2</v>
      </c>
      <c r="Q89" s="71">
        <f t="shared" ref="Q89" si="40">P89*N89</f>
        <v>0.55800000000000005</v>
      </c>
      <c r="R89" s="68"/>
      <c r="S89" s="67"/>
    </row>
    <row r="90" spans="1:19" s="60" customFormat="1" ht="84" x14ac:dyDescent="0.25">
      <c r="A90" s="59"/>
      <c r="B90" s="81">
        <f t="shared" si="0"/>
        <v>81</v>
      </c>
      <c r="C90" s="88" t="s">
        <v>231</v>
      </c>
      <c r="D90" s="84" t="s">
        <v>85</v>
      </c>
      <c r="E90" s="58" t="s">
        <v>176</v>
      </c>
      <c r="F90" s="62" t="s">
        <v>425</v>
      </c>
      <c r="G90" s="58" t="s">
        <v>231</v>
      </c>
      <c r="H90" s="62" t="s">
        <v>436</v>
      </c>
      <c r="I90" s="58" t="s">
        <v>436</v>
      </c>
      <c r="J90" s="62" t="s">
        <v>436</v>
      </c>
      <c r="K90" s="58" t="s">
        <v>436</v>
      </c>
      <c r="L90" s="62">
        <v>42</v>
      </c>
      <c r="M90" s="38">
        <f t="shared" si="32"/>
        <v>420</v>
      </c>
      <c r="N90" s="58" t="s">
        <v>436</v>
      </c>
      <c r="O90" s="63" t="s">
        <v>436</v>
      </c>
      <c r="P90" s="64" t="s">
        <v>436</v>
      </c>
      <c r="Q90" s="65" t="s">
        <v>436</v>
      </c>
      <c r="R90" s="62"/>
      <c r="S90" s="58"/>
    </row>
    <row r="91" spans="1:19" s="60" customFormat="1" ht="24" x14ac:dyDescent="0.25">
      <c r="A91" s="59"/>
      <c r="B91" s="78">
        <f>ROW(B91) - ROW($B$9)</f>
        <v>82</v>
      </c>
      <c r="C91" s="86" t="s">
        <v>532</v>
      </c>
      <c r="D91" s="79" t="s">
        <v>86</v>
      </c>
      <c r="E91" s="67" t="s">
        <v>177</v>
      </c>
      <c r="F91" s="68" t="s">
        <v>425</v>
      </c>
      <c r="G91" s="72" t="s">
        <v>232</v>
      </c>
      <c r="H91" s="68" t="s">
        <v>349</v>
      </c>
      <c r="I91" s="67" t="s">
        <v>567</v>
      </c>
      <c r="J91" s="68" t="s">
        <v>566</v>
      </c>
      <c r="K91" s="67" t="s">
        <v>436</v>
      </c>
      <c r="L91" s="68">
        <v>7</v>
      </c>
      <c r="M91" s="38">
        <f t="shared" si="32"/>
        <v>70</v>
      </c>
      <c r="N91" s="68">
        <v>75</v>
      </c>
      <c r="O91" s="69" t="s">
        <v>456</v>
      </c>
      <c r="P91" s="70">
        <v>3.4299999999999997E-2</v>
      </c>
      <c r="Q91" s="71">
        <f>P91*N91</f>
        <v>2.5724999999999998</v>
      </c>
      <c r="R91" s="61"/>
      <c r="S91" s="67"/>
    </row>
    <row r="92" spans="1:19" s="60" customFormat="1" ht="24" x14ac:dyDescent="0.25">
      <c r="A92" s="59"/>
      <c r="B92" s="81">
        <f t="shared" si="0"/>
        <v>83</v>
      </c>
      <c r="C92" s="85" t="s">
        <v>533</v>
      </c>
      <c r="D92" s="82" t="s">
        <v>87</v>
      </c>
      <c r="E92" s="56" t="s">
        <v>178</v>
      </c>
      <c r="F92" s="39" t="s">
        <v>233</v>
      </c>
      <c r="G92" s="38" t="s">
        <v>304</v>
      </c>
      <c r="H92" s="39" t="s">
        <v>350</v>
      </c>
      <c r="I92" s="38"/>
      <c r="J92" s="39" t="s">
        <v>436</v>
      </c>
      <c r="K92" s="38" t="s">
        <v>436</v>
      </c>
      <c r="L92" s="39">
        <v>2</v>
      </c>
      <c r="M92" s="38">
        <f t="shared" si="32"/>
        <v>20</v>
      </c>
      <c r="N92" s="38">
        <v>21</v>
      </c>
      <c r="O92" s="57" t="s">
        <v>565</v>
      </c>
      <c r="P92" s="47">
        <v>3.76</v>
      </c>
      <c r="Q92" s="40">
        <f t="shared" ref="Q92" si="41">P92*N92</f>
        <v>78.959999999999994</v>
      </c>
      <c r="R92" s="61" t="s">
        <v>568</v>
      </c>
      <c r="S92" s="38"/>
    </row>
    <row r="93" spans="1:19" s="60" customFormat="1" ht="36" x14ac:dyDescent="0.25">
      <c r="A93" s="59"/>
      <c r="B93" s="78">
        <f>ROW(B93) - ROW($B$9)</f>
        <v>84</v>
      </c>
      <c r="C93" s="86" t="s">
        <v>533</v>
      </c>
      <c r="D93" s="79" t="s">
        <v>88</v>
      </c>
      <c r="E93" s="67" t="s">
        <v>179</v>
      </c>
      <c r="F93" s="68" t="s">
        <v>233</v>
      </c>
      <c r="G93" s="67" t="s">
        <v>305</v>
      </c>
      <c r="H93" s="68" t="s">
        <v>351</v>
      </c>
      <c r="I93" s="67" t="s">
        <v>436</v>
      </c>
      <c r="J93" s="68" t="s">
        <v>516</v>
      </c>
      <c r="K93" s="67" t="s">
        <v>436</v>
      </c>
      <c r="L93" s="68">
        <v>1</v>
      </c>
      <c r="M93" s="38">
        <f t="shared" si="32"/>
        <v>10</v>
      </c>
      <c r="N93" s="68">
        <v>15</v>
      </c>
      <c r="O93" s="69" t="s">
        <v>456</v>
      </c>
      <c r="P93" s="70">
        <v>0.3463</v>
      </c>
      <c r="Q93" s="71">
        <f>P93*N93</f>
        <v>5.1944999999999997</v>
      </c>
      <c r="R93" s="68"/>
      <c r="S93" s="67"/>
    </row>
    <row r="94" spans="1:19" s="60" customFormat="1" ht="24" x14ac:dyDescent="0.25">
      <c r="A94" s="59"/>
      <c r="B94" s="81">
        <f t="shared" si="0"/>
        <v>85</v>
      </c>
      <c r="C94" s="85" t="s">
        <v>533</v>
      </c>
      <c r="D94" s="82" t="s">
        <v>89</v>
      </c>
      <c r="E94" s="56" t="s">
        <v>180</v>
      </c>
      <c r="F94" s="39" t="s">
        <v>234</v>
      </c>
      <c r="G94" s="38" t="s">
        <v>306</v>
      </c>
      <c r="H94" s="39" t="s">
        <v>351</v>
      </c>
      <c r="I94" s="38" t="s">
        <v>436</v>
      </c>
      <c r="J94" s="39" t="s">
        <v>517</v>
      </c>
      <c r="K94" s="38" t="s">
        <v>436</v>
      </c>
      <c r="L94" s="39">
        <v>1</v>
      </c>
      <c r="M94" s="38">
        <f t="shared" si="32"/>
        <v>10</v>
      </c>
      <c r="N94" s="38">
        <v>11</v>
      </c>
      <c r="O94" s="57" t="s">
        <v>456</v>
      </c>
      <c r="P94" s="47">
        <v>0.85440000000000005</v>
      </c>
      <c r="Q94" s="40">
        <f t="shared" ref="Q94" si="42">P94*N94</f>
        <v>9.3984000000000005</v>
      </c>
      <c r="R94" s="39"/>
      <c r="S94" s="38"/>
    </row>
    <row r="95" spans="1:19" s="60" customFormat="1" ht="24" x14ac:dyDescent="0.25">
      <c r="A95" s="59"/>
      <c r="B95" s="78">
        <f>ROW(B95) - ROW($B$9)</f>
        <v>86</v>
      </c>
      <c r="C95" s="86" t="s">
        <v>533</v>
      </c>
      <c r="D95" s="79" t="s">
        <v>90</v>
      </c>
      <c r="E95" s="67" t="s">
        <v>181</v>
      </c>
      <c r="F95" s="68" t="s">
        <v>235</v>
      </c>
      <c r="G95" s="67" t="s">
        <v>307</v>
      </c>
      <c r="H95" s="68" t="s">
        <v>352</v>
      </c>
      <c r="I95" s="67" t="s">
        <v>436</v>
      </c>
      <c r="J95" s="68" t="s">
        <v>518</v>
      </c>
      <c r="K95" s="67" t="s">
        <v>436</v>
      </c>
      <c r="L95" s="68">
        <v>1</v>
      </c>
      <c r="M95" s="38">
        <f t="shared" si="32"/>
        <v>10</v>
      </c>
      <c r="N95" s="68">
        <v>11</v>
      </c>
      <c r="O95" s="69" t="s">
        <v>456</v>
      </c>
      <c r="P95" s="70">
        <v>7.4375999999999998</v>
      </c>
      <c r="Q95" s="71">
        <f>P95*N95</f>
        <v>81.813599999999994</v>
      </c>
      <c r="R95" s="68"/>
      <c r="S95" s="67"/>
    </row>
    <row r="96" spans="1:19" s="60" customFormat="1" ht="24" x14ac:dyDescent="0.25">
      <c r="A96" s="59"/>
      <c r="B96" s="81">
        <f t="shared" si="0"/>
        <v>87</v>
      </c>
      <c r="C96" s="85" t="s">
        <v>533</v>
      </c>
      <c r="D96" s="82" t="s">
        <v>91</v>
      </c>
      <c r="E96" s="56" t="s">
        <v>182</v>
      </c>
      <c r="F96" s="39" t="s">
        <v>233</v>
      </c>
      <c r="G96" s="38" t="s">
        <v>308</v>
      </c>
      <c r="H96" s="39" t="s">
        <v>321</v>
      </c>
      <c r="I96" s="38" t="s">
        <v>436</v>
      </c>
      <c r="J96" s="39" t="s">
        <v>436</v>
      </c>
      <c r="K96" s="38" t="s">
        <v>436</v>
      </c>
      <c r="L96" s="39">
        <v>1</v>
      </c>
      <c r="M96" s="38">
        <f t="shared" si="32"/>
        <v>10</v>
      </c>
      <c r="N96" s="38">
        <v>11</v>
      </c>
      <c r="O96" s="57" t="s">
        <v>565</v>
      </c>
      <c r="P96" s="47">
        <v>1.9550000000000001</v>
      </c>
      <c r="Q96" s="40">
        <f t="shared" ref="Q96" si="43">P96*N96</f>
        <v>21.505000000000003</v>
      </c>
      <c r="R96" s="61" t="s">
        <v>568</v>
      </c>
      <c r="S96" s="38"/>
    </row>
    <row r="97" spans="1:19" s="60" customFormat="1" ht="36" x14ac:dyDescent="0.25">
      <c r="A97" s="59"/>
      <c r="B97" s="78">
        <f>ROW(B97) - ROW($B$9)</f>
        <v>88</v>
      </c>
      <c r="C97" s="86" t="s">
        <v>533</v>
      </c>
      <c r="D97" s="79" t="s">
        <v>92</v>
      </c>
      <c r="E97" s="67" t="s">
        <v>183</v>
      </c>
      <c r="F97" s="68" t="s">
        <v>439</v>
      </c>
      <c r="G97" s="67" t="s">
        <v>236</v>
      </c>
      <c r="H97" s="68" t="s">
        <v>353</v>
      </c>
      <c r="I97" s="67" t="s">
        <v>436</v>
      </c>
      <c r="J97" s="68" t="s">
        <v>436</v>
      </c>
      <c r="K97" s="67" t="s">
        <v>436</v>
      </c>
      <c r="L97" s="68">
        <v>1</v>
      </c>
      <c r="M97" s="38">
        <f t="shared" si="32"/>
        <v>10</v>
      </c>
      <c r="N97" s="68">
        <v>11</v>
      </c>
      <c r="O97" s="69" t="s">
        <v>565</v>
      </c>
      <c r="P97" s="70">
        <v>7.52</v>
      </c>
      <c r="Q97" s="71">
        <f>P97*N97</f>
        <v>82.72</v>
      </c>
      <c r="R97" s="61" t="s">
        <v>568</v>
      </c>
      <c r="S97" s="67"/>
    </row>
    <row r="98" spans="1:19" s="60" customFormat="1" ht="36" x14ac:dyDescent="0.25">
      <c r="A98" s="59"/>
      <c r="B98" s="81">
        <f t="shared" si="0"/>
        <v>89</v>
      </c>
      <c r="C98" s="85" t="s">
        <v>533</v>
      </c>
      <c r="D98" s="82" t="s">
        <v>93</v>
      </c>
      <c r="E98" s="56" t="s">
        <v>184</v>
      </c>
      <c r="F98" s="39" t="s">
        <v>437</v>
      </c>
      <c r="G98" s="38" t="s">
        <v>237</v>
      </c>
      <c r="H98" s="39" t="s">
        <v>354</v>
      </c>
      <c r="I98" s="38" t="s">
        <v>436</v>
      </c>
      <c r="J98" s="39" t="s">
        <v>519</v>
      </c>
      <c r="K98" s="38" t="s">
        <v>436</v>
      </c>
      <c r="L98" s="39">
        <v>4</v>
      </c>
      <c r="M98" s="38">
        <f t="shared" si="32"/>
        <v>40</v>
      </c>
      <c r="N98" s="38">
        <v>45</v>
      </c>
      <c r="O98" s="57" t="s">
        <v>456</v>
      </c>
      <c r="P98" s="47">
        <v>0.41510000000000002</v>
      </c>
      <c r="Q98" s="40">
        <f t="shared" ref="Q98" si="44">P98*N98</f>
        <v>18.679500000000001</v>
      </c>
      <c r="R98" s="39"/>
      <c r="S98" s="38"/>
    </row>
    <row r="99" spans="1:19" s="60" customFormat="1" ht="45" x14ac:dyDescent="0.25">
      <c r="A99" s="59"/>
      <c r="B99" s="78">
        <f>ROW(B99) - ROW($B$9)</f>
        <v>90</v>
      </c>
      <c r="C99" s="86" t="s">
        <v>533</v>
      </c>
      <c r="D99" s="79" t="s">
        <v>94</v>
      </c>
      <c r="E99" s="67" t="s">
        <v>185</v>
      </c>
      <c r="F99" s="68" t="s">
        <v>238</v>
      </c>
      <c r="G99" s="67" t="s">
        <v>309</v>
      </c>
      <c r="H99" s="68" t="s">
        <v>351</v>
      </c>
      <c r="I99" s="67" t="s">
        <v>436</v>
      </c>
      <c r="J99" s="68" t="s">
        <v>520</v>
      </c>
      <c r="K99" s="67" t="s">
        <v>436</v>
      </c>
      <c r="L99" s="68">
        <v>3</v>
      </c>
      <c r="M99" s="38">
        <f t="shared" si="32"/>
        <v>30</v>
      </c>
      <c r="N99" s="68">
        <v>35</v>
      </c>
      <c r="O99" s="69" t="s">
        <v>456</v>
      </c>
      <c r="P99" s="70">
        <v>0.25240000000000001</v>
      </c>
      <c r="Q99" s="71">
        <f>P99*N99</f>
        <v>8.8339999999999996</v>
      </c>
      <c r="R99" s="102" t="s">
        <v>589</v>
      </c>
      <c r="S99" s="67"/>
    </row>
    <row r="100" spans="1:19" s="60" customFormat="1" ht="24" x14ac:dyDescent="0.25">
      <c r="A100" s="59"/>
      <c r="B100" s="81">
        <f t="shared" si="0"/>
        <v>91</v>
      </c>
      <c r="C100" s="85" t="s">
        <v>533</v>
      </c>
      <c r="D100" s="82" t="s">
        <v>95</v>
      </c>
      <c r="E100" s="56" t="s">
        <v>186</v>
      </c>
      <c r="F100" s="39" t="s">
        <v>239</v>
      </c>
      <c r="G100" s="38" t="s">
        <v>310</v>
      </c>
      <c r="H100" s="39" t="s">
        <v>351</v>
      </c>
      <c r="I100" s="38" t="s">
        <v>436</v>
      </c>
      <c r="J100" s="39" t="s">
        <v>521</v>
      </c>
      <c r="K100" s="38" t="s">
        <v>436</v>
      </c>
      <c r="L100" s="39">
        <v>1</v>
      </c>
      <c r="M100" s="38">
        <f t="shared" si="32"/>
        <v>10</v>
      </c>
      <c r="N100" s="38">
        <v>11</v>
      </c>
      <c r="O100" s="57" t="s">
        <v>565</v>
      </c>
      <c r="P100" s="47">
        <v>2.56</v>
      </c>
      <c r="Q100" s="40">
        <f t="shared" ref="Q100" si="45">P100*N100</f>
        <v>28.16</v>
      </c>
      <c r="R100" s="61" t="s">
        <v>568</v>
      </c>
      <c r="S100" s="38"/>
    </row>
    <row r="101" spans="1:19" s="60" customFormat="1" ht="24" x14ac:dyDescent="0.25">
      <c r="A101" s="59"/>
      <c r="B101" s="78">
        <f>ROW(B101) - ROW($B$9)</f>
        <v>92</v>
      </c>
      <c r="C101" s="86" t="s">
        <v>533</v>
      </c>
      <c r="D101" s="79" t="s">
        <v>96</v>
      </c>
      <c r="E101" s="67" t="s">
        <v>187</v>
      </c>
      <c r="F101" s="68" t="s">
        <v>240</v>
      </c>
      <c r="G101" s="67" t="s">
        <v>311</v>
      </c>
      <c r="H101" s="68" t="s">
        <v>355</v>
      </c>
      <c r="I101" s="67" t="s">
        <v>436</v>
      </c>
      <c r="J101" s="68" t="s">
        <v>522</v>
      </c>
      <c r="K101" s="67" t="s">
        <v>436</v>
      </c>
      <c r="L101" s="68">
        <v>1</v>
      </c>
      <c r="M101" s="38">
        <f t="shared" si="32"/>
        <v>10</v>
      </c>
      <c r="N101" s="68">
        <v>11</v>
      </c>
      <c r="O101" s="69" t="s">
        <v>456</v>
      </c>
      <c r="P101" s="70">
        <v>3.7244000000000002</v>
      </c>
      <c r="Q101" s="71">
        <f>P101*N101</f>
        <v>40.968400000000003</v>
      </c>
      <c r="R101" s="77" t="s">
        <v>540</v>
      </c>
      <c r="S101" s="67"/>
    </row>
    <row r="102" spans="1:19" s="60" customFormat="1" ht="24" x14ac:dyDescent="0.25">
      <c r="A102" s="59"/>
      <c r="B102" s="81">
        <f t="shared" si="0"/>
        <v>93</v>
      </c>
      <c r="C102" s="85" t="s">
        <v>533</v>
      </c>
      <c r="D102" s="82" t="s">
        <v>97</v>
      </c>
      <c r="E102" s="56" t="s">
        <v>188</v>
      </c>
      <c r="F102" s="39" t="s">
        <v>425</v>
      </c>
      <c r="G102" s="38" t="s">
        <v>241</v>
      </c>
      <c r="H102" s="39" t="s">
        <v>356</v>
      </c>
      <c r="I102" s="38" t="s">
        <v>436</v>
      </c>
      <c r="J102" s="39" t="s">
        <v>523</v>
      </c>
      <c r="K102" s="38" t="s">
        <v>436</v>
      </c>
      <c r="L102" s="39">
        <v>1</v>
      </c>
      <c r="M102" s="38">
        <f t="shared" si="32"/>
        <v>10</v>
      </c>
      <c r="N102" s="38">
        <v>11</v>
      </c>
      <c r="O102" s="57" t="s">
        <v>456</v>
      </c>
      <c r="P102" s="47">
        <v>0.89249999999999996</v>
      </c>
      <c r="Q102" s="40">
        <f t="shared" ref="Q102" si="46">P102*N102</f>
        <v>9.817499999999999</v>
      </c>
      <c r="R102" s="39"/>
      <c r="S102" s="38"/>
    </row>
    <row r="103" spans="1:19" s="60" customFormat="1" ht="48" x14ac:dyDescent="0.25">
      <c r="A103" s="59"/>
      <c r="B103" s="78">
        <f>ROW(B103) - ROW($B$9)</f>
        <v>94</v>
      </c>
      <c r="C103" s="86" t="s">
        <v>534</v>
      </c>
      <c r="D103" s="79" t="s">
        <v>98</v>
      </c>
      <c r="E103" s="67" t="s">
        <v>189</v>
      </c>
      <c r="F103" s="68" t="s">
        <v>425</v>
      </c>
      <c r="G103" s="67" t="s">
        <v>242</v>
      </c>
      <c r="H103" s="68" t="s">
        <v>357</v>
      </c>
      <c r="I103" s="67" t="s">
        <v>436</v>
      </c>
      <c r="J103" s="68" t="s">
        <v>524</v>
      </c>
      <c r="K103" s="67" t="s">
        <v>420</v>
      </c>
      <c r="L103" s="68">
        <v>1</v>
      </c>
      <c r="M103" s="38">
        <f t="shared" si="32"/>
        <v>10</v>
      </c>
      <c r="N103" s="68">
        <v>15</v>
      </c>
      <c r="O103" s="69" t="s">
        <v>456</v>
      </c>
      <c r="P103" s="70">
        <v>0.19889999999999999</v>
      </c>
      <c r="Q103" s="71">
        <f>P103*N103</f>
        <v>2.9834999999999998</v>
      </c>
      <c r="R103" s="77" t="s">
        <v>569</v>
      </c>
      <c r="S103" s="67"/>
    </row>
    <row r="104" spans="1:19" s="60" customFormat="1" ht="48" x14ac:dyDescent="0.25">
      <c r="A104" s="59"/>
      <c r="B104" s="81">
        <f t="shared" si="0"/>
        <v>95</v>
      </c>
      <c r="C104" s="85" t="s">
        <v>534</v>
      </c>
      <c r="D104" s="82" t="s">
        <v>99</v>
      </c>
      <c r="E104" s="56" t="s">
        <v>190</v>
      </c>
      <c r="F104" s="39" t="s">
        <v>425</v>
      </c>
      <c r="G104" s="38" t="s">
        <v>312</v>
      </c>
      <c r="H104" s="39" t="s">
        <v>358</v>
      </c>
      <c r="I104" s="38" t="s">
        <v>436</v>
      </c>
      <c r="J104" s="39" t="s">
        <v>376</v>
      </c>
      <c r="K104" s="38" t="s">
        <v>421</v>
      </c>
      <c r="L104" s="39">
        <v>1</v>
      </c>
      <c r="M104" s="38">
        <f t="shared" si="32"/>
        <v>10</v>
      </c>
      <c r="N104" s="38">
        <v>15</v>
      </c>
      <c r="O104" s="57" t="s">
        <v>456</v>
      </c>
      <c r="P104" s="47">
        <v>0.1221</v>
      </c>
      <c r="Q104" s="40">
        <f t="shared" ref="Q104" si="47">P104*N104</f>
        <v>1.8314999999999999</v>
      </c>
      <c r="R104" s="39"/>
      <c r="S104" s="38"/>
    </row>
    <row r="105" spans="1:19" s="60" customFormat="1" ht="48" x14ac:dyDescent="0.25">
      <c r="A105" s="59"/>
      <c r="B105" s="78">
        <f>ROW(B105) - ROW($B$9)</f>
        <v>96</v>
      </c>
      <c r="C105" s="86" t="s">
        <v>534</v>
      </c>
      <c r="D105" s="79" t="s">
        <v>100</v>
      </c>
      <c r="E105" s="67" t="s">
        <v>191</v>
      </c>
      <c r="F105" s="68" t="s">
        <v>425</v>
      </c>
      <c r="G105" s="67" t="s">
        <v>243</v>
      </c>
      <c r="H105" s="68" t="s">
        <v>359</v>
      </c>
      <c r="I105" s="67" t="s">
        <v>436</v>
      </c>
      <c r="J105" s="68" t="s">
        <v>525</v>
      </c>
      <c r="K105" s="67" t="s">
        <v>422</v>
      </c>
      <c r="L105" s="68">
        <v>1</v>
      </c>
      <c r="M105" s="38">
        <f t="shared" si="32"/>
        <v>10</v>
      </c>
      <c r="N105" s="68">
        <v>15</v>
      </c>
      <c r="O105" s="69" t="s">
        <v>456</v>
      </c>
      <c r="P105" s="70">
        <v>0.22420000000000001</v>
      </c>
      <c r="Q105" s="71">
        <f>P105*N105</f>
        <v>3.363</v>
      </c>
      <c r="R105" s="68"/>
      <c r="S105" s="67"/>
    </row>
    <row r="106" spans="1:19" s="60" customFormat="1" ht="48" x14ac:dyDescent="0.25">
      <c r="A106" s="59"/>
      <c r="B106" s="78">
        <f t="shared" ref="B106:B112" si="48">ROW(B106) - ROW($B$9)</f>
        <v>97</v>
      </c>
      <c r="C106" s="86" t="s">
        <v>554</v>
      </c>
      <c r="D106" s="79" t="s">
        <v>436</v>
      </c>
      <c r="E106" s="67" t="s">
        <v>547</v>
      </c>
      <c r="F106" s="68" t="s">
        <v>425</v>
      </c>
      <c r="G106" s="67" t="s">
        <v>548</v>
      </c>
      <c r="H106" s="68" t="s">
        <v>549</v>
      </c>
      <c r="I106" s="67" t="s">
        <v>436</v>
      </c>
      <c r="J106" s="68" t="s">
        <v>550</v>
      </c>
      <c r="K106" s="67" t="s">
        <v>436</v>
      </c>
      <c r="L106" s="68">
        <v>9</v>
      </c>
      <c r="M106" s="38">
        <f t="shared" si="32"/>
        <v>90</v>
      </c>
      <c r="N106" s="68">
        <v>95</v>
      </c>
      <c r="O106" s="69" t="s">
        <v>456</v>
      </c>
      <c r="P106" s="70">
        <v>0.1656</v>
      </c>
      <c r="Q106" s="71">
        <f t="shared" ref="Q106:Q110" si="49">P106*N106</f>
        <v>15.731999999999999</v>
      </c>
      <c r="R106" s="68"/>
      <c r="S106" s="67"/>
    </row>
    <row r="107" spans="1:19" s="60" customFormat="1" ht="48" x14ac:dyDescent="0.25">
      <c r="A107" s="59"/>
      <c r="B107" s="78">
        <f t="shared" si="48"/>
        <v>98</v>
      </c>
      <c r="C107" s="86" t="s">
        <v>554</v>
      </c>
      <c r="D107" s="79" t="s">
        <v>436</v>
      </c>
      <c r="E107" s="67" t="s">
        <v>552</v>
      </c>
      <c r="F107" s="68" t="s">
        <v>425</v>
      </c>
      <c r="G107" s="67" t="s">
        <v>553</v>
      </c>
      <c r="H107" s="68" t="s">
        <v>549</v>
      </c>
      <c r="I107" s="67" t="s">
        <v>436</v>
      </c>
      <c r="J107" s="68" t="s">
        <v>551</v>
      </c>
      <c r="K107" s="67" t="s">
        <v>436</v>
      </c>
      <c r="L107" s="68">
        <v>5</v>
      </c>
      <c r="M107" s="38">
        <f t="shared" si="32"/>
        <v>50</v>
      </c>
      <c r="N107" s="68">
        <v>55</v>
      </c>
      <c r="O107" s="69" t="s">
        <v>456</v>
      </c>
      <c r="P107" s="70">
        <v>0.2515</v>
      </c>
      <c r="Q107" s="71">
        <f t="shared" si="49"/>
        <v>13.8325</v>
      </c>
      <c r="R107" s="68"/>
      <c r="S107" s="67"/>
    </row>
    <row r="108" spans="1:19" s="60" customFormat="1" ht="48" x14ac:dyDescent="0.25">
      <c r="A108" s="59"/>
      <c r="B108" s="78">
        <f t="shared" si="48"/>
        <v>99</v>
      </c>
      <c r="C108" s="86" t="s">
        <v>554</v>
      </c>
      <c r="D108" s="79" t="s">
        <v>436</v>
      </c>
      <c r="E108" s="67" t="s">
        <v>555</v>
      </c>
      <c r="F108" s="68" t="s">
        <v>425</v>
      </c>
      <c r="G108" s="67" t="s">
        <v>557</v>
      </c>
      <c r="H108" s="68" t="s">
        <v>549</v>
      </c>
      <c r="I108" s="67" t="s">
        <v>436</v>
      </c>
      <c r="J108" s="68" t="s">
        <v>556</v>
      </c>
      <c r="K108" s="67" t="s">
        <v>436</v>
      </c>
      <c r="L108" s="68">
        <v>1</v>
      </c>
      <c r="M108" s="38">
        <f t="shared" si="32"/>
        <v>10</v>
      </c>
      <c r="N108" s="68">
        <v>15</v>
      </c>
      <c r="O108" s="69" t="s">
        <v>456</v>
      </c>
      <c r="P108" s="70">
        <v>0.3553</v>
      </c>
      <c r="Q108" s="71">
        <f t="shared" si="49"/>
        <v>5.3295000000000003</v>
      </c>
      <c r="R108" s="68"/>
      <c r="S108" s="67"/>
    </row>
    <row r="109" spans="1:19" s="60" customFormat="1" ht="24" x14ac:dyDescent="0.25">
      <c r="A109" s="59"/>
      <c r="B109" s="78">
        <f t="shared" si="48"/>
        <v>100</v>
      </c>
      <c r="C109" s="89" t="s">
        <v>561</v>
      </c>
      <c r="D109" s="79" t="s">
        <v>436</v>
      </c>
      <c r="E109" s="67" t="s">
        <v>563</v>
      </c>
      <c r="F109" s="68" t="s">
        <v>425</v>
      </c>
      <c r="G109" s="67" t="s">
        <v>436</v>
      </c>
      <c r="H109" s="68" t="s">
        <v>436</v>
      </c>
      <c r="I109" s="67" t="s">
        <v>436</v>
      </c>
      <c r="J109" s="68" t="s">
        <v>436</v>
      </c>
      <c r="K109" s="67" t="s">
        <v>436</v>
      </c>
      <c r="L109" s="68" t="s">
        <v>436</v>
      </c>
      <c r="M109" s="38" t="s">
        <v>436</v>
      </c>
      <c r="N109" s="68">
        <v>5</v>
      </c>
      <c r="O109" s="69" t="s">
        <v>562</v>
      </c>
      <c r="P109" s="70">
        <v>1.33</v>
      </c>
      <c r="Q109" s="71">
        <f t="shared" si="49"/>
        <v>6.65</v>
      </c>
      <c r="R109" s="68"/>
      <c r="S109" s="67"/>
    </row>
    <row r="110" spans="1:19" s="60" customFormat="1" ht="24" x14ac:dyDescent="0.25">
      <c r="A110" s="59"/>
      <c r="B110" s="78">
        <f t="shared" si="48"/>
        <v>101</v>
      </c>
      <c r="C110" s="86" t="s">
        <v>570</v>
      </c>
      <c r="D110" s="79" t="s">
        <v>436</v>
      </c>
      <c r="E110" s="67" t="s">
        <v>571</v>
      </c>
      <c r="F110" s="68" t="s">
        <v>425</v>
      </c>
      <c r="G110" s="67" t="s">
        <v>436</v>
      </c>
      <c r="H110" s="68" t="s">
        <v>572</v>
      </c>
      <c r="I110" s="67" t="s">
        <v>436</v>
      </c>
      <c r="J110" s="68" t="s">
        <v>573</v>
      </c>
      <c r="K110" s="67" t="s">
        <v>436</v>
      </c>
      <c r="L110" s="68">
        <v>1</v>
      </c>
      <c r="M110" s="38">
        <f t="shared" si="32"/>
        <v>10</v>
      </c>
      <c r="N110" s="68">
        <v>10</v>
      </c>
      <c r="O110" s="69" t="s">
        <v>456</v>
      </c>
      <c r="P110" s="70">
        <v>1.0610999999999999</v>
      </c>
      <c r="Q110" s="71">
        <f t="shared" si="49"/>
        <v>10.610999999999999</v>
      </c>
      <c r="R110" s="68"/>
      <c r="S110" s="67"/>
    </row>
    <row r="111" spans="1:19" s="60" customFormat="1" ht="25.5" x14ac:dyDescent="0.25">
      <c r="A111" s="59"/>
      <c r="B111" s="78">
        <f t="shared" si="48"/>
        <v>102</v>
      </c>
      <c r="C111" s="89" t="s">
        <v>576</v>
      </c>
      <c r="D111" s="79" t="s">
        <v>436</v>
      </c>
      <c r="E111" s="67" t="s">
        <v>436</v>
      </c>
      <c r="F111" s="68" t="s">
        <v>425</v>
      </c>
      <c r="G111" s="67" t="s">
        <v>574</v>
      </c>
      <c r="H111" s="68"/>
      <c r="I111" s="67"/>
      <c r="J111" s="68" t="s">
        <v>575</v>
      </c>
      <c r="K111" s="67" t="s">
        <v>436</v>
      </c>
      <c r="L111" s="68">
        <v>1</v>
      </c>
      <c r="M111" s="38">
        <f t="shared" si="32"/>
        <v>10</v>
      </c>
      <c r="N111" s="68">
        <v>10</v>
      </c>
      <c r="O111" s="69" t="s">
        <v>456</v>
      </c>
      <c r="P111" s="70">
        <v>2.8001</v>
      </c>
      <c r="Q111" s="80">
        <f>P111*N111</f>
        <v>28.001000000000001</v>
      </c>
      <c r="R111" s="68"/>
      <c r="S111" s="67"/>
    </row>
    <row r="112" spans="1:19" s="60" customFormat="1" ht="26.25" thickBot="1" x14ac:dyDescent="0.3">
      <c r="A112" s="59"/>
      <c r="B112" s="78">
        <f t="shared" si="48"/>
        <v>103</v>
      </c>
      <c r="C112" s="86" t="s">
        <v>577</v>
      </c>
      <c r="D112" s="79" t="s">
        <v>436</v>
      </c>
      <c r="E112" s="67" t="s">
        <v>578</v>
      </c>
      <c r="F112" s="68" t="s">
        <v>425</v>
      </c>
      <c r="G112" s="67" t="s">
        <v>579</v>
      </c>
      <c r="H112" s="68" t="s">
        <v>580</v>
      </c>
      <c r="I112" s="67"/>
      <c r="J112" s="68" t="s">
        <v>581</v>
      </c>
      <c r="K112" s="67" t="s">
        <v>436</v>
      </c>
      <c r="L112" s="68">
        <v>1</v>
      </c>
      <c r="M112" s="38">
        <f t="shared" si="32"/>
        <v>10</v>
      </c>
      <c r="N112" s="68">
        <v>10</v>
      </c>
      <c r="O112" s="69" t="s">
        <v>456</v>
      </c>
      <c r="P112" s="70">
        <v>0.1734</v>
      </c>
      <c r="Q112" s="80">
        <f>P112*N112</f>
        <v>1.734</v>
      </c>
      <c r="R112" s="68"/>
      <c r="S112" s="67"/>
    </row>
    <row r="113" spans="1:19" ht="19.5" thickBot="1" x14ac:dyDescent="0.3">
      <c r="A113" s="1"/>
      <c r="B113" s="41"/>
      <c r="C113" s="42"/>
      <c r="D113" s="43"/>
      <c r="E113" s="44"/>
      <c r="F113" s="45"/>
      <c r="G113" s="46"/>
      <c r="H113" s="45"/>
      <c r="I113" s="46"/>
      <c r="J113" s="45"/>
      <c r="K113" s="46"/>
      <c r="L113" s="46"/>
      <c r="M113" s="46"/>
      <c r="N113" s="99" t="s">
        <v>5</v>
      </c>
      <c r="O113" s="100"/>
      <c r="P113" s="100"/>
      <c r="Q113" s="48">
        <f>SUM(Q10:Q112)</f>
        <v>676.12400000000002</v>
      </c>
      <c r="R113" s="95"/>
      <c r="S113" s="96"/>
    </row>
    <row r="114" spans="1:19" ht="19.5" thickBot="1" x14ac:dyDescent="0.3">
      <c r="A114" s="1"/>
      <c r="B114" s="25"/>
      <c r="C114" s="37"/>
      <c r="D114" s="9"/>
      <c r="E114" s="10"/>
      <c r="F114" s="10"/>
      <c r="G114" s="10"/>
      <c r="H114" s="10"/>
      <c r="I114" s="10"/>
      <c r="J114" s="10"/>
      <c r="K114" s="10"/>
      <c r="L114" s="10"/>
      <c r="M114" s="10"/>
      <c r="N114" s="99" t="s">
        <v>6</v>
      </c>
      <c r="O114" s="100"/>
      <c r="P114" s="100"/>
      <c r="Q114" s="49">
        <f>Q113/10</f>
        <v>67.612400000000008</v>
      </c>
      <c r="R114" s="97"/>
      <c r="S114" s="98"/>
    </row>
  </sheetData>
  <mergeCells count="5">
    <mergeCell ref="K1:S1"/>
    <mergeCell ref="S3:S8"/>
    <mergeCell ref="N113:P113"/>
    <mergeCell ref="R113:S114"/>
    <mergeCell ref="N114:P114"/>
  </mergeCells>
  <hyperlinks>
    <hyperlink ref="O10" r:id="rId1"/>
    <hyperlink ref="O12" r:id="rId2"/>
    <hyperlink ref="O13" r:id="rId3"/>
    <hyperlink ref="O14" r:id="rId4"/>
    <hyperlink ref="O15" r:id="rId5"/>
    <hyperlink ref="O16" r:id="rId6"/>
    <hyperlink ref="O18" r:id="rId7"/>
    <hyperlink ref="O17" r:id="rId8"/>
    <hyperlink ref="O19" r:id="rId9"/>
    <hyperlink ref="O21" r:id="rId10"/>
    <hyperlink ref="O20" r:id="rId11"/>
    <hyperlink ref="O22" r:id="rId12"/>
    <hyperlink ref="O23" r:id="rId13"/>
    <hyperlink ref="O24" r:id="rId14"/>
    <hyperlink ref="O25" r:id="rId15"/>
    <hyperlink ref="O26" r:id="rId16"/>
    <hyperlink ref="O27" r:id="rId17"/>
    <hyperlink ref="O30" r:id="rId18"/>
    <hyperlink ref="O29" r:id="rId19"/>
    <hyperlink ref="O33" r:id="rId20"/>
    <hyperlink ref="O34" r:id="rId21"/>
    <hyperlink ref="O35" r:id="rId22"/>
    <hyperlink ref="O36" r:id="rId23"/>
    <hyperlink ref="O38" r:id="rId24"/>
    <hyperlink ref="O41" r:id="rId25"/>
    <hyperlink ref="O42" r:id="rId26"/>
    <hyperlink ref="O43" r:id="rId27"/>
    <hyperlink ref="O45" r:id="rId28"/>
    <hyperlink ref="O46" r:id="rId29"/>
    <hyperlink ref="O53" r:id="rId30"/>
    <hyperlink ref="O40" r:id="rId31"/>
    <hyperlink ref="O49" r:id="rId32"/>
    <hyperlink ref="O52" r:id="rId33"/>
    <hyperlink ref="O54" r:id="rId34"/>
    <hyperlink ref="O56" r:id="rId35"/>
    <hyperlink ref="O44" r:id="rId36"/>
    <hyperlink ref="O50" r:id="rId37"/>
    <hyperlink ref="O51" r:id="rId38"/>
    <hyperlink ref="O28" r:id="rId39"/>
    <hyperlink ref="O39" r:id="rId40"/>
    <hyperlink ref="O48" r:id="rId41"/>
    <hyperlink ref="O57" r:id="rId42"/>
    <hyperlink ref="O58" r:id="rId43"/>
    <hyperlink ref="O59" r:id="rId44"/>
    <hyperlink ref="O60" r:id="rId45"/>
    <hyperlink ref="O61" r:id="rId46"/>
    <hyperlink ref="O62" r:id="rId47"/>
    <hyperlink ref="O63" r:id="rId48"/>
    <hyperlink ref="O64" r:id="rId49"/>
    <hyperlink ref="O65" r:id="rId50"/>
    <hyperlink ref="O66" r:id="rId51"/>
    <hyperlink ref="O67" r:id="rId52"/>
    <hyperlink ref="O68" r:id="rId53"/>
    <hyperlink ref="O69" r:id="rId54"/>
    <hyperlink ref="O71" r:id="rId55"/>
    <hyperlink ref="O72" r:id="rId56"/>
    <hyperlink ref="O74" r:id="rId57"/>
    <hyperlink ref="O77" r:id="rId58"/>
    <hyperlink ref="O78" r:id="rId59"/>
    <hyperlink ref="O86" r:id="rId60"/>
    <hyperlink ref="O87" r:id="rId61"/>
    <hyperlink ref="O94" r:id="rId62"/>
    <hyperlink ref="O95" r:id="rId63"/>
    <hyperlink ref="O99" r:id="rId64"/>
    <hyperlink ref="O101" r:id="rId65"/>
    <hyperlink ref="O102" r:id="rId66"/>
    <hyperlink ref="O93" r:id="rId67"/>
    <hyperlink ref="O98" r:id="rId68"/>
    <hyperlink ref="O103" r:id="rId69"/>
    <hyperlink ref="O105" r:id="rId70"/>
    <hyperlink ref="O70" r:id="rId71"/>
    <hyperlink ref="O73" r:id="rId72"/>
    <hyperlink ref="O75" r:id="rId73"/>
    <hyperlink ref="O76" r:id="rId74"/>
    <hyperlink ref="O79" r:id="rId75"/>
    <hyperlink ref="O80" r:id="rId76"/>
    <hyperlink ref="O88" r:id="rId77"/>
    <hyperlink ref="O89" r:id="rId78"/>
    <hyperlink ref="O81" r:id="rId79"/>
    <hyperlink ref="O82" r:id="rId80"/>
    <hyperlink ref="O83" r:id="rId81"/>
    <hyperlink ref="O84" r:id="rId82"/>
    <hyperlink ref="O85" r:id="rId83"/>
    <hyperlink ref="O104" r:id="rId84"/>
    <hyperlink ref="O55" r:id="rId85"/>
    <hyperlink ref="O11" r:id="rId86"/>
    <hyperlink ref="O31" r:id="rId87"/>
    <hyperlink ref="O106" r:id="rId88"/>
    <hyperlink ref="O107" r:id="rId89"/>
    <hyperlink ref="O108" r:id="rId90"/>
    <hyperlink ref="O37" r:id="rId91"/>
    <hyperlink ref="O109" r:id="rId92"/>
    <hyperlink ref="O91" r:id="rId93"/>
    <hyperlink ref="O110" r:id="rId94"/>
    <hyperlink ref="O111" r:id="rId95"/>
    <hyperlink ref="O112" r:id="rId96"/>
    <hyperlink ref="O32" r:id="rId97"/>
  </hyperlinks>
  <pageMargins left="0.7" right="0.7" top="0.75" bottom="0.75" header="0.3" footer="0.3"/>
  <drawing r:id="rId9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 Boards</vt:lpstr>
      <vt:lpstr>10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2023-03-01T15:36:50Z</dcterms:modified>
</cp:coreProperties>
</file>