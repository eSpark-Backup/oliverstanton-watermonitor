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88E4FD1C-5700-4F6D-A99F-62E493B0000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11" i="1" l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O102" i="1" l="1"/>
  <c r="O103" i="1" s="1"/>
</calcChain>
</file>

<file path=xl/sharedStrings.xml><?xml version="1.0" encoding="utf-8"?>
<sst xmlns="http://schemas.openxmlformats.org/spreadsheetml/2006/main" count="768" uniqueCount="454">
  <si>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</si>
  <si>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</si>
  <si>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</si>
  <si>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</si>
  <si>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</si>
  <si>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</si>
  <si>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</si>
  <si>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</si>
  <si>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C2, C6, C10, C15, C18, C22, C25, C26, C27, C28, C29, C30, C33, C36, C37, C38, C39, C40, C41, C44, C46, C47, C48, C49, C51, C52, C55, C57, C60, C62, C64, C66, C68, C69, C73, C76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</si>
  <si>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</si>
  <si>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</si>
  <si>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</si>
  <si>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</si>
  <si>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</si>
  <si>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</si>
  <si>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</si>
  <si>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C50, C54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</si>
  <si>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</si>
  <si>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</si>
  <si>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</si>
  <si>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</si>
  <si>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</si>
  <si>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</si>
  <si>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</si>
  <si>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</si>
  <si>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</si>
  <si>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</si>
  <si>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</si>
  <si>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</si>
  <si>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</si>
  <si>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</si>
  <si>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</si>
  <si>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</si>
  <si>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</si>
  <si>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</si>
  <si>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</si>
  <si>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</si>
  <si>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</si>
  <si>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</si>
  <si>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</si>
  <si>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</si>
  <si>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</si>
  <si>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</si>
  <si>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</si>
  <si>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</si>
  <si>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</si>
  <si>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</si>
  <si>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</si>
  <si>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</si>
  <si>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</si>
  <si>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</si>
  <si>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</si>
  <si>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</si>
  <si>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</si>
  <si>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</si>
  <si>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</si>
  <si>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</si>
  <si>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</si>
  <si>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</si>
  <si>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</si>
  <si>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</si>
  <si>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</si>
  <si>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</si>
  <si>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</si>
  <si>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</si>
  <si>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</si>
  <si>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</si>
  <si>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</si>
  <si>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</si>
  <si>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</si>
  <si>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</si>
  <si>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</si>
  <si>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</si>
  <si>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</si>
  <si>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</si>
  <si>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</si>
  <si>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</si>
  <si>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</si>
  <si>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</si>
  <si>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</si>
  <si>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</si>
  <si>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</si>
  <si>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</si>
  <si>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</si>
  <si>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</si>
  <si>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</si>
  <si>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</si>
  <si>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</si>
  <si>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</si>
  <si>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</si>
  <si>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</si>
  <si>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</si>
  <si>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</si>
  <si>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</si>
  <si>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</si>
  <si>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</si>
  <si>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</si>
  <si>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</si>
  <si>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</si>
  <si>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</si>
  <si>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</si>
  <si>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</si>
  <si>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</si>
  <si>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</si>
  <si>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</si>
  <si>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</si>
  <si>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</si>
  <si>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</si>
  <si>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0.1UF 100V X7R 0603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</si>
  <si>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</si>
  <si>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</si>
  <si>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</si>
  <si>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</si>
  <si>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</si>
  <si>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</si>
  <si>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</si>
  <si>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</si>
  <si>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</si>
  <si>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</si>
  <si>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</si>
  <si>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</si>
  <si>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</si>
  <si>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</si>
  <si>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</si>
  <si>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</si>
  <si>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</si>
  <si>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</si>
  <si>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</si>
  <si>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</si>
  <si>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</si>
  <si>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</si>
  <si>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</si>
  <si>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</si>
  <si>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</si>
  <si>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</si>
  <si>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</si>
  <si>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</si>
  <si>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</si>
  <si>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</si>
  <si>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</si>
  <si>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</si>
  <si>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</si>
  <si>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</si>
  <si>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</si>
  <si>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</si>
  <si>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</si>
  <si>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</si>
  <si>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</si>
  <si>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</si>
  <si>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</si>
  <si>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</si>
  <si>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</si>
  <si>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</si>
  <si>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</si>
  <si>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</si>
  <si>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</si>
  <si>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</si>
  <si>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</si>
  <si>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</si>
  <si>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</si>
  <si>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</si>
  <si>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</si>
  <si>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</si>
  <si>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</si>
  <si>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</si>
  <si>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</si>
  <si>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</si>
  <si>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</si>
  <si>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</si>
  <si>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</si>
  <si>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</si>
  <si>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</si>
  <si>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</si>
  <si>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</si>
  <si>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</si>
  <si>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</si>
  <si>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</si>
  <si>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</si>
  <si>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</si>
  <si>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</si>
  <si>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</si>
  <si>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</si>
  <si>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</si>
  <si>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</si>
  <si>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</si>
  <si>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</si>
  <si>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</si>
  <si>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</si>
  <si>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</si>
  <si>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RVT1E100M0405.</t>
  </si>
  <si>
    <t>Cap0603</t>
  </si>
  <si>
    <t>VT1H471MI135000CE0</t>
  </si>
  <si>
    <t>UWX1E101MCL1GB</t>
  </si>
  <si>
    <t>F981E105MMA</t>
  </si>
  <si>
    <t>SMA</t>
  </si>
  <si>
    <t>PMEG045V100EPD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</si>
  <si>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</si>
  <si>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</si>
  <si>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</si>
  <si>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</si>
  <si>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</si>
  <si>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</si>
  <si>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</si>
  <si>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</si>
  <si>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10118194-0001LF</t>
  </si>
  <si>
    <t>Ind0805</t>
  </si>
  <si>
    <t>SLF12575T-221M1R3-PF</t>
  </si>
  <si>
    <t>IND 0402</t>
  </si>
  <si>
    <t>IND 0603</t>
  </si>
  <si>
    <t>LED 0402</t>
  </si>
  <si>
    <t>YS-SBZ9032C03R16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</si>
  <si>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</si>
  <si>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</si>
  <si>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</si>
  <si>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</si>
  <si>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</si>
  <si>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</si>
  <si>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</si>
  <si>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</si>
  <si>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</si>
  <si>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</si>
  <si>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</si>
  <si>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</si>
  <si>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</si>
  <si>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</si>
  <si>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</si>
  <si>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</si>
  <si>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</si>
  <si>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</si>
  <si>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</si>
  <si>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</si>
  <si>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</si>
  <si>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</si>
  <si>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</si>
  <si>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</si>
  <si>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</si>
  <si>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</si>
  <si>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</si>
  <si>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</si>
  <si>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</si>
  <si>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</si>
  <si>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</si>
  <si>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</si>
  <si>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CC0603KRX7R0BB104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</si>
  <si>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</si>
  <si>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</si>
  <si>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</si>
  <si>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</si>
  <si>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</si>
  <si>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</si>
  <si>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</si>
  <si>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</si>
  <si>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</si>
  <si>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</si>
  <si>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</si>
  <si>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</si>
  <si>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</si>
  <si>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</si>
  <si>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</si>
  <si>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</si>
  <si>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</si>
  <si>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</si>
  <si>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</si>
  <si>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</si>
  <si>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</si>
  <si>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</si>
  <si>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</si>
  <si>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</si>
  <si>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</si>
  <si>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</si>
  <si>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</si>
  <si>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</si>
  <si>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</si>
  <si>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</si>
  <si>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</si>
  <si>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</si>
  <si>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</si>
  <si>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</si>
  <si>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</si>
  <si>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</si>
  <si>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</si>
  <si>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</si>
  <si>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</si>
  <si>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</si>
  <si>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</si>
  <si>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</si>
  <si>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</si>
  <si>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</si>
  <si>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</si>
  <si>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</si>
  <si>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</si>
  <si>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</si>
  <si>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</si>
  <si>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</si>
  <si>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</si>
  <si>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</si>
  <si>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</si>
  <si>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</si>
  <si>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</si>
  <si>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</si>
  <si>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</si>
  <si>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</si>
  <si>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</si>
  <si>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</si>
  <si>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ON Semiconductor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</si>
  <si>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</si>
  <si>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</si>
  <si>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</si>
  <si>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</si>
  <si>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</si>
  <si>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</si>
  <si>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</si>
  <si>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</si>
  <si>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</si>
  <si>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</si>
  <si>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</si>
  <si>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</si>
  <si>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</si>
  <si>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</si>
  <si>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</si>
  <si>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</si>
  <si>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</si>
  <si>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</si>
  <si>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</si>
  <si>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</si>
  <si>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</si>
  <si>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</si>
  <si>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</si>
  <si>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</si>
  <si>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</si>
  <si>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</si>
  <si>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</si>
  <si>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</si>
  <si>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</si>
  <si>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</si>
  <si>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</si>
  <si>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</si>
  <si>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</si>
  <si>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</si>
  <si>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</si>
  <si>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</si>
  <si>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</si>
  <si>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</si>
  <si>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</si>
  <si>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</si>
  <si>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</si>
  <si>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</si>
  <si>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</si>
  <si>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</si>
  <si>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</si>
  <si>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</si>
  <si>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</si>
  <si>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SS24A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</si>
  <si>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</si>
  <si>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</si>
  <si>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</si>
  <si>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</si>
  <si>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</si>
  <si>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</si>
  <si>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</si>
  <si>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</si>
  <si>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</si>
  <si>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</si>
  <si>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</si>
  <si>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</si>
  <si>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</si>
  <si>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</si>
  <si>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</si>
  <si>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</si>
  <si>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</si>
  <si>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</si>
  <si>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</si>
  <si>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</si>
  <si>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</si>
  <si>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</si>
  <si>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</si>
  <si>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</si>
  <si>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</si>
  <si>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</si>
  <si>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</si>
  <si>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</si>
  <si>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</si>
  <si>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</si>
  <si>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</si>
  <si>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</si>
  <si>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Capacitor</t>
  </si>
  <si>
    <t>Diode</t>
  </si>
  <si>
    <t>Connector</t>
  </si>
  <si>
    <t>Terminal Block</t>
  </si>
  <si>
    <t>Header</t>
  </si>
  <si>
    <t>Inductor</t>
  </si>
  <si>
    <t>LED</t>
  </si>
  <si>
    <t>Buzzer</t>
  </si>
  <si>
    <t>Mosfet</t>
  </si>
  <si>
    <t>Resistor</t>
  </si>
  <si>
    <t>Switch</t>
  </si>
  <si>
    <t>IC</t>
  </si>
  <si>
    <t>Crystal</t>
  </si>
  <si>
    <t>Item Type</t>
  </si>
  <si>
    <t>Alternate Part Number</t>
  </si>
  <si>
    <t>Quantity/5 Boards</t>
  </si>
  <si>
    <t>LCSC/MOQ/5 Boards</t>
  </si>
  <si>
    <t>Unit Cost/5 Boards</t>
  </si>
  <si>
    <t>Total Cost/5 Boards</t>
  </si>
  <si>
    <t>Remarks</t>
  </si>
  <si>
    <t>Reviewer Remarks</t>
  </si>
  <si>
    <t>Custom</t>
  </si>
  <si>
    <t>8MSOP</t>
  </si>
  <si>
    <t>-</t>
  </si>
  <si>
    <t>--</t>
  </si>
  <si>
    <t>Value</t>
  </si>
  <si>
    <t>RTT03R330FTP</t>
  </si>
  <si>
    <t>UMK107BBJ225KA-T</t>
  </si>
  <si>
    <t xml:space="preserve">PAKER </t>
  </si>
  <si>
    <t xml:space="preserve">GOODWORK </t>
  </si>
  <si>
    <t xml:space="preserve">Nexperia </t>
  </si>
  <si>
    <t>MGFL2012F100MT-LF</t>
  </si>
  <si>
    <t>PZ254V-11-06P</t>
  </si>
  <si>
    <t>A2541WV-3P</t>
  </si>
  <si>
    <t>DZ254R-11-04-63</t>
  </si>
  <si>
    <t>VBsemi Elec</t>
  </si>
  <si>
    <t>TC0325B6801T5F</t>
  </si>
  <si>
    <t>ARG05DTC5002</t>
  </si>
  <si>
    <t>RT0603BRD07100KL</t>
  </si>
  <si>
    <t>NCD0402R1</t>
  </si>
  <si>
    <t>C30734</t>
  </si>
  <si>
    <t>BOOMELE</t>
  </si>
  <si>
    <t>1.5K</t>
  </si>
  <si>
    <t>RC0603FR-071K5L</t>
  </si>
  <si>
    <t xml:space="preserve">YAGEO </t>
  </si>
  <si>
    <t>ERJ2RKF2002X</t>
  </si>
  <si>
    <t xml:space="preserve">RENESAS </t>
  </si>
  <si>
    <t>KF2EDGRC-5.08-2P</t>
  </si>
  <si>
    <t>KF2EDGRC-5.08-3P</t>
  </si>
  <si>
    <t>KF2EDGRC-5.08-4P</t>
  </si>
  <si>
    <t xml:space="preserve">Total Component Cost </t>
  </si>
  <si>
    <t>Single Board Cost</t>
  </si>
  <si>
    <t>DO NOT MOUNT</t>
  </si>
  <si>
    <t>Bill of Materials for Project  (GTV3)</t>
  </si>
  <si>
    <t xml:space="preserve"> (GTV3)</t>
  </si>
  <si>
    <t>T491A105K025AT</t>
  </si>
  <si>
    <t>SMBJ70A/TR13</t>
  </si>
  <si>
    <t>Alternate added. Design change may not be needed. Needs to be confirmed</t>
  </si>
  <si>
    <t>XC32M4-8.000-F18LJDT</t>
  </si>
  <si>
    <t>HCI</t>
  </si>
  <si>
    <t>8MHz</t>
  </si>
  <si>
    <t>8MHz SMD Crystal Resonator 18pF 200Ω ±20ppm ±30ppm -40℃~+85℃ SMD3225-4P Crystals ROHS</t>
  </si>
  <si>
    <t>R4, R6, R9, R27, R42, R43, R44, R45, R46, R47, R48, R49, R52, R54, R55, R56, R63, R68, R69, R70, R72, R73, R74, R75, R86, R87, R88, R101, R102, R103, R104, R106, R82</t>
  </si>
  <si>
    <t xml:space="preserve">Part added in design </t>
  </si>
  <si>
    <t>0603CG1R5C500NT</t>
  </si>
  <si>
    <t xml:space="preserve">PZ254V-11-02P
</t>
  </si>
  <si>
    <t xml:space="preserve">   </t>
  </si>
  <si>
    <t>SCR0603F69K8</t>
  </si>
  <si>
    <t>Alternate added. Design change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</si>
</sst>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20" fillId="4" borderId="6" xfId="0" applyFont="1" applyFill="1" applyBorder="1" applyAlignment="1">
      <alignment horizontal="center" vertical="center" wrapText="1"/>
    </xf>
    <xf numFmtId="165" fontId="0" fillId="0" borderId="0" xfId="0" applyNumberFormat="1"/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 wrapText="1"/>
    </xf>
    <xf numFmtId="0" fontId="21" fillId="4" borderId="17" xfId="0" applyFont="1" applyFill="1" applyBorder="1" applyAlignment="1">
      <alignment horizontal="center" vertical="center" wrapText="1"/>
    </xf>
    <xf numFmtId="0" fontId="23" fillId="2" borderId="18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 wrapText="1"/>
    </xf>
    <xf numFmtId="0" fontId="18" fillId="4" borderId="24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2" fillId="3" borderId="22" xfId="0" applyFont="1" applyFill="1" applyBorder="1" applyAlignment="1" applyProtection="1">
      <alignment horizontal="center" vertical="top"/>
      <protection locked="0"/>
    </xf>
    <xf numFmtId="0" fontId="22" fillId="3" borderId="12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9525</xdr:colOff>
      <xdr:row>2</xdr:row>
      <xdr:rowOff>10417</xdr:rowOff>
    </xdr:from>
    <xdr:to>
      <xdr:col>16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106"/>
  <sheetViews>
    <sheetView tabSelected="1" topLeftCell="A67" zoomScaleNormal="100" workbookViewId="0">
      <selection activeCell="G112" sqref="G11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9.7109375" bestFit="1" customWidth="1"/>
    <col min="10" max="10" width="10.7109375" bestFit="1" customWidth="1"/>
    <col min="11" max="11" width="8.7109375" bestFit="1" customWidth="1"/>
    <col min="12" max="12" width="17.28515625" bestFit="1" customWidth="1"/>
    <col min="13" max="13" width="19.28515625" bestFit="1" customWidth="1"/>
    <col min="14" max="14" width="17.7109375" bestFit="1" customWidth="1"/>
    <col min="15" max="15" width="18.28515625" bestFit="1" customWidth="1"/>
    <col min="16" max="16" width="16.5703125" bestFit="1" customWidth="1"/>
    <col min="17" max="17" width="26.85546875" bestFit="1" customWidth="1"/>
    <col min="19" max="19" width="25.28515625" bestFit="1" customWidth="1"/>
    <col min="20" max="20" width="9.28515625" bestFit="1" customWidth="1"/>
    <col min="21" max="21" width="17.7109375" bestFit="1" customWidth="1"/>
    <col min="22" max="22" width="10.42578125" bestFit="1" customWidth="1"/>
    <col min="24" max="24" width="25.140625" bestFit="1" customWidth="1"/>
    <col min="26" max="26" width="13.140625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72"/>
      <c r="K1" s="72"/>
      <c r="L1" s="72"/>
      <c r="M1" s="72"/>
      <c r="N1" s="72"/>
      <c r="O1" s="72"/>
      <c r="P1" s="72"/>
      <c r="Q1" s="73"/>
    </row>
    <row r="2" spans="1:22" ht="32.25" thickBot="1" x14ac:dyDescent="0.3">
      <c r="A2" s="1"/>
      <c r="B2" s="21"/>
      <c r="C2" s="39"/>
      <c r="D2" s="11" t="s">
        <v>0</v>
      </c>
      <c r="E2" s="11"/>
      <c r="F2" s="54" t="s">
        <v>438</v>
      </c>
      <c r="G2" s="12"/>
      <c r="H2" s="12"/>
      <c r="I2" s="4"/>
      <c r="J2" s="4"/>
      <c r="K2" s="4"/>
      <c r="L2" s="4"/>
      <c r="M2" s="4"/>
      <c r="N2" s="4"/>
      <c r="O2" s="4"/>
      <c r="P2" s="4"/>
      <c r="Q2" s="3"/>
    </row>
    <row r="3" spans="1:22" x14ac:dyDescent="0.25">
      <c r="A3" s="1"/>
      <c r="B3" s="22"/>
      <c r="C3" s="40"/>
      <c r="D3" s="13" t="s">
        <v>1</v>
      </c>
      <c r="E3" s="13"/>
      <c r="F3" s="55" t="s">
        <v>439</v>
      </c>
      <c r="G3" s="13"/>
      <c r="H3" s="13"/>
      <c r="I3" s="5"/>
      <c r="J3" s="5"/>
      <c r="K3" s="5"/>
      <c r="L3" s="5"/>
      <c r="M3" s="5"/>
      <c r="N3" s="5"/>
      <c r="O3" s="5"/>
      <c r="P3" s="5"/>
      <c r="Q3" s="74"/>
    </row>
    <row r="4" spans="1:22" x14ac:dyDescent="0.25">
      <c r="A4" s="1"/>
      <c r="B4" s="22"/>
      <c r="C4" s="40"/>
      <c r="D4" s="13" t="s">
        <v>2</v>
      </c>
      <c r="E4" s="13"/>
      <c r="F4" s="56" t="s">
        <v>439</v>
      </c>
      <c r="G4" s="14"/>
      <c r="H4" s="14"/>
      <c r="I4" s="7"/>
      <c r="J4" s="7"/>
      <c r="K4" s="6"/>
      <c r="L4" s="6"/>
      <c r="M4" s="6"/>
      <c r="N4" s="6"/>
      <c r="O4" s="6"/>
      <c r="P4" s="6"/>
      <c r="Q4" s="75"/>
    </row>
    <row r="5" spans="1:22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75"/>
    </row>
    <row r="6" spans="1:22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75"/>
    </row>
    <row r="7" spans="1:22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75"/>
    </row>
    <row r="8" spans="1:22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75"/>
    </row>
    <row r="9" spans="1:22" ht="15.75" thickBot="1" x14ac:dyDescent="0.3">
      <c r="A9" s="1"/>
      <c r="B9" s="30" t="s">
        <v>4</v>
      </c>
      <c r="C9" s="30" t="s">
        <v>398</v>
      </c>
      <c r="D9" s="30" t="s">
        <v>6</v>
      </c>
      <c r="E9" s="31" t="s">
        <v>98</v>
      </c>
      <c r="F9" s="30" t="s">
        <v>188</v>
      </c>
      <c r="G9" s="31" t="s">
        <v>237</v>
      </c>
      <c r="H9" s="30" t="s">
        <v>399</v>
      </c>
      <c r="I9" s="30" t="s">
        <v>296</v>
      </c>
      <c r="J9" s="68" t="s">
        <v>410</v>
      </c>
      <c r="K9" s="30" t="s">
        <v>384</v>
      </c>
      <c r="L9" s="30" t="s">
        <v>400</v>
      </c>
      <c r="M9" s="30" t="s">
        <v>401</v>
      </c>
      <c r="N9" s="30" t="s">
        <v>402</v>
      </c>
      <c r="O9" s="30" t="s">
        <v>403</v>
      </c>
      <c r="P9" s="32" t="s">
        <v>404</v>
      </c>
      <c r="Q9" s="32" t="s">
        <v>405</v>
      </c>
    </row>
    <row r="10" spans="1:22" ht="24.75" thickBot="1" x14ac:dyDescent="0.3">
      <c r="A10" s="1"/>
      <c r="B10" s="38">
        <f t="shared" ref="B10:B41" si="0">ROW(B10) - ROW($B$9)</f>
        <v>1</v>
      </c>
      <c r="C10" s="65" t="s">
        <v>385</v>
      </c>
      <c r="D10" s="46" t="s">
        <v>7</v>
      </c>
      <c r="E10" s="47" t="s">
        <v>99</v>
      </c>
      <c r="F10" s="46" t="s">
        <v>406</v>
      </c>
      <c r="G10" s="46" t="s">
        <v>189</v>
      </c>
      <c r="H10" s="46" t="s">
        <v>408</v>
      </c>
      <c r="I10" s="46" t="s">
        <v>297</v>
      </c>
      <c r="J10" s="69" t="s">
        <v>338</v>
      </c>
      <c r="K10" s="46">
        <v>13</v>
      </c>
      <c r="L10" s="46">
        <f>K10*5</f>
        <v>65</v>
      </c>
      <c r="M10" s="46">
        <v>80</v>
      </c>
      <c r="N10" s="58">
        <v>0.12210000000000001</v>
      </c>
      <c r="O10" s="58">
        <f t="shared" ref="O10:O45" si="1">N10*M10</f>
        <v>9.7680000000000007</v>
      </c>
      <c r="P10" s="48"/>
      <c r="Q10" s="49"/>
      <c r="T10" s="62"/>
      <c r="V10" s="62"/>
    </row>
    <row r="11" spans="1:22" ht="60.75" thickBot="1" x14ac:dyDescent="0.3">
      <c r="A11" s="1"/>
      <c r="B11" s="38">
        <f t="shared" si="0"/>
        <v>2</v>
      </c>
      <c r="C11" s="66" t="s">
        <v>385</v>
      </c>
      <c r="D11" s="50" t="s">
        <v>8</v>
      </c>
      <c r="E11" s="51" t="s">
        <v>100</v>
      </c>
      <c r="F11" s="50" t="s">
        <v>190</v>
      </c>
      <c r="G11" s="51" t="s">
        <v>238</v>
      </c>
      <c r="H11" s="50" t="s">
        <v>408</v>
      </c>
      <c r="I11" s="50" t="s">
        <v>298</v>
      </c>
      <c r="J11" s="70" t="s">
        <v>339</v>
      </c>
      <c r="K11" s="50">
        <v>36</v>
      </c>
      <c r="L11" s="50">
        <f t="shared" ref="L11:L74" si="2">K11*5</f>
        <v>180</v>
      </c>
      <c r="M11" s="50">
        <v>200</v>
      </c>
      <c r="N11" s="59">
        <v>0.1027</v>
      </c>
      <c r="O11" s="59">
        <f t="shared" si="1"/>
        <v>20.54</v>
      </c>
      <c r="P11" s="52"/>
      <c r="Q11" s="53"/>
      <c r="T11" s="62"/>
      <c r="V11" s="62"/>
    </row>
    <row r="12" spans="1:22" ht="15.75" thickBot="1" x14ac:dyDescent="0.3">
      <c r="A12" s="1"/>
      <c r="B12" s="38">
        <f t="shared" si="0"/>
        <v>3</v>
      </c>
      <c r="C12" s="65" t="s">
        <v>385</v>
      </c>
      <c r="D12" s="46" t="s">
        <v>9</v>
      </c>
      <c r="E12" s="47" t="s">
        <v>101</v>
      </c>
      <c r="F12" s="46" t="s">
        <v>190</v>
      </c>
      <c r="G12" s="47" t="s">
        <v>239</v>
      </c>
      <c r="H12" s="46" t="s">
        <v>408</v>
      </c>
      <c r="I12" s="46" t="s">
        <v>298</v>
      </c>
      <c r="J12" s="71" t="s">
        <v>340</v>
      </c>
      <c r="K12" s="46">
        <v>7</v>
      </c>
      <c r="L12" s="46">
        <f t="shared" si="2"/>
        <v>35</v>
      </c>
      <c r="M12" s="46">
        <v>100</v>
      </c>
      <c r="N12" s="58">
        <v>0.10550000000000001</v>
      </c>
      <c r="O12" s="58">
        <f t="shared" si="1"/>
        <v>10.55</v>
      </c>
      <c r="P12" s="48"/>
      <c r="Q12" s="48"/>
      <c r="T12" s="62"/>
      <c r="V12" s="62"/>
    </row>
    <row r="13" spans="1:22" ht="48.75" thickBot="1" x14ac:dyDescent="0.3">
      <c r="A13" s="1"/>
      <c r="B13" s="38">
        <f t="shared" si="0"/>
        <v>4</v>
      </c>
      <c r="C13" s="66" t="s">
        <v>385</v>
      </c>
      <c r="D13" s="50" t="s">
        <v>10</v>
      </c>
      <c r="E13" s="51" t="s">
        <v>102</v>
      </c>
      <c r="F13" s="50" t="s">
        <v>406</v>
      </c>
      <c r="G13" s="51" t="s">
        <v>191</v>
      </c>
      <c r="H13" s="50" t="s">
        <v>408</v>
      </c>
      <c r="I13" s="50" t="s">
        <v>299</v>
      </c>
      <c r="J13" s="70" t="s">
        <v>341</v>
      </c>
      <c r="K13" s="50">
        <v>5</v>
      </c>
      <c r="L13" s="50">
        <f t="shared" si="2"/>
        <v>25</v>
      </c>
      <c r="M13" s="50">
        <v>27</v>
      </c>
      <c r="N13" s="59">
        <v>0.43410000000000004</v>
      </c>
      <c r="O13" s="59">
        <f t="shared" si="1"/>
        <v>11.720700000000001</v>
      </c>
      <c r="P13" s="52"/>
      <c r="Q13" s="53"/>
      <c r="T13" s="62"/>
      <c r="V13" s="62"/>
    </row>
    <row r="14" spans="1:22" ht="15.75" thickBot="1" x14ac:dyDescent="0.3">
      <c r="A14" s="1"/>
      <c r="B14" s="38">
        <f t="shared" si="0"/>
        <v>5</v>
      </c>
      <c r="C14" s="65" t="s">
        <v>385</v>
      </c>
      <c r="D14" s="46" t="s">
        <v>11</v>
      </c>
      <c r="E14" s="47" t="s">
        <v>103</v>
      </c>
      <c r="F14" s="46" t="s">
        <v>406</v>
      </c>
      <c r="G14" s="47" t="s">
        <v>192</v>
      </c>
      <c r="H14" s="46" t="s">
        <v>408</v>
      </c>
      <c r="I14" s="46" t="s">
        <v>300</v>
      </c>
      <c r="J14" s="71" t="s">
        <v>342</v>
      </c>
      <c r="K14" s="46">
        <v>1</v>
      </c>
      <c r="L14" s="46">
        <f t="shared" si="2"/>
        <v>5</v>
      </c>
      <c r="M14" s="46">
        <v>10</v>
      </c>
      <c r="N14" s="58">
        <v>0.22370000000000001</v>
      </c>
      <c r="O14" s="58">
        <f t="shared" si="1"/>
        <v>2.2370000000000001</v>
      </c>
      <c r="P14" s="48"/>
      <c r="Q14" s="48"/>
      <c r="T14" s="62"/>
      <c r="V14" s="62"/>
    </row>
    <row r="15" spans="1:22" ht="15.75" thickBot="1" x14ac:dyDescent="0.3">
      <c r="A15" s="1"/>
      <c r="B15" s="38">
        <f t="shared" si="0"/>
        <v>6</v>
      </c>
      <c r="C15" s="66" t="s">
        <v>385</v>
      </c>
      <c r="D15" s="50" t="s">
        <v>12</v>
      </c>
      <c r="E15" s="51" t="s">
        <v>104</v>
      </c>
      <c r="F15" s="50" t="s">
        <v>190</v>
      </c>
      <c r="G15" s="51" t="s">
        <v>240</v>
      </c>
      <c r="H15" s="50" t="s">
        <v>408</v>
      </c>
      <c r="I15" s="50" t="s">
        <v>298</v>
      </c>
      <c r="J15" s="70" t="s">
        <v>343</v>
      </c>
      <c r="K15" s="50">
        <v>1</v>
      </c>
      <c r="L15" s="50">
        <f t="shared" si="2"/>
        <v>5</v>
      </c>
      <c r="M15" s="50">
        <v>100</v>
      </c>
      <c r="N15" s="59">
        <v>0.1024</v>
      </c>
      <c r="O15" s="59">
        <f t="shared" si="1"/>
        <v>10.24</v>
      </c>
      <c r="P15" s="52"/>
      <c r="Q15" s="53"/>
      <c r="T15" s="62"/>
      <c r="V15" s="62"/>
    </row>
    <row r="16" spans="1:22" ht="26.25" thickBot="1" x14ac:dyDescent="0.3">
      <c r="A16" s="1"/>
      <c r="B16" s="38">
        <f t="shared" si="0"/>
        <v>7</v>
      </c>
      <c r="C16" s="65" t="s">
        <v>385</v>
      </c>
      <c r="D16" s="46" t="s">
        <v>13</v>
      </c>
      <c r="E16" s="47" t="s">
        <v>105</v>
      </c>
      <c r="F16" s="46" t="s">
        <v>406</v>
      </c>
      <c r="G16" s="60" t="s">
        <v>193</v>
      </c>
      <c r="H16" s="46" t="s">
        <v>440</v>
      </c>
      <c r="I16" s="46" t="s">
        <v>301</v>
      </c>
      <c r="J16" s="71" t="s">
        <v>340</v>
      </c>
      <c r="K16" s="46">
        <v>1</v>
      </c>
      <c r="L16" s="46">
        <f t="shared" si="2"/>
        <v>5</v>
      </c>
      <c r="M16" s="46">
        <v>7</v>
      </c>
      <c r="N16" s="58">
        <v>0.26860000000000001</v>
      </c>
      <c r="O16" s="58">
        <f t="shared" si="1"/>
        <v>1.8802000000000001</v>
      </c>
      <c r="P16" s="67" t="s">
        <v>448</v>
      </c>
      <c r="Q16" s="67" t="s">
        <v>453</v>
      </c>
      <c r="T16" s="62"/>
      <c r="V16" s="62"/>
    </row>
    <row r="17" spans="1:22" ht="15.75" thickBot="1" x14ac:dyDescent="0.3">
      <c r="A17" s="1"/>
      <c r="B17" s="38">
        <f t="shared" si="0"/>
        <v>8</v>
      </c>
      <c r="C17" s="66" t="s">
        <v>385</v>
      </c>
      <c r="D17" s="50" t="s">
        <v>14</v>
      </c>
      <c r="E17" s="51" t="s">
        <v>106</v>
      </c>
      <c r="F17" s="50" t="s">
        <v>190</v>
      </c>
      <c r="G17" s="51" t="s">
        <v>241</v>
      </c>
      <c r="H17" s="50" t="s">
        <v>408</v>
      </c>
      <c r="I17" s="50" t="s">
        <v>298</v>
      </c>
      <c r="J17" s="70" t="s">
        <v>344</v>
      </c>
      <c r="K17" s="50">
        <v>4</v>
      </c>
      <c r="L17" s="50">
        <f t="shared" si="2"/>
        <v>20</v>
      </c>
      <c r="M17" s="50">
        <v>100</v>
      </c>
      <c r="N17" s="59">
        <v>0.10260000000000001</v>
      </c>
      <c r="O17" s="59">
        <f t="shared" si="1"/>
        <v>10.260000000000002</v>
      </c>
      <c r="P17" s="52"/>
      <c r="Q17" s="53"/>
      <c r="T17" s="62"/>
      <c r="V17" s="62"/>
    </row>
    <row r="18" spans="1:22" ht="24.75" thickBot="1" x14ac:dyDescent="0.3">
      <c r="A18" s="1"/>
      <c r="B18" s="38">
        <f t="shared" si="0"/>
        <v>9</v>
      </c>
      <c r="C18" s="65" t="s">
        <v>385</v>
      </c>
      <c r="D18" s="46" t="s">
        <v>15</v>
      </c>
      <c r="E18" s="47" t="s">
        <v>107</v>
      </c>
      <c r="F18" s="46" t="s">
        <v>190</v>
      </c>
      <c r="G18" s="47" t="s">
        <v>242</v>
      </c>
      <c r="H18" s="46" t="s">
        <v>408</v>
      </c>
      <c r="I18" s="46" t="s">
        <v>298</v>
      </c>
      <c r="J18" s="71" t="s">
        <v>345</v>
      </c>
      <c r="K18" s="46">
        <v>1</v>
      </c>
      <c r="L18" s="46">
        <f t="shared" si="2"/>
        <v>5</v>
      </c>
      <c r="M18" s="46">
        <v>100</v>
      </c>
      <c r="N18" s="58">
        <v>0.10340000000000001</v>
      </c>
      <c r="O18" s="58">
        <f t="shared" si="1"/>
        <v>10.34</v>
      </c>
      <c r="P18" s="48"/>
      <c r="Q18" s="48"/>
      <c r="T18" s="62"/>
      <c r="V18" s="62"/>
    </row>
    <row r="19" spans="1:22" ht="15.75" thickBot="1" x14ac:dyDescent="0.3">
      <c r="A19" s="1"/>
      <c r="B19" s="38">
        <f t="shared" si="0"/>
        <v>10</v>
      </c>
      <c r="C19" s="66" t="s">
        <v>385</v>
      </c>
      <c r="D19" s="50" t="s">
        <v>16</v>
      </c>
      <c r="E19" s="51" t="s">
        <v>108</v>
      </c>
      <c r="F19" s="50" t="s">
        <v>190</v>
      </c>
      <c r="G19" s="51" t="s">
        <v>243</v>
      </c>
      <c r="H19" s="50" t="s">
        <v>408</v>
      </c>
      <c r="I19" s="50" t="s">
        <v>298</v>
      </c>
      <c r="J19" s="70" t="s">
        <v>339</v>
      </c>
      <c r="K19" s="50">
        <v>2</v>
      </c>
      <c r="L19" s="50">
        <f t="shared" si="2"/>
        <v>10</v>
      </c>
      <c r="M19" s="50">
        <v>50</v>
      </c>
      <c r="N19" s="59">
        <v>0.1081</v>
      </c>
      <c r="O19" s="59">
        <f t="shared" si="1"/>
        <v>5.4050000000000002</v>
      </c>
      <c r="P19" s="52"/>
      <c r="Q19" s="53"/>
      <c r="T19" s="62"/>
      <c r="V19" s="62"/>
    </row>
    <row r="20" spans="1:22" ht="15.75" thickBot="1" x14ac:dyDescent="0.3">
      <c r="A20" s="1"/>
      <c r="B20" s="38">
        <f t="shared" si="0"/>
        <v>11</v>
      </c>
      <c r="C20" s="65" t="s">
        <v>385</v>
      </c>
      <c r="D20" s="46" t="s">
        <v>17</v>
      </c>
      <c r="E20" s="47" t="s">
        <v>109</v>
      </c>
      <c r="F20" s="46" t="s">
        <v>190</v>
      </c>
      <c r="G20" s="47" t="s">
        <v>244</v>
      </c>
      <c r="H20" s="46" t="s">
        <v>408</v>
      </c>
      <c r="I20" s="46" t="s">
        <v>298</v>
      </c>
      <c r="J20" s="71" t="s">
        <v>346</v>
      </c>
      <c r="K20" s="46">
        <v>2</v>
      </c>
      <c r="L20" s="46">
        <f t="shared" si="2"/>
        <v>10</v>
      </c>
      <c r="M20" s="46">
        <v>100</v>
      </c>
      <c r="N20" s="58">
        <v>0.10360000000000001</v>
      </c>
      <c r="O20" s="58">
        <f t="shared" si="1"/>
        <v>10.360000000000001</v>
      </c>
      <c r="P20" s="48"/>
      <c r="Q20" s="48"/>
      <c r="T20" s="62"/>
      <c r="V20" s="62"/>
    </row>
    <row r="21" spans="1:22" ht="15.75" thickBot="1" x14ac:dyDescent="0.3">
      <c r="A21" s="1"/>
      <c r="B21" s="38">
        <f t="shared" si="0"/>
        <v>12</v>
      </c>
      <c r="C21" s="66" t="s">
        <v>385</v>
      </c>
      <c r="D21" s="50" t="s">
        <v>18</v>
      </c>
      <c r="E21" s="51" t="s">
        <v>110</v>
      </c>
      <c r="F21" s="50" t="s">
        <v>190</v>
      </c>
      <c r="G21" s="51" t="s">
        <v>245</v>
      </c>
      <c r="H21" s="50" t="s">
        <v>408</v>
      </c>
      <c r="I21" s="50" t="s">
        <v>302</v>
      </c>
      <c r="J21" s="70" t="s">
        <v>347</v>
      </c>
      <c r="K21" s="50">
        <v>1</v>
      </c>
      <c r="L21" s="50">
        <f t="shared" si="2"/>
        <v>5</v>
      </c>
      <c r="M21" s="50">
        <v>50</v>
      </c>
      <c r="N21" s="59">
        <v>0.1119</v>
      </c>
      <c r="O21" s="59">
        <f t="shared" si="1"/>
        <v>5.5949999999999998</v>
      </c>
      <c r="P21" s="52"/>
      <c r="Q21" s="53"/>
      <c r="T21" s="62"/>
      <c r="V21" s="62"/>
    </row>
    <row r="22" spans="1:22" ht="15.75" thickBot="1" x14ac:dyDescent="0.3">
      <c r="A22" s="1"/>
      <c r="B22" s="38">
        <f t="shared" si="0"/>
        <v>13</v>
      </c>
      <c r="C22" s="65" t="s">
        <v>385</v>
      </c>
      <c r="D22" s="46" t="s">
        <v>19</v>
      </c>
      <c r="E22" s="47" t="s">
        <v>111</v>
      </c>
      <c r="F22" s="46" t="s">
        <v>190</v>
      </c>
      <c r="G22" s="47" t="s">
        <v>246</v>
      </c>
      <c r="H22" s="46" t="s">
        <v>408</v>
      </c>
      <c r="I22" s="46" t="s">
        <v>303</v>
      </c>
      <c r="J22" s="71" t="s">
        <v>348</v>
      </c>
      <c r="K22" s="46">
        <v>1</v>
      </c>
      <c r="L22" s="46">
        <f t="shared" si="2"/>
        <v>5</v>
      </c>
      <c r="M22" s="46">
        <v>20</v>
      </c>
      <c r="N22" s="58">
        <v>0.13490000000000002</v>
      </c>
      <c r="O22" s="58">
        <f t="shared" si="1"/>
        <v>2.6980000000000004</v>
      </c>
      <c r="P22" s="48"/>
      <c r="Q22" s="48"/>
      <c r="T22" s="62"/>
      <c r="V22" s="62"/>
    </row>
    <row r="23" spans="1:22" ht="15.75" thickBot="1" x14ac:dyDescent="0.3">
      <c r="A23" s="1"/>
      <c r="B23" s="38">
        <f t="shared" si="0"/>
        <v>14</v>
      </c>
      <c r="C23" s="66" t="s">
        <v>385</v>
      </c>
      <c r="D23" s="50" t="s">
        <v>20</v>
      </c>
      <c r="E23" s="51" t="s">
        <v>112</v>
      </c>
      <c r="F23" s="50" t="s">
        <v>190</v>
      </c>
      <c r="G23" s="51" t="s">
        <v>247</v>
      </c>
      <c r="H23" s="50" t="s">
        <v>408</v>
      </c>
      <c r="I23" s="50" t="s">
        <v>298</v>
      </c>
      <c r="J23" s="70" t="s">
        <v>349</v>
      </c>
      <c r="K23" s="50">
        <v>1</v>
      </c>
      <c r="L23" s="50">
        <f t="shared" si="2"/>
        <v>5</v>
      </c>
      <c r="M23" s="50">
        <v>100</v>
      </c>
      <c r="N23" s="59">
        <v>0.1037</v>
      </c>
      <c r="O23" s="59">
        <f t="shared" si="1"/>
        <v>10.37</v>
      </c>
      <c r="P23" s="52"/>
      <c r="Q23" s="53"/>
      <c r="T23" s="62"/>
      <c r="V23" s="62"/>
    </row>
    <row r="24" spans="1:22" ht="15.75" thickBot="1" x14ac:dyDescent="0.3">
      <c r="A24" s="1"/>
      <c r="B24" s="38">
        <f t="shared" si="0"/>
        <v>15</v>
      </c>
      <c r="C24" s="65" t="s">
        <v>385</v>
      </c>
      <c r="D24" s="46" t="s">
        <v>21</v>
      </c>
      <c r="E24" s="47" t="s">
        <v>113</v>
      </c>
      <c r="F24" s="46" t="s">
        <v>190</v>
      </c>
      <c r="G24" s="60" t="s">
        <v>248</v>
      </c>
      <c r="H24" s="46" t="s">
        <v>412</v>
      </c>
      <c r="I24" s="46" t="s">
        <v>303</v>
      </c>
      <c r="J24" s="71" t="s">
        <v>350</v>
      </c>
      <c r="K24" s="46">
        <v>1</v>
      </c>
      <c r="L24" s="46">
        <f t="shared" si="2"/>
        <v>5</v>
      </c>
      <c r="M24" s="46">
        <v>20</v>
      </c>
      <c r="N24" s="58">
        <v>0.13600000000000001</v>
      </c>
      <c r="O24" s="58">
        <f t="shared" si="1"/>
        <v>2.72</v>
      </c>
      <c r="P24" s="48"/>
      <c r="Q24" s="48"/>
      <c r="T24" s="62"/>
      <c r="V24" s="62"/>
    </row>
    <row r="25" spans="1:22" ht="15.75" thickBot="1" x14ac:dyDescent="0.3">
      <c r="A25" s="1"/>
      <c r="B25" s="38">
        <f t="shared" si="0"/>
        <v>16</v>
      </c>
      <c r="C25" s="66" t="s">
        <v>385</v>
      </c>
      <c r="D25" s="50" t="s">
        <v>22</v>
      </c>
      <c r="E25" s="51" t="s">
        <v>114</v>
      </c>
      <c r="F25" s="50" t="s">
        <v>190</v>
      </c>
      <c r="G25" s="61" t="s">
        <v>249</v>
      </c>
      <c r="H25" s="50" t="s">
        <v>449</v>
      </c>
      <c r="I25" s="50" t="s">
        <v>298</v>
      </c>
      <c r="J25" s="70" t="s">
        <v>351</v>
      </c>
      <c r="K25" s="50">
        <v>1</v>
      </c>
      <c r="L25" s="50">
        <f t="shared" si="2"/>
        <v>5</v>
      </c>
      <c r="M25" s="50">
        <v>100</v>
      </c>
      <c r="N25" s="59">
        <v>0.10350000000000001</v>
      </c>
      <c r="O25" s="59">
        <f t="shared" si="1"/>
        <v>10.350000000000001</v>
      </c>
      <c r="P25" s="52"/>
      <c r="Q25" s="53"/>
      <c r="T25" s="62"/>
      <c r="V25" s="62"/>
    </row>
    <row r="26" spans="1:22" ht="24.75" thickBot="1" x14ac:dyDescent="0.3">
      <c r="A26" s="1"/>
      <c r="B26" s="38">
        <f t="shared" si="0"/>
        <v>17</v>
      </c>
      <c r="C26" s="65" t="s">
        <v>386</v>
      </c>
      <c r="D26" s="46" t="s">
        <v>23</v>
      </c>
      <c r="E26" s="47" t="s">
        <v>115</v>
      </c>
      <c r="F26" s="46" t="s">
        <v>194</v>
      </c>
      <c r="G26" s="47" t="s">
        <v>352</v>
      </c>
      <c r="H26" s="46" t="s">
        <v>408</v>
      </c>
      <c r="I26" s="46" t="s">
        <v>413</v>
      </c>
      <c r="J26" s="71" t="s">
        <v>408</v>
      </c>
      <c r="K26" s="46">
        <v>1</v>
      </c>
      <c r="L26" s="46">
        <f t="shared" si="2"/>
        <v>5</v>
      </c>
      <c r="M26" s="46">
        <v>20</v>
      </c>
      <c r="N26" s="58">
        <v>0.1298</v>
      </c>
      <c r="O26" s="58">
        <f t="shared" si="1"/>
        <v>2.5960000000000001</v>
      </c>
      <c r="P26" s="48"/>
      <c r="Q26" s="48"/>
      <c r="T26" s="62"/>
      <c r="V26" s="62"/>
    </row>
    <row r="27" spans="1:22" ht="15.75" thickBot="1" x14ac:dyDescent="0.3">
      <c r="A27" s="1"/>
      <c r="B27" s="38">
        <f t="shared" si="0"/>
        <v>18</v>
      </c>
      <c r="C27" s="66" t="s">
        <v>386</v>
      </c>
      <c r="D27" s="50" t="s">
        <v>24</v>
      </c>
      <c r="E27" s="51" t="s">
        <v>116</v>
      </c>
      <c r="F27" s="50" t="s">
        <v>194</v>
      </c>
      <c r="G27" s="51" t="s">
        <v>250</v>
      </c>
      <c r="H27" s="50" t="s">
        <v>408</v>
      </c>
      <c r="I27" s="50" t="s">
        <v>304</v>
      </c>
      <c r="J27" s="70" t="s">
        <v>408</v>
      </c>
      <c r="K27" s="50">
        <v>1</v>
      </c>
      <c r="L27" s="50">
        <f t="shared" si="2"/>
        <v>5</v>
      </c>
      <c r="M27" s="50">
        <v>6</v>
      </c>
      <c r="N27" s="59">
        <v>0.94399999999999995</v>
      </c>
      <c r="O27" s="59">
        <f t="shared" si="1"/>
        <v>5.6639999999999997</v>
      </c>
      <c r="P27" s="52"/>
      <c r="Q27" s="53"/>
      <c r="T27" s="62"/>
      <c r="V27" s="62"/>
    </row>
    <row r="28" spans="1:22" ht="15.75" thickBot="1" x14ac:dyDescent="0.3">
      <c r="A28" s="1"/>
      <c r="B28" s="38">
        <f t="shared" si="0"/>
        <v>19</v>
      </c>
      <c r="C28" s="65" t="s">
        <v>386</v>
      </c>
      <c r="D28" s="46" t="s">
        <v>25</v>
      </c>
      <c r="E28" s="47" t="s">
        <v>117</v>
      </c>
      <c r="F28" s="46" t="s">
        <v>194</v>
      </c>
      <c r="G28" s="47" t="s">
        <v>251</v>
      </c>
      <c r="H28" s="46" t="s">
        <v>408</v>
      </c>
      <c r="I28" s="46" t="s">
        <v>414</v>
      </c>
      <c r="J28" s="71" t="s">
        <v>408</v>
      </c>
      <c r="K28" s="46">
        <v>1</v>
      </c>
      <c r="L28" s="46">
        <f t="shared" si="2"/>
        <v>5</v>
      </c>
      <c r="M28" s="46">
        <v>20</v>
      </c>
      <c r="N28" s="58">
        <v>0.13500000000000001</v>
      </c>
      <c r="O28" s="58">
        <f t="shared" si="1"/>
        <v>2.7</v>
      </c>
      <c r="P28" s="48"/>
      <c r="Q28" s="48"/>
      <c r="T28" s="62"/>
      <c r="V28" s="62"/>
    </row>
    <row r="29" spans="1:22" ht="15.75" thickBot="1" x14ac:dyDescent="0.3">
      <c r="A29" s="1"/>
      <c r="B29" s="38">
        <f t="shared" si="0"/>
        <v>20</v>
      </c>
      <c r="C29" s="66" t="s">
        <v>386</v>
      </c>
      <c r="D29" s="50" t="s">
        <v>26</v>
      </c>
      <c r="E29" s="51" t="s">
        <v>118</v>
      </c>
      <c r="F29" s="50" t="s">
        <v>406</v>
      </c>
      <c r="G29" s="51" t="s">
        <v>195</v>
      </c>
      <c r="H29" s="50" t="s">
        <v>408</v>
      </c>
      <c r="I29" s="50" t="s">
        <v>415</v>
      </c>
      <c r="J29" s="70" t="s">
        <v>408</v>
      </c>
      <c r="K29" s="50">
        <v>2</v>
      </c>
      <c r="L29" s="50">
        <f t="shared" si="2"/>
        <v>10</v>
      </c>
      <c r="M29" s="50">
        <v>12</v>
      </c>
      <c r="N29" s="59">
        <v>0.79610000000000003</v>
      </c>
      <c r="O29" s="59">
        <f t="shared" si="1"/>
        <v>9.5532000000000004</v>
      </c>
      <c r="P29" s="52"/>
      <c r="Q29" s="53"/>
      <c r="T29" s="62"/>
      <c r="V29" s="62"/>
    </row>
    <row r="30" spans="1:22" ht="39" thickBot="1" x14ac:dyDescent="0.3">
      <c r="A30" s="1"/>
      <c r="B30" s="38">
        <f t="shared" si="0"/>
        <v>21</v>
      </c>
      <c r="C30" s="65" t="s">
        <v>386</v>
      </c>
      <c r="D30" s="46" t="s">
        <v>27</v>
      </c>
      <c r="E30" s="47" t="s">
        <v>119</v>
      </c>
      <c r="F30" s="46" t="s">
        <v>196</v>
      </c>
      <c r="G30" s="60" t="s">
        <v>252</v>
      </c>
      <c r="H30" s="46" t="s">
        <v>441</v>
      </c>
      <c r="I30" s="46" t="s">
        <v>305</v>
      </c>
      <c r="J30" s="71" t="s">
        <v>408</v>
      </c>
      <c r="K30" s="46">
        <v>1</v>
      </c>
      <c r="L30" s="46">
        <f t="shared" si="2"/>
        <v>5</v>
      </c>
      <c r="M30" s="46">
        <v>10</v>
      </c>
      <c r="N30" s="58">
        <v>0.16900000000000001</v>
      </c>
      <c r="O30" s="58">
        <f t="shared" si="1"/>
        <v>1.6900000000000002</v>
      </c>
      <c r="P30" s="67" t="s">
        <v>448</v>
      </c>
      <c r="Q30" s="67" t="s">
        <v>442</v>
      </c>
      <c r="T30" s="62"/>
      <c r="V30" s="62"/>
    </row>
    <row r="31" spans="1:22" ht="15.75" thickBot="1" x14ac:dyDescent="0.3">
      <c r="A31" s="1"/>
      <c r="B31" s="38">
        <f t="shared" si="0"/>
        <v>22</v>
      </c>
      <c r="C31" s="66" t="s">
        <v>386</v>
      </c>
      <c r="D31" s="50" t="s">
        <v>28</v>
      </c>
      <c r="E31" s="51" t="s">
        <v>120</v>
      </c>
      <c r="F31" s="50" t="s">
        <v>196</v>
      </c>
      <c r="G31" s="51" t="s">
        <v>197</v>
      </c>
      <c r="H31" s="50" t="s">
        <v>408</v>
      </c>
      <c r="I31" s="50" t="s">
        <v>306</v>
      </c>
      <c r="J31" s="70" t="s">
        <v>408</v>
      </c>
      <c r="K31" s="50">
        <v>1</v>
      </c>
      <c r="L31" s="50">
        <f t="shared" si="2"/>
        <v>5</v>
      </c>
      <c r="M31" s="50">
        <v>10</v>
      </c>
      <c r="N31" s="59">
        <v>0.16239999999999999</v>
      </c>
      <c r="O31" s="59">
        <f t="shared" si="1"/>
        <v>1.6239999999999999</v>
      </c>
      <c r="P31" s="52"/>
      <c r="Q31" s="53"/>
      <c r="T31" s="62"/>
      <c r="V31" s="62"/>
    </row>
    <row r="32" spans="1:22" ht="15.75" thickBot="1" x14ac:dyDescent="0.3">
      <c r="A32" s="1"/>
      <c r="B32" s="38">
        <f t="shared" si="0"/>
        <v>23</v>
      </c>
      <c r="C32" s="65" t="s">
        <v>387</v>
      </c>
      <c r="D32" s="46" t="s">
        <v>29</v>
      </c>
      <c r="E32" s="47" t="s">
        <v>121</v>
      </c>
      <c r="F32" s="46" t="s">
        <v>406</v>
      </c>
      <c r="G32" s="47" t="s">
        <v>198</v>
      </c>
      <c r="H32" s="46"/>
      <c r="I32" s="46" t="s">
        <v>307</v>
      </c>
      <c r="J32" s="71" t="s">
        <v>408</v>
      </c>
      <c r="K32" s="46">
        <v>1</v>
      </c>
      <c r="L32" s="46">
        <f t="shared" si="2"/>
        <v>5</v>
      </c>
      <c r="M32" s="46"/>
      <c r="N32" s="58">
        <v>0.1</v>
      </c>
      <c r="O32" s="58">
        <f t="shared" si="1"/>
        <v>0</v>
      </c>
      <c r="P32" s="48"/>
      <c r="Q32" s="48"/>
      <c r="T32" s="62"/>
      <c r="V32" s="62"/>
    </row>
    <row r="33" spans="1:22" ht="15.75" thickBot="1" x14ac:dyDescent="0.3">
      <c r="A33" s="1"/>
      <c r="B33" s="38">
        <f t="shared" si="0"/>
        <v>24</v>
      </c>
      <c r="C33" s="66" t="s">
        <v>388</v>
      </c>
      <c r="D33" s="50" t="s">
        <v>30</v>
      </c>
      <c r="E33" s="51" t="s">
        <v>122</v>
      </c>
      <c r="F33" s="50" t="s">
        <v>406</v>
      </c>
      <c r="G33" s="61" t="s">
        <v>199</v>
      </c>
      <c r="H33" s="50" t="s">
        <v>432</v>
      </c>
      <c r="I33" s="50" t="s">
        <v>308</v>
      </c>
      <c r="J33" s="70" t="s">
        <v>408</v>
      </c>
      <c r="K33" s="50">
        <v>9</v>
      </c>
      <c r="L33" s="50">
        <f t="shared" si="2"/>
        <v>45</v>
      </c>
      <c r="M33" s="50">
        <v>50</v>
      </c>
      <c r="N33" s="59">
        <v>0.17099999999999999</v>
      </c>
      <c r="O33" s="59">
        <f t="shared" si="1"/>
        <v>8.5499999999999989</v>
      </c>
      <c r="P33" s="52"/>
      <c r="Q33" s="53"/>
      <c r="T33" s="62"/>
      <c r="V33" s="62"/>
    </row>
    <row r="34" spans="1:22" ht="15.75" thickBot="1" x14ac:dyDescent="0.3">
      <c r="A34" s="1"/>
      <c r="B34" s="38">
        <f t="shared" si="0"/>
        <v>25</v>
      </c>
      <c r="C34" s="65" t="s">
        <v>388</v>
      </c>
      <c r="D34" s="46" t="s">
        <v>31</v>
      </c>
      <c r="E34" s="47" t="s">
        <v>122</v>
      </c>
      <c r="F34" s="46" t="s">
        <v>406</v>
      </c>
      <c r="G34" s="60" t="s">
        <v>200</v>
      </c>
      <c r="H34" s="46" t="s">
        <v>433</v>
      </c>
      <c r="I34" s="46" t="s">
        <v>308</v>
      </c>
      <c r="J34" s="71" t="s">
        <v>408</v>
      </c>
      <c r="K34" s="46">
        <v>5</v>
      </c>
      <c r="L34" s="46">
        <f t="shared" si="2"/>
        <v>25</v>
      </c>
      <c r="M34" s="46">
        <v>30</v>
      </c>
      <c r="N34" s="58">
        <v>0.22210000000000002</v>
      </c>
      <c r="O34" s="58">
        <f t="shared" si="1"/>
        <v>6.6630000000000003</v>
      </c>
      <c r="P34" s="48"/>
      <c r="Q34" s="48"/>
      <c r="T34" s="62"/>
      <c r="V34" s="62"/>
    </row>
    <row r="35" spans="1:22" ht="15.75" thickBot="1" x14ac:dyDescent="0.3">
      <c r="A35" s="1"/>
      <c r="B35" s="38">
        <f t="shared" si="0"/>
        <v>26</v>
      </c>
      <c r="C35" s="66" t="s">
        <v>388</v>
      </c>
      <c r="D35" s="50" t="s">
        <v>32</v>
      </c>
      <c r="E35" s="51" t="s">
        <v>122</v>
      </c>
      <c r="F35" s="50" t="s">
        <v>406</v>
      </c>
      <c r="G35" s="61" t="s">
        <v>201</v>
      </c>
      <c r="H35" s="50" t="s">
        <v>434</v>
      </c>
      <c r="I35" s="50" t="s">
        <v>308</v>
      </c>
      <c r="J35" s="70" t="s">
        <v>409</v>
      </c>
      <c r="K35" s="50">
        <v>1</v>
      </c>
      <c r="L35" s="50">
        <f t="shared" si="2"/>
        <v>5</v>
      </c>
      <c r="M35" s="50">
        <v>10</v>
      </c>
      <c r="N35" s="59">
        <v>0.2225</v>
      </c>
      <c r="O35" s="59">
        <f t="shared" si="1"/>
        <v>2.2250000000000001</v>
      </c>
      <c r="P35" s="52"/>
      <c r="Q35" s="53"/>
      <c r="T35" s="62"/>
      <c r="V35" s="62"/>
    </row>
    <row r="36" spans="1:22" ht="36.75" thickBot="1" x14ac:dyDescent="0.3">
      <c r="A36" s="1"/>
      <c r="B36" s="38">
        <f t="shared" si="0"/>
        <v>27</v>
      </c>
      <c r="C36" s="65" t="s">
        <v>387</v>
      </c>
      <c r="D36" s="46" t="s">
        <v>33</v>
      </c>
      <c r="E36" s="47" t="s">
        <v>123</v>
      </c>
      <c r="F36" s="46" t="s">
        <v>406</v>
      </c>
      <c r="G36" s="47" t="s">
        <v>202</v>
      </c>
      <c r="H36" s="46" t="s">
        <v>408</v>
      </c>
      <c r="I36" s="46" t="s">
        <v>309</v>
      </c>
      <c r="J36" s="71" t="s">
        <v>408</v>
      </c>
      <c r="K36" s="46">
        <v>1</v>
      </c>
      <c r="L36" s="46">
        <f t="shared" si="2"/>
        <v>5</v>
      </c>
      <c r="M36" s="46">
        <v>6</v>
      </c>
      <c r="N36" s="58">
        <v>0.93430000000000002</v>
      </c>
      <c r="O36" s="58">
        <f t="shared" si="1"/>
        <v>5.6058000000000003</v>
      </c>
      <c r="P36" s="48"/>
      <c r="Q36" s="48"/>
      <c r="T36" s="62"/>
      <c r="V36" s="62"/>
    </row>
    <row r="37" spans="1:22" ht="15.75" thickBot="1" x14ac:dyDescent="0.3">
      <c r="A37" s="1"/>
      <c r="B37" s="38">
        <f t="shared" si="0"/>
        <v>28</v>
      </c>
      <c r="C37" s="66" t="s">
        <v>389</v>
      </c>
      <c r="D37" s="50" t="s">
        <v>34</v>
      </c>
      <c r="E37" s="51" t="s">
        <v>124</v>
      </c>
      <c r="F37" s="50" t="s">
        <v>406</v>
      </c>
      <c r="G37" s="51" t="s">
        <v>203</v>
      </c>
      <c r="H37" s="50" t="s">
        <v>408</v>
      </c>
      <c r="I37" s="50" t="s">
        <v>310</v>
      </c>
      <c r="J37" s="70" t="s">
        <v>408</v>
      </c>
      <c r="K37" s="50">
        <v>1</v>
      </c>
      <c r="L37" s="50">
        <f t="shared" si="2"/>
        <v>5</v>
      </c>
      <c r="M37" s="50">
        <v>10</v>
      </c>
      <c r="N37" s="59">
        <v>0.16720000000000002</v>
      </c>
      <c r="O37" s="59">
        <f t="shared" si="1"/>
        <v>1.6720000000000002</v>
      </c>
      <c r="P37" s="52"/>
      <c r="Q37" s="53"/>
      <c r="T37" s="62"/>
      <c r="V37" s="62"/>
    </row>
    <row r="38" spans="1:22" ht="15.75" thickBot="1" x14ac:dyDescent="0.3">
      <c r="A38" s="1"/>
      <c r="B38" s="38">
        <f t="shared" si="0"/>
        <v>29</v>
      </c>
      <c r="C38" s="65" t="s">
        <v>387</v>
      </c>
      <c r="D38" s="46" t="s">
        <v>35</v>
      </c>
      <c r="E38" s="47" t="s">
        <v>125</v>
      </c>
      <c r="F38" s="46" t="s">
        <v>406</v>
      </c>
      <c r="G38" s="47" t="s">
        <v>204</v>
      </c>
      <c r="H38" s="46" t="s">
        <v>408</v>
      </c>
      <c r="I38" s="46" t="s">
        <v>311</v>
      </c>
      <c r="J38" s="71" t="s">
        <v>408</v>
      </c>
      <c r="K38" s="46">
        <v>1</v>
      </c>
      <c r="L38" s="46">
        <f t="shared" si="2"/>
        <v>5</v>
      </c>
      <c r="M38" s="46">
        <v>6</v>
      </c>
      <c r="N38" s="58">
        <v>0.34820000000000001</v>
      </c>
      <c r="O38" s="58">
        <f t="shared" si="1"/>
        <v>2.0891999999999999</v>
      </c>
      <c r="P38" s="48"/>
      <c r="Q38" s="48"/>
      <c r="T38" s="62"/>
      <c r="V38" s="62"/>
    </row>
    <row r="39" spans="1:22" ht="24.75" thickBot="1" x14ac:dyDescent="0.3">
      <c r="A39" s="1"/>
      <c r="B39" s="38">
        <f t="shared" si="0"/>
        <v>30</v>
      </c>
      <c r="C39" s="66" t="s">
        <v>390</v>
      </c>
      <c r="D39" s="50" t="s">
        <v>36</v>
      </c>
      <c r="E39" s="51" t="s">
        <v>126</v>
      </c>
      <c r="F39" s="50" t="s">
        <v>205</v>
      </c>
      <c r="G39" s="51" t="s">
        <v>416</v>
      </c>
      <c r="H39" s="50" t="s">
        <v>408</v>
      </c>
      <c r="I39" s="50" t="s">
        <v>312</v>
      </c>
      <c r="J39" s="70" t="s">
        <v>353</v>
      </c>
      <c r="K39" s="50">
        <v>1</v>
      </c>
      <c r="L39" s="50">
        <f t="shared" si="2"/>
        <v>5</v>
      </c>
      <c r="M39" s="50">
        <v>10</v>
      </c>
      <c r="N39" s="59">
        <v>0.14460000000000001</v>
      </c>
      <c r="O39" s="59">
        <f t="shared" si="1"/>
        <v>1.4460000000000002</v>
      </c>
      <c r="P39" s="52"/>
      <c r="Q39" s="53"/>
      <c r="T39" s="62"/>
      <c r="V39" s="62"/>
    </row>
    <row r="40" spans="1:22" ht="36.75" thickBot="1" x14ac:dyDescent="0.3">
      <c r="A40" s="1"/>
      <c r="B40" s="38">
        <f t="shared" si="0"/>
        <v>31</v>
      </c>
      <c r="C40" s="65" t="s">
        <v>390</v>
      </c>
      <c r="D40" s="46" t="s">
        <v>37</v>
      </c>
      <c r="E40" s="47" t="s">
        <v>127</v>
      </c>
      <c r="F40" s="46" t="s">
        <v>406</v>
      </c>
      <c r="G40" s="47" t="s">
        <v>206</v>
      </c>
      <c r="H40" s="46" t="s">
        <v>408</v>
      </c>
      <c r="I40" s="46" t="s">
        <v>313</v>
      </c>
      <c r="J40" s="71" t="s">
        <v>354</v>
      </c>
      <c r="K40" s="46">
        <v>1</v>
      </c>
      <c r="L40" s="46">
        <f t="shared" si="2"/>
        <v>5</v>
      </c>
      <c r="M40" s="46">
        <v>6</v>
      </c>
      <c r="N40" s="58">
        <v>0.64279999999999993</v>
      </c>
      <c r="O40" s="58">
        <f t="shared" si="1"/>
        <v>3.8567999999999998</v>
      </c>
      <c r="P40" s="48"/>
      <c r="Q40" s="48"/>
      <c r="T40" s="62"/>
      <c r="V40" s="62"/>
    </row>
    <row r="41" spans="1:22" ht="24.75" thickBot="1" x14ac:dyDescent="0.3">
      <c r="A41" s="1"/>
      <c r="B41" s="38">
        <f t="shared" si="0"/>
        <v>32</v>
      </c>
      <c r="C41" s="66" t="s">
        <v>390</v>
      </c>
      <c r="D41" s="50" t="s">
        <v>38</v>
      </c>
      <c r="E41" s="51" t="s">
        <v>128</v>
      </c>
      <c r="F41" s="50" t="s">
        <v>207</v>
      </c>
      <c r="G41" s="51" t="s">
        <v>253</v>
      </c>
      <c r="H41" s="50" t="s">
        <v>408</v>
      </c>
      <c r="I41" s="50" t="s">
        <v>314</v>
      </c>
      <c r="J41" s="70" t="s">
        <v>355</v>
      </c>
      <c r="K41" s="50">
        <v>1</v>
      </c>
      <c r="L41" s="50">
        <f t="shared" si="2"/>
        <v>5</v>
      </c>
      <c r="M41" s="50">
        <v>10</v>
      </c>
      <c r="N41" s="59">
        <v>0.18940000000000001</v>
      </c>
      <c r="O41" s="59">
        <f t="shared" si="1"/>
        <v>1.8940000000000001</v>
      </c>
      <c r="P41" s="52"/>
      <c r="Q41" s="53"/>
      <c r="T41" s="62"/>
      <c r="V41" s="62"/>
    </row>
    <row r="42" spans="1:22" ht="36.75" thickBot="1" x14ac:dyDescent="0.3">
      <c r="A42" s="1"/>
      <c r="B42" s="38">
        <f t="shared" ref="B42:B73" si="3">ROW(B42) - ROW($B$9)</f>
        <v>33</v>
      </c>
      <c r="C42" s="65" t="s">
        <v>390</v>
      </c>
      <c r="D42" s="46" t="s">
        <v>39</v>
      </c>
      <c r="E42" s="47" t="s">
        <v>129</v>
      </c>
      <c r="F42" s="46" t="s">
        <v>208</v>
      </c>
      <c r="G42" s="47" t="s">
        <v>254</v>
      </c>
      <c r="H42" s="46" t="s">
        <v>408</v>
      </c>
      <c r="I42" s="46" t="s">
        <v>315</v>
      </c>
      <c r="J42" s="71" t="s">
        <v>356</v>
      </c>
      <c r="K42" s="46">
        <v>1</v>
      </c>
      <c r="L42" s="46">
        <f t="shared" si="2"/>
        <v>5</v>
      </c>
      <c r="M42" s="46">
        <v>10</v>
      </c>
      <c r="N42" s="58">
        <v>0.1101</v>
      </c>
      <c r="O42" s="58">
        <f t="shared" si="1"/>
        <v>1.101</v>
      </c>
      <c r="P42" s="48"/>
      <c r="Q42" s="48"/>
      <c r="T42" s="62"/>
      <c r="V42" s="62"/>
    </row>
    <row r="43" spans="1:22" ht="24.75" thickBot="1" x14ac:dyDescent="0.3">
      <c r="A43" s="1"/>
      <c r="B43" s="38">
        <f t="shared" si="3"/>
        <v>34</v>
      </c>
      <c r="C43" s="66" t="s">
        <v>391</v>
      </c>
      <c r="D43" s="50" t="s">
        <v>40</v>
      </c>
      <c r="E43" s="51" t="s">
        <v>130</v>
      </c>
      <c r="F43" s="50" t="s">
        <v>209</v>
      </c>
      <c r="G43" s="61" t="s">
        <v>255</v>
      </c>
      <c r="H43" s="50" t="s">
        <v>424</v>
      </c>
      <c r="I43" s="50" t="s">
        <v>316</v>
      </c>
      <c r="J43" s="70" t="s">
        <v>408</v>
      </c>
      <c r="K43" s="50">
        <v>7</v>
      </c>
      <c r="L43" s="50">
        <f t="shared" si="2"/>
        <v>35</v>
      </c>
      <c r="M43" s="50">
        <v>40</v>
      </c>
      <c r="N43" s="59">
        <v>0.1368</v>
      </c>
      <c r="O43" s="59">
        <f t="shared" si="1"/>
        <v>5.4720000000000004</v>
      </c>
      <c r="P43" s="52"/>
      <c r="Q43" s="53"/>
      <c r="T43" s="62"/>
      <c r="V43" s="62"/>
    </row>
    <row r="44" spans="1:22" ht="15.75" thickBot="1" x14ac:dyDescent="0.3">
      <c r="A44" s="1"/>
      <c r="B44" s="38">
        <f t="shared" si="3"/>
        <v>35</v>
      </c>
      <c r="C44" s="65" t="s">
        <v>391</v>
      </c>
      <c r="D44" s="46" t="s">
        <v>41</v>
      </c>
      <c r="E44" s="47" t="s">
        <v>131</v>
      </c>
      <c r="F44" s="46" t="s">
        <v>406</v>
      </c>
      <c r="G44" s="47" t="s">
        <v>256</v>
      </c>
      <c r="H44" s="46" t="s">
        <v>408</v>
      </c>
      <c r="I44" s="46" t="s">
        <v>317</v>
      </c>
      <c r="J44" s="71" t="s">
        <v>408</v>
      </c>
      <c r="K44" s="46">
        <v>1</v>
      </c>
      <c r="L44" s="46">
        <f t="shared" si="2"/>
        <v>5</v>
      </c>
      <c r="M44" s="46">
        <v>10</v>
      </c>
      <c r="N44" s="58">
        <v>0.23630000000000001</v>
      </c>
      <c r="O44" s="58">
        <f t="shared" si="1"/>
        <v>2.363</v>
      </c>
      <c r="P44" s="48"/>
      <c r="Q44" s="48"/>
      <c r="T44" s="62"/>
      <c r="V44" s="62"/>
    </row>
    <row r="45" spans="1:22" ht="24.75" thickBot="1" x14ac:dyDescent="0.3">
      <c r="A45" s="1"/>
      <c r="B45" s="38">
        <f t="shared" si="3"/>
        <v>36</v>
      </c>
      <c r="C45" s="66" t="s">
        <v>392</v>
      </c>
      <c r="D45" s="50" t="s">
        <v>42</v>
      </c>
      <c r="E45" s="51" t="s">
        <v>132</v>
      </c>
      <c r="F45" s="50" t="s">
        <v>406</v>
      </c>
      <c r="G45" s="51" t="s">
        <v>210</v>
      </c>
      <c r="H45" s="50" t="s">
        <v>408</v>
      </c>
      <c r="I45" s="50" t="s">
        <v>318</v>
      </c>
      <c r="J45" s="70" t="s">
        <v>408</v>
      </c>
      <c r="K45" s="50">
        <v>1</v>
      </c>
      <c r="L45" s="50">
        <f t="shared" si="2"/>
        <v>5</v>
      </c>
      <c r="M45" s="50">
        <v>6</v>
      </c>
      <c r="N45" s="59">
        <v>0.56300000000000006</v>
      </c>
      <c r="O45" s="59">
        <f t="shared" si="1"/>
        <v>3.3780000000000001</v>
      </c>
      <c r="P45" s="52"/>
      <c r="Q45" s="53"/>
      <c r="T45" s="62"/>
      <c r="V45" s="62"/>
    </row>
    <row r="46" spans="1:22" ht="15.75" thickBot="1" x14ac:dyDescent="0.3">
      <c r="A46" s="1"/>
      <c r="B46" s="38">
        <f t="shared" si="3"/>
        <v>37</v>
      </c>
      <c r="C46" s="65" t="s">
        <v>357</v>
      </c>
      <c r="D46" s="46" t="s">
        <v>43</v>
      </c>
      <c r="E46" s="47" t="s">
        <v>133</v>
      </c>
      <c r="F46" s="46" t="s">
        <v>406</v>
      </c>
      <c r="G46" s="47" t="s">
        <v>408</v>
      </c>
      <c r="H46" s="46" t="s">
        <v>408</v>
      </c>
      <c r="I46" s="46" t="s">
        <v>408</v>
      </c>
      <c r="J46" s="71" t="s">
        <v>408</v>
      </c>
      <c r="K46" s="46">
        <v>1</v>
      </c>
      <c r="L46" s="46">
        <f t="shared" si="2"/>
        <v>5</v>
      </c>
      <c r="M46" s="46" t="s">
        <v>408</v>
      </c>
      <c r="N46" s="58" t="s">
        <v>408</v>
      </c>
      <c r="O46" s="58" t="s">
        <v>408</v>
      </c>
      <c r="P46" s="67" t="s">
        <v>437</v>
      </c>
      <c r="Q46" s="48" t="s">
        <v>408</v>
      </c>
      <c r="T46" s="62"/>
      <c r="V46" s="62"/>
    </row>
    <row r="47" spans="1:22" ht="15.75" thickBot="1" x14ac:dyDescent="0.3">
      <c r="A47" s="1"/>
      <c r="B47" s="38">
        <f t="shared" si="3"/>
        <v>38</v>
      </c>
      <c r="C47" s="66" t="s">
        <v>389</v>
      </c>
      <c r="D47" s="50" t="s">
        <v>44</v>
      </c>
      <c r="E47" s="51" t="s">
        <v>134</v>
      </c>
      <c r="F47" s="50" t="s">
        <v>211</v>
      </c>
      <c r="G47" s="61">
        <v>61300311121</v>
      </c>
      <c r="H47" s="50" t="s">
        <v>418</v>
      </c>
      <c r="I47" s="50" t="s">
        <v>319</v>
      </c>
      <c r="J47" s="70" t="s">
        <v>408</v>
      </c>
      <c r="K47" s="50">
        <v>2</v>
      </c>
      <c r="L47" s="50">
        <f t="shared" si="2"/>
        <v>10</v>
      </c>
      <c r="M47" s="50">
        <v>20</v>
      </c>
      <c r="N47" s="59">
        <v>0.16070000000000001</v>
      </c>
      <c r="O47" s="59">
        <f t="shared" ref="O47:O85" si="4">N47*M47</f>
        <v>3.2140000000000004</v>
      </c>
      <c r="P47" s="52"/>
      <c r="Q47" s="53"/>
      <c r="T47" s="62"/>
      <c r="V47" s="62"/>
    </row>
    <row r="48" spans="1:22" ht="15.75" thickBot="1" x14ac:dyDescent="0.3">
      <c r="A48" s="1"/>
      <c r="B48" s="38">
        <f t="shared" si="3"/>
        <v>39</v>
      </c>
      <c r="C48" s="65" t="s">
        <v>389</v>
      </c>
      <c r="D48" s="46" t="s">
        <v>45</v>
      </c>
      <c r="E48" s="47" t="s">
        <v>135</v>
      </c>
      <c r="F48" s="46" t="s">
        <v>212</v>
      </c>
      <c r="G48" s="60">
        <v>61300611121</v>
      </c>
      <c r="H48" s="46" t="s">
        <v>417</v>
      </c>
      <c r="I48" s="46" t="s">
        <v>319</v>
      </c>
      <c r="J48" s="71" t="s">
        <v>408</v>
      </c>
      <c r="K48" s="46">
        <v>4</v>
      </c>
      <c r="L48" s="46">
        <f t="shared" si="2"/>
        <v>20</v>
      </c>
      <c r="M48" s="46">
        <v>40</v>
      </c>
      <c r="N48" s="58">
        <v>0.13550000000000001</v>
      </c>
      <c r="O48" s="58">
        <f t="shared" si="4"/>
        <v>5.42</v>
      </c>
      <c r="P48" s="48"/>
      <c r="Q48" s="48"/>
      <c r="T48" s="62"/>
      <c r="V48" s="62"/>
    </row>
    <row r="49" spans="1:22" ht="15.75" thickBot="1" x14ac:dyDescent="0.3">
      <c r="A49" s="1"/>
      <c r="B49" s="38">
        <f t="shared" si="3"/>
        <v>40</v>
      </c>
      <c r="C49" s="66" t="s">
        <v>389</v>
      </c>
      <c r="D49" s="50" t="s">
        <v>46</v>
      </c>
      <c r="E49" s="51" t="s">
        <v>136</v>
      </c>
      <c r="F49" s="50" t="s">
        <v>213</v>
      </c>
      <c r="G49" s="61" t="s">
        <v>257</v>
      </c>
      <c r="H49" s="50" t="s">
        <v>425</v>
      </c>
      <c r="I49" s="50" t="s">
        <v>426</v>
      </c>
      <c r="J49" s="70" t="s">
        <v>408</v>
      </c>
      <c r="K49" s="50">
        <v>1</v>
      </c>
      <c r="L49" s="50">
        <f t="shared" si="2"/>
        <v>5</v>
      </c>
      <c r="M49" s="50">
        <v>10</v>
      </c>
      <c r="N49" s="59">
        <v>0.2243</v>
      </c>
      <c r="O49" s="59">
        <f t="shared" si="4"/>
        <v>2.2429999999999999</v>
      </c>
      <c r="P49" s="52"/>
      <c r="Q49" s="53"/>
      <c r="T49" s="62"/>
      <c r="V49" s="62"/>
    </row>
    <row r="50" spans="1:22" ht="24.75" thickBot="1" x14ac:dyDescent="0.3">
      <c r="A50" s="1"/>
      <c r="B50" s="38">
        <f t="shared" si="3"/>
        <v>41</v>
      </c>
      <c r="C50" s="65" t="s">
        <v>389</v>
      </c>
      <c r="D50" s="46" t="s">
        <v>47</v>
      </c>
      <c r="E50" s="47" t="s">
        <v>137</v>
      </c>
      <c r="F50" s="46" t="s">
        <v>214</v>
      </c>
      <c r="G50" s="60">
        <v>61300211121</v>
      </c>
      <c r="H50" s="46" t="s">
        <v>450</v>
      </c>
      <c r="I50" s="46" t="s">
        <v>319</v>
      </c>
      <c r="J50" s="71" t="s">
        <v>408</v>
      </c>
      <c r="K50" s="46">
        <v>3</v>
      </c>
      <c r="L50" s="46">
        <f t="shared" si="2"/>
        <v>15</v>
      </c>
      <c r="M50" s="46">
        <v>50</v>
      </c>
      <c r="N50" s="58">
        <v>0.112</v>
      </c>
      <c r="O50" s="58">
        <f t="shared" si="4"/>
        <v>5.6000000000000005</v>
      </c>
      <c r="P50" s="48"/>
      <c r="Q50" s="48"/>
      <c r="T50" s="62"/>
      <c r="V50" s="62"/>
    </row>
    <row r="51" spans="1:22" ht="15.75" thickBot="1" x14ac:dyDescent="0.3">
      <c r="A51" s="1"/>
      <c r="B51" s="38">
        <f t="shared" si="3"/>
        <v>42</v>
      </c>
      <c r="C51" s="66" t="s">
        <v>389</v>
      </c>
      <c r="D51" s="50" t="s">
        <v>48</v>
      </c>
      <c r="E51" s="51" t="s">
        <v>138</v>
      </c>
      <c r="F51" s="50" t="s">
        <v>215</v>
      </c>
      <c r="G51" s="61">
        <v>61300411121</v>
      </c>
      <c r="H51" s="50" t="s">
        <v>419</v>
      </c>
      <c r="I51" s="50" t="s">
        <v>319</v>
      </c>
      <c r="J51" s="70" t="s">
        <v>408</v>
      </c>
      <c r="K51" s="50">
        <v>1</v>
      </c>
      <c r="L51" s="50">
        <f t="shared" si="2"/>
        <v>5</v>
      </c>
      <c r="M51" s="50">
        <v>20</v>
      </c>
      <c r="N51" s="59">
        <v>0.12290000000000001</v>
      </c>
      <c r="O51" s="59">
        <f t="shared" si="4"/>
        <v>2.4580000000000002</v>
      </c>
      <c r="P51" s="52"/>
      <c r="Q51" s="53"/>
      <c r="T51" s="62"/>
      <c r="V51" s="62"/>
    </row>
    <row r="52" spans="1:22" ht="24.75" thickBot="1" x14ac:dyDescent="0.3">
      <c r="A52" s="1"/>
      <c r="B52" s="38">
        <f t="shared" si="3"/>
        <v>43</v>
      </c>
      <c r="C52" s="65" t="s">
        <v>393</v>
      </c>
      <c r="D52" s="46" t="s">
        <v>49</v>
      </c>
      <c r="E52" s="47" t="s">
        <v>139</v>
      </c>
      <c r="F52" s="46" t="s">
        <v>216</v>
      </c>
      <c r="G52" s="47" t="s">
        <v>258</v>
      </c>
      <c r="H52" s="46" t="s">
        <v>408</v>
      </c>
      <c r="I52" s="46" t="s">
        <v>305</v>
      </c>
      <c r="J52" s="71" t="s">
        <v>408</v>
      </c>
      <c r="K52" s="46">
        <v>9</v>
      </c>
      <c r="L52" s="46">
        <f t="shared" si="2"/>
        <v>45</v>
      </c>
      <c r="M52" s="46">
        <v>48</v>
      </c>
      <c r="N52" s="58">
        <v>0.41100000000000003</v>
      </c>
      <c r="O52" s="58">
        <f t="shared" si="4"/>
        <v>19.728000000000002</v>
      </c>
      <c r="P52" s="48"/>
      <c r="Q52" s="48"/>
      <c r="T52" s="62"/>
      <c r="V52" s="62"/>
    </row>
    <row r="53" spans="1:22" ht="15.75" thickBot="1" x14ac:dyDescent="0.3">
      <c r="A53" s="1"/>
      <c r="B53" s="38">
        <f t="shared" si="3"/>
        <v>44</v>
      </c>
      <c r="C53" s="66" t="s">
        <v>393</v>
      </c>
      <c r="D53" s="50" t="s">
        <v>50</v>
      </c>
      <c r="E53" s="51" t="s">
        <v>140</v>
      </c>
      <c r="F53" s="50" t="s">
        <v>217</v>
      </c>
      <c r="G53" s="51" t="s">
        <v>259</v>
      </c>
      <c r="H53" s="50" t="s">
        <v>408</v>
      </c>
      <c r="I53" s="50" t="s">
        <v>420</v>
      </c>
      <c r="J53" s="70" t="s">
        <v>408</v>
      </c>
      <c r="K53" s="50">
        <v>1</v>
      </c>
      <c r="L53" s="50">
        <f t="shared" si="2"/>
        <v>5</v>
      </c>
      <c r="M53" s="50">
        <v>10</v>
      </c>
      <c r="N53" s="59">
        <v>0.17510000000000001</v>
      </c>
      <c r="O53" s="59">
        <f t="shared" si="4"/>
        <v>1.7510000000000001</v>
      </c>
      <c r="P53" s="52"/>
      <c r="Q53" s="53"/>
      <c r="T53" s="62"/>
      <c r="V53" s="62"/>
    </row>
    <row r="54" spans="1:22" ht="15.75" thickBot="1" x14ac:dyDescent="0.3">
      <c r="A54" s="1"/>
      <c r="B54" s="38">
        <f t="shared" si="3"/>
        <v>45</v>
      </c>
      <c r="C54" s="65" t="s">
        <v>393</v>
      </c>
      <c r="D54" s="46" t="s">
        <v>51</v>
      </c>
      <c r="E54" s="47" t="s">
        <v>141</v>
      </c>
      <c r="F54" s="46" t="s">
        <v>218</v>
      </c>
      <c r="G54" s="47" t="s">
        <v>260</v>
      </c>
      <c r="H54" s="46" t="s">
        <v>408</v>
      </c>
      <c r="I54" s="46" t="s">
        <v>320</v>
      </c>
      <c r="J54" s="71" t="s">
        <v>408</v>
      </c>
      <c r="K54" s="46">
        <v>2</v>
      </c>
      <c r="L54" s="46">
        <f t="shared" si="2"/>
        <v>10</v>
      </c>
      <c r="M54" s="46">
        <v>12</v>
      </c>
      <c r="N54" s="58">
        <v>3.7715000000000001</v>
      </c>
      <c r="O54" s="58">
        <f t="shared" si="4"/>
        <v>45.258000000000003</v>
      </c>
      <c r="P54" s="48"/>
      <c r="Q54" s="48"/>
      <c r="T54" s="62"/>
      <c r="V54" s="62"/>
    </row>
    <row r="55" spans="1:22" ht="15.75" thickBot="1" x14ac:dyDescent="0.3">
      <c r="A55" s="1"/>
      <c r="B55" s="38">
        <f t="shared" si="3"/>
        <v>46</v>
      </c>
      <c r="C55" s="66" t="s">
        <v>393</v>
      </c>
      <c r="D55" s="50" t="s">
        <v>52</v>
      </c>
      <c r="E55" s="51" t="s">
        <v>142</v>
      </c>
      <c r="F55" s="50" t="s">
        <v>217</v>
      </c>
      <c r="G55" s="51" t="s">
        <v>261</v>
      </c>
      <c r="H55" s="50" t="s">
        <v>408</v>
      </c>
      <c r="I55" s="50" t="s">
        <v>420</v>
      </c>
      <c r="J55" s="70" t="s">
        <v>408</v>
      </c>
      <c r="K55" s="50">
        <v>2</v>
      </c>
      <c r="L55" s="50">
        <f t="shared" si="2"/>
        <v>10</v>
      </c>
      <c r="M55" s="50">
        <v>15</v>
      </c>
      <c r="N55" s="59">
        <v>0.1726</v>
      </c>
      <c r="O55" s="59">
        <f t="shared" si="4"/>
        <v>2.589</v>
      </c>
      <c r="P55" s="52"/>
      <c r="Q55" s="53"/>
      <c r="T55" s="62"/>
      <c r="V55" s="62"/>
    </row>
    <row r="56" spans="1:22" ht="24.75" thickBot="1" x14ac:dyDescent="0.3">
      <c r="A56" s="1"/>
      <c r="B56" s="38">
        <f t="shared" si="3"/>
        <v>47</v>
      </c>
      <c r="C56" s="65" t="s">
        <v>393</v>
      </c>
      <c r="D56" s="46" t="s">
        <v>53</v>
      </c>
      <c r="E56" s="47" t="s">
        <v>143</v>
      </c>
      <c r="F56" s="46" t="s">
        <v>217</v>
      </c>
      <c r="G56" s="47" t="s">
        <v>262</v>
      </c>
      <c r="H56" s="46"/>
      <c r="I56" s="46" t="s">
        <v>321</v>
      </c>
      <c r="J56" s="71" t="s">
        <v>408</v>
      </c>
      <c r="K56" s="46">
        <v>10</v>
      </c>
      <c r="L56" s="46">
        <f t="shared" si="2"/>
        <v>50</v>
      </c>
      <c r="M56" s="46">
        <v>60</v>
      </c>
      <c r="N56" s="58">
        <v>0.12100000000000001</v>
      </c>
      <c r="O56" s="58">
        <f t="shared" si="4"/>
        <v>7.2600000000000007</v>
      </c>
      <c r="P56" s="48"/>
      <c r="Q56" s="48"/>
      <c r="T56" s="62"/>
      <c r="V56" s="62"/>
    </row>
    <row r="57" spans="1:22" ht="24.75" thickBot="1" x14ac:dyDescent="0.3">
      <c r="A57" s="1"/>
      <c r="B57" s="38">
        <f t="shared" si="3"/>
        <v>48</v>
      </c>
      <c r="C57" s="66" t="s">
        <v>393</v>
      </c>
      <c r="D57" s="50" t="s">
        <v>54</v>
      </c>
      <c r="E57" s="51" t="s">
        <v>144</v>
      </c>
      <c r="F57" s="50" t="s">
        <v>217</v>
      </c>
      <c r="G57" s="51" t="s">
        <v>263</v>
      </c>
      <c r="H57" s="50" t="s">
        <v>408</v>
      </c>
      <c r="I57" s="50" t="s">
        <v>321</v>
      </c>
      <c r="J57" s="70" t="s">
        <v>408</v>
      </c>
      <c r="K57" s="50">
        <v>2</v>
      </c>
      <c r="L57" s="50">
        <f t="shared" si="2"/>
        <v>10</v>
      </c>
      <c r="M57" s="50">
        <v>20</v>
      </c>
      <c r="N57" s="59">
        <v>0.12290000000000001</v>
      </c>
      <c r="O57" s="59">
        <f t="shared" si="4"/>
        <v>2.4580000000000002</v>
      </c>
      <c r="P57" s="52"/>
      <c r="Q57" s="53"/>
      <c r="T57" s="62"/>
      <c r="V57" s="62"/>
    </row>
    <row r="58" spans="1:22" ht="15.75" thickBot="1" x14ac:dyDescent="0.3">
      <c r="A58" s="1"/>
      <c r="B58" s="38">
        <f t="shared" si="3"/>
        <v>49</v>
      </c>
      <c r="C58" s="65" t="s">
        <v>393</v>
      </c>
      <c r="D58" s="46" t="s">
        <v>55</v>
      </c>
      <c r="E58" s="47" t="s">
        <v>145</v>
      </c>
      <c r="F58" s="46" t="s">
        <v>217</v>
      </c>
      <c r="G58" s="47" t="s">
        <v>264</v>
      </c>
      <c r="H58" s="46" t="s">
        <v>408</v>
      </c>
      <c r="I58" s="46" t="s">
        <v>304</v>
      </c>
      <c r="J58" s="71" t="s">
        <v>408</v>
      </c>
      <c r="K58" s="46">
        <v>1</v>
      </c>
      <c r="L58" s="46">
        <f t="shared" si="2"/>
        <v>5</v>
      </c>
      <c r="M58" s="46">
        <v>20</v>
      </c>
      <c r="N58" s="58">
        <v>0.13340000000000002</v>
      </c>
      <c r="O58" s="58">
        <f t="shared" si="4"/>
        <v>2.6680000000000001</v>
      </c>
      <c r="P58" s="48"/>
      <c r="Q58" s="48"/>
      <c r="T58" s="62"/>
      <c r="V58" s="62"/>
    </row>
    <row r="59" spans="1:22" ht="36.75" thickBot="1" x14ac:dyDescent="0.3">
      <c r="A59" s="1"/>
      <c r="B59" s="38">
        <f t="shared" si="3"/>
        <v>50</v>
      </c>
      <c r="C59" s="66" t="s">
        <v>393</v>
      </c>
      <c r="D59" s="50" t="s">
        <v>56</v>
      </c>
      <c r="E59" s="51" t="s">
        <v>146</v>
      </c>
      <c r="F59" s="50" t="s">
        <v>406</v>
      </c>
      <c r="G59" s="51" t="s">
        <v>219</v>
      </c>
      <c r="H59" s="50" t="s">
        <v>408</v>
      </c>
      <c r="I59" s="50" t="s">
        <v>322</v>
      </c>
      <c r="J59" s="70" t="s">
        <v>408</v>
      </c>
      <c r="K59" s="50">
        <v>1</v>
      </c>
      <c r="L59" s="50">
        <f t="shared" si="2"/>
        <v>5</v>
      </c>
      <c r="M59" s="50">
        <v>6</v>
      </c>
      <c r="N59" s="59">
        <v>0.50760000000000005</v>
      </c>
      <c r="O59" s="59">
        <f t="shared" si="4"/>
        <v>3.0456000000000003</v>
      </c>
      <c r="P59" s="52"/>
      <c r="Q59" s="53"/>
      <c r="T59" s="62"/>
      <c r="V59" s="62"/>
    </row>
    <row r="60" spans="1:22" ht="36.75" thickBot="1" x14ac:dyDescent="0.3">
      <c r="A60" s="1"/>
      <c r="B60" s="38">
        <f t="shared" si="3"/>
        <v>51</v>
      </c>
      <c r="C60" s="65" t="s">
        <v>394</v>
      </c>
      <c r="D60" s="46" t="s">
        <v>57</v>
      </c>
      <c r="E60" s="47" t="s">
        <v>147</v>
      </c>
      <c r="F60" s="46" t="s">
        <v>451</v>
      </c>
      <c r="G60" s="47" t="s">
        <v>265</v>
      </c>
      <c r="H60" s="46" t="s">
        <v>408</v>
      </c>
      <c r="I60" s="46" t="s">
        <v>298</v>
      </c>
      <c r="J60" s="71" t="s">
        <v>358</v>
      </c>
      <c r="K60" s="46">
        <v>1</v>
      </c>
      <c r="L60" s="46">
        <f t="shared" si="2"/>
        <v>5</v>
      </c>
      <c r="M60" s="46">
        <v>100</v>
      </c>
      <c r="N60" s="58">
        <v>0.1024</v>
      </c>
      <c r="O60" s="58">
        <f t="shared" si="4"/>
        <v>10.24</v>
      </c>
      <c r="P60" s="48"/>
      <c r="Q60" s="48"/>
      <c r="T60" s="62"/>
      <c r="V60" s="62"/>
    </row>
    <row r="61" spans="1:22" ht="15.75" thickBot="1" x14ac:dyDescent="0.3">
      <c r="A61" s="1"/>
      <c r="B61" s="38">
        <f t="shared" si="3"/>
        <v>52</v>
      </c>
      <c r="C61" s="66" t="s">
        <v>394</v>
      </c>
      <c r="D61" s="50" t="s">
        <v>58</v>
      </c>
      <c r="E61" s="51" t="s">
        <v>148</v>
      </c>
      <c r="F61" s="50" t="s">
        <v>220</v>
      </c>
      <c r="G61" s="51" t="s">
        <v>266</v>
      </c>
      <c r="H61" s="50"/>
      <c r="I61" s="50" t="s">
        <v>298</v>
      </c>
      <c r="J61" s="70" t="s">
        <v>359</v>
      </c>
      <c r="K61" s="50">
        <v>1</v>
      </c>
      <c r="L61" s="50">
        <f t="shared" si="2"/>
        <v>5</v>
      </c>
      <c r="M61" s="50">
        <v>100</v>
      </c>
      <c r="N61" s="59">
        <v>0.1013</v>
      </c>
      <c r="O61" s="59">
        <f t="shared" si="4"/>
        <v>10.130000000000001</v>
      </c>
      <c r="P61" s="52"/>
      <c r="Q61" s="53"/>
      <c r="T61" s="62"/>
      <c r="V61" s="62"/>
    </row>
    <row r="62" spans="1:22" ht="36.75" thickBot="1" x14ac:dyDescent="0.3">
      <c r="A62" s="1"/>
      <c r="B62" s="38">
        <f t="shared" si="3"/>
        <v>53</v>
      </c>
      <c r="C62" s="65" t="s">
        <v>394</v>
      </c>
      <c r="D62" s="46" t="s">
        <v>59</v>
      </c>
      <c r="E62" s="47" t="s">
        <v>149</v>
      </c>
      <c r="F62" s="46" t="s">
        <v>220</v>
      </c>
      <c r="G62" s="47" t="s">
        <v>411</v>
      </c>
      <c r="H62" s="46" t="s">
        <v>408</v>
      </c>
      <c r="I62" s="46" t="s">
        <v>323</v>
      </c>
      <c r="J62" s="71" t="s">
        <v>360</v>
      </c>
      <c r="K62" s="46">
        <v>1</v>
      </c>
      <c r="L62" s="46">
        <f t="shared" si="2"/>
        <v>5</v>
      </c>
      <c r="M62" s="46">
        <v>50</v>
      </c>
      <c r="N62" s="58">
        <v>0.1043</v>
      </c>
      <c r="O62" s="58">
        <f t="shared" si="4"/>
        <v>5.2149999999999999</v>
      </c>
      <c r="P62" s="48"/>
      <c r="Q62" s="48"/>
      <c r="T62" s="62"/>
      <c r="V62" s="62"/>
    </row>
    <row r="63" spans="1:22" ht="60.75" thickBot="1" x14ac:dyDescent="0.3">
      <c r="A63" s="1"/>
      <c r="B63" s="38">
        <f t="shared" si="3"/>
        <v>54</v>
      </c>
      <c r="C63" s="66" t="s">
        <v>394</v>
      </c>
      <c r="D63" s="50" t="s">
        <v>447</v>
      </c>
      <c r="E63" s="51" t="s">
        <v>150</v>
      </c>
      <c r="F63" s="50" t="s">
        <v>220</v>
      </c>
      <c r="G63" s="51" t="s">
        <v>267</v>
      </c>
      <c r="H63" s="50" t="s">
        <v>408</v>
      </c>
      <c r="I63" s="50" t="s">
        <v>298</v>
      </c>
      <c r="J63" s="70" t="s">
        <v>361</v>
      </c>
      <c r="K63" s="50">
        <v>33</v>
      </c>
      <c r="L63" s="50">
        <f t="shared" si="2"/>
        <v>165</v>
      </c>
      <c r="M63" s="50">
        <v>200</v>
      </c>
      <c r="N63" s="59">
        <v>0.10200000000000001</v>
      </c>
      <c r="O63" s="59">
        <f t="shared" si="4"/>
        <v>20.400000000000002</v>
      </c>
      <c r="P63" s="52"/>
      <c r="Q63" s="53"/>
      <c r="T63" s="62"/>
      <c r="V63" s="62"/>
    </row>
    <row r="64" spans="1:22" ht="15.75" thickBot="1" x14ac:dyDescent="0.3">
      <c r="A64" s="1"/>
      <c r="B64" s="38">
        <f t="shared" si="3"/>
        <v>55</v>
      </c>
      <c r="C64" s="65" t="s">
        <v>394</v>
      </c>
      <c r="D64" s="46" t="s">
        <v>60</v>
      </c>
      <c r="E64" s="47" t="s">
        <v>151</v>
      </c>
      <c r="F64" s="46" t="s">
        <v>220</v>
      </c>
      <c r="G64" s="47" t="s">
        <v>268</v>
      </c>
      <c r="H64" s="46" t="s">
        <v>408</v>
      </c>
      <c r="I64" s="46" t="s">
        <v>298</v>
      </c>
      <c r="J64" s="71" t="s">
        <v>362</v>
      </c>
      <c r="K64" s="46">
        <v>7</v>
      </c>
      <c r="L64" s="46">
        <f t="shared" si="2"/>
        <v>35</v>
      </c>
      <c r="M64" s="46">
        <v>100</v>
      </c>
      <c r="N64" s="58">
        <v>0.10120000000000001</v>
      </c>
      <c r="O64" s="58">
        <f t="shared" si="4"/>
        <v>10.120000000000001</v>
      </c>
      <c r="P64" s="48"/>
      <c r="Q64" s="48"/>
      <c r="T64" s="62"/>
      <c r="V64" s="62"/>
    </row>
    <row r="65" spans="1:22" ht="15.75" thickBot="1" x14ac:dyDescent="0.3">
      <c r="A65" s="1"/>
      <c r="B65" s="38">
        <f t="shared" si="3"/>
        <v>56</v>
      </c>
      <c r="C65" s="66" t="s">
        <v>394</v>
      </c>
      <c r="D65" s="50" t="s">
        <v>61</v>
      </c>
      <c r="E65" s="51" t="s">
        <v>152</v>
      </c>
      <c r="F65" s="50" t="s">
        <v>220</v>
      </c>
      <c r="G65" s="51" t="s">
        <v>269</v>
      </c>
      <c r="H65" s="50"/>
      <c r="I65" s="50" t="s">
        <v>298</v>
      </c>
      <c r="J65" s="70" t="s">
        <v>363</v>
      </c>
      <c r="K65" s="50">
        <v>2</v>
      </c>
      <c r="L65" s="50">
        <f t="shared" si="2"/>
        <v>10</v>
      </c>
      <c r="M65" s="50">
        <v>100</v>
      </c>
      <c r="N65" s="59">
        <v>0.1019</v>
      </c>
      <c r="O65" s="59">
        <f t="shared" si="4"/>
        <v>10.190000000000001</v>
      </c>
      <c r="P65" s="52"/>
      <c r="Q65" s="53"/>
      <c r="T65" s="62"/>
      <c r="V65" s="62"/>
    </row>
    <row r="66" spans="1:22" ht="36.75" thickBot="1" x14ac:dyDescent="0.3">
      <c r="A66" s="1"/>
      <c r="B66" s="38">
        <f t="shared" si="3"/>
        <v>57</v>
      </c>
      <c r="C66" s="65" t="s">
        <v>394</v>
      </c>
      <c r="D66" s="46" t="s">
        <v>62</v>
      </c>
      <c r="E66" s="47" t="s">
        <v>153</v>
      </c>
      <c r="F66" s="46" t="s">
        <v>220</v>
      </c>
      <c r="G66" s="47" t="s">
        <v>270</v>
      </c>
      <c r="H66" s="46" t="s">
        <v>408</v>
      </c>
      <c r="I66" s="46" t="s">
        <v>324</v>
      </c>
      <c r="J66" s="71" t="s">
        <v>364</v>
      </c>
      <c r="K66" s="46">
        <v>1</v>
      </c>
      <c r="L66" s="46">
        <f t="shared" si="2"/>
        <v>5</v>
      </c>
      <c r="M66" s="46">
        <v>100</v>
      </c>
      <c r="N66" s="58">
        <v>0.1017</v>
      </c>
      <c r="O66" s="58">
        <f t="shared" si="4"/>
        <v>10.17</v>
      </c>
      <c r="P66" s="48"/>
      <c r="Q66" s="48"/>
      <c r="T66" s="62"/>
      <c r="V66" s="62"/>
    </row>
    <row r="67" spans="1:22" ht="15.75" thickBot="1" x14ac:dyDescent="0.3">
      <c r="A67" s="1"/>
      <c r="B67" s="38">
        <f t="shared" si="3"/>
        <v>58</v>
      </c>
      <c r="C67" s="66" t="s">
        <v>394</v>
      </c>
      <c r="D67" s="50" t="s">
        <v>63</v>
      </c>
      <c r="E67" s="51" t="s">
        <v>154</v>
      </c>
      <c r="F67" s="50" t="s">
        <v>220</v>
      </c>
      <c r="G67" s="61" t="s">
        <v>271</v>
      </c>
      <c r="H67" s="50" t="s">
        <v>421</v>
      </c>
      <c r="I67" s="50" t="s">
        <v>325</v>
      </c>
      <c r="J67" s="70" t="s">
        <v>365</v>
      </c>
      <c r="K67" s="50">
        <v>1</v>
      </c>
      <c r="L67" s="50">
        <f t="shared" si="2"/>
        <v>5</v>
      </c>
      <c r="M67" s="50">
        <v>20</v>
      </c>
      <c r="N67" s="59">
        <v>0.1293</v>
      </c>
      <c r="O67" s="59">
        <f t="shared" si="4"/>
        <v>2.5859999999999999</v>
      </c>
      <c r="P67" s="52"/>
      <c r="Q67" s="53"/>
      <c r="T67" s="62"/>
      <c r="V67" s="62"/>
    </row>
    <row r="68" spans="1:22" ht="24.75" thickBot="1" x14ac:dyDescent="0.3">
      <c r="A68" s="1"/>
      <c r="B68" s="38">
        <f t="shared" si="3"/>
        <v>59</v>
      </c>
      <c r="C68" s="65" t="s">
        <v>394</v>
      </c>
      <c r="D68" s="46" t="s">
        <v>64</v>
      </c>
      <c r="E68" s="47" t="s">
        <v>155</v>
      </c>
      <c r="F68" s="46" t="s">
        <v>220</v>
      </c>
      <c r="G68" s="47" t="s">
        <v>272</v>
      </c>
      <c r="H68" s="46" t="s">
        <v>408</v>
      </c>
      <c r="I68" s="46" t="s">
        <v>326</v>
      </c>
      <c r="J68" s="71" t="s">
        <v>366</v>
      </c>
      <c r="K68" s="46">
        <v>8</v>
      </c>
      <c r="L68" s="46">
        <f t="shared" si="2"/>
        <v>40</v>
      </c>
      <c r="M68" s="46">
        <v>100</v>
      </c>
      <c r="N68" s="58">
        <v>0.1014</v>
      </c>
      <c r="O68" s="58">
        <f t="shared" si="4"/>
        <v>10.14</v>
      </c>
      <c r="P68" s="48"/>
      <c r="Q68" s="48"/>
      <c r="T68" s="62"/>
      <c r="V68" s="62"/>
    </row>
    <row r="69" spans="1:22" ht="15.75" thickBot="1" x14ac:dyDescent="0.3">
      <c r="A69" s="1"/>
      <c r="B69" s="38">
        <f t="shared" si="3"/>
        <v>60</v>
      </c>
      <c r="C69" s="66" t="s">
        <v>394</v>
      </c>
      <c r="D69" s="50" t="s">
        <v>65</v>
      </c>
      <c r="E69" s="51" t="s">
        <v>156</v>
      </c>
      <c r="F69" s="50" t="s">
        <v>220</v>
      </c>
      <c r="G69" s="51" t="s">
        <v>273</v>
      </c>
      <c r="H69" s="50" t="s">
        <v>408</v>
      </c>
      <c r="I69" s="50" t="s">
        <v>298</v>
      </c>
      <c r="J69" s="70" t="s">
        <v>367</v>
      </c>
      <c r="K69" s="50">
        <v>3</v>
      </c>
      <c r="L69" s="50">
        <f t="shared" si="2"/>
        <v>15</v>
      </c>
      <c r="M69" s="50">
        <v>100</v>
      </c>
      <c r="N69" s="59">
        <v>0.10150000000000001</v>
      </c>
      <c r="O69" s="59">
        <f t="shared" si="4"/>
        <v>10.15</v>
      </c>
      <c r="P69" s="52"/>
      <c r="Q69" s="53"/>
      <c r="T69" s="62"/>
      <c r="V69" s="62"/>
    </row>
    <row r="70" spans="1:22" ht="15.75" thickBot="1" x14ac:dyDescent="0.3">
      <c r="A70" s="1"/>
      <c r="B70" s="38">
        <f t="shared" si="3"/>
        <v>61</v>
      </c>
      <c r="C70" s="65" t="s">
        <v>394</v>
      </c>
      <c r="D70" s="46" t="s">
        <v>66</v>
      </c>
      <c r="E70" s="47" t="s">
        <v>157</v>
      </c>
      <c r="F70" s="46" t="s">
        <v>220</v>
      </c>
      <c r="G70" s="47" t="s">
        <v>274</v>
      </c>
      <c r="H70" s="46" t="s">
        <v>408</v>
      </c>
      <c r="I70" s="46" t="s">
        <v>326</v>
      </c>
      <c r="J70" s="71" t="s">
        <v>368</v>
      </c>
      <c r="K70" s="46">
        <v>7</v>
      </c>
      <c r="L70" s="46">
        <f t="shared" si="2"/>
        <v>35</v>
      </c>
      <c r="M70" s="46">
        <v>100</v>
      </c>
      <c r="N70" s="58">
        <v>0.1014</v>
      </c>
      <c r="O70" s="58">
        <f t="shared" si="4"/>
        <v>10.14</v>
      </c>
      <c r="P70" s="48"/>
      <c r="Q70" s="48"/>
      <c r="T70" s="62"/>
      <c r="V70" s="62"/>
    </row>
    <row r="71" spans="1:22" ht="15.75" thickBot="1" x14ac:dyDescent="0.3">
      <c r="A71" s="1"/>
      <c r="B71" s="38">
        <f t="shared" si="3"/>
        <v>62</v>
      </c>
      <c r="C71" s="66" t="s">
        <v>394</v>
      </c>
      <c r="D71" s="50" t="s">
        <v>67</v>
      </c>
      <c r="E71" s="51" t="s">
        <v>158</v>
      </c>
      <c r="F71" s="50" t="s">
        <v>220</v>
      </c>
      <c r="G71" s="51" t="s">
        <v>275</v>
      </c>
      <c r="H71" s="50" t="s">
        <v>408</v>
      </c>
      <c r="I71" s="50" t="s">
        <v>298</v>
      </c>
      <c r="J71" s="70" t="s">
        <v>369</v>
      </c>
      <c r="K71" s="50">
        <v>2</v>
      </c>
      <c r="L71" s="50">
        <f t="shared" si="2"/>
        <v>10</v>
      </c>
      <c r="M71" s="50">
        <v>100</v>
      </c>
      <c r="N71" s="59">
        <v>0.1013</v>
      </c>
      <c r="O71" s="59">
        <f t="shared" si="4"/>
        <v>10.130000000000001</v>
      </c>
      <c r="P71" s="52"/>
      <c r="Q71" s="53"/>
      <c r="T71" s="62"/>
      <c r="V71" s="62"/>
    </row>
    <row r="72" spans="1:22" ht="24.75" thickBot="1" x14ac:dyDescent="0.3">
      <c r="A72" s="1"/>
      <c r="B72" s="38">
        <f t="shared" si="3"/>
        <v>63</v>
      </c>
      <c r="C72" s="65" t="s">
        <v>394</v>
      </c>
      <c r="D72" s="46" t="s">
        <v>68</v>
      </c>
      <c r="E72" s="47" t="s">
        <v>159</v>
      </c>
      <c r="F72" s="46" t="s">
        <v>220</v>
      </c>
      <c r="G72" s="47" t="s">
        <v>276</v>
      </c>
      <c r="H72" s="46" t="s">
        <v>408</v>
      </c>
      <c r="I72" s="46" t="s">
        <v>298</v>
      </c>
      <c r="J72" s="71" t="s">
        <v>370</v>
      </c>
      <c r="K72" s="46">
        <v>13</v>
      </c>
      <c r="L72" s="46">
        <f t="shared" si="2"/>
        <v>65</v>
      </c>
      <c r="M72" s="46">
        <v>100</v>
      </c>
      <c r="N72" s="58">
        <v>0.10120000000000001</v>
      </c>
      <c r="O72" s="58">
        <f t="shared" si="4"/>
        <v>10.120000000000001</v>
      </c>
      <c r="P72" s="48"/>
      <c r="Q72" s="48"/>
      <c r="T72" s="62"/>
      <c r="V72" s="62"/>
    </row>
    <row r="73" spans="1:22" ht="24.75" thickBot="1" x14ac:dyDescent="0.3">
      <c r="A73" s="1"/>
      <c r="B73" s="38">
        <f t="shared" si="3"/>
        <v>64</v>
      </c>
      <c r="C73" s="66" t="s">
        <v>394</v>
      </c>
      <c r="D73" s="50" t="s">
        <v>69</v>
      </c>
      <c r="E73" s="51" t="s">
        <v>160</v>
      </c>
      <c r="F73" s="50" t="s">
        <v>220</v>
      </c>
      <c r="G73" s="51" t="s">
        <v>277</v>
      </c>
      <c r="H73" s="50" t="s">
        <v>408</v>
      </c>
      <c r="I73" s="50" t="s">
        <v>327</v>
      </c>
      <c r="J73" s="70" t="s">
        <v>371</v>
      </c>
      <c r="K73" s="50">
        <v>1</v>
      </c>
      <c r="L73" s="50">
        <f t="shared" si="2"/>
        <v>5</v>
      </c>
      <c r="M73" s="50">
        <v>100</v>
      </c>
      <c r="N73" s="59">
        <v>0.10400000000000001</v>
      </c>
      <c r="O73" s="59">
        <f t="shared" si="4"/>
        <v>10.4</v>
      </c>
      <c r="P73" s="52"/>
      <c r="Q73" s="53"/>
      <c r="T73" s="62"/>
      <c r="V73" s="62"/>
    </row>
    <row r="74" spans="1:22" ht="15.75" thickBot="1" x14ac:dyDescent="0.3">
      <c r="A74" s="1"/>
      <c r="B74" s="38">
        <f t="shared" ref="B74:B101" si="5">ROW(B74) - ROW($B$9)</f>
        <v>65</v>
      </c>
      <c r="C74" s="65" t="s">
        <v>394</v>
      </c>
      <c r="D74" s="46" t="s">
        <v>70</v>
      </c>
      <c r="E74" s="47" t="s">
        <v>161</v>
      </c>
      <c r="F74" s="46" t="s">
        <v>220</v>
      </c>
      <c r="G74" s="47" t="s">
        <v>428</v>
      </c>
      <c r="H74" s="46" t="s">
        <v>408</v>
      </c>
      <c r="I74" s="46" t="s">
        <v>429</v>
      </c>
      <c r="J74" s="71" t="s">
        <v>427</v>
      </c>
      <c r="K74" s="46">
        <v>1</v>
      </c>
      <c r="L74" s="46">
        <f t="shared" si="2"/>
        <v>5</v>
      </c>
      <c r="M74" s="46">
        <v>100</v>
      </c>
      <c r="N74" s="58">
        <v>0.10160000000000001</v>
      </c>
      <c r="O74" s="58">
        <f t="shared" si="4"/>
        <v>10.16</v>
      </c>
      <c r="P74" s="48"/>
      <c r="Q74" s="48"/>
      <c r="T74" s="62"/>
      <c r="V74" s="62"/>
    </row>
    <row r="75" spans="1:22" ht="36.75" thickBot="1" x14ac:dyDescent="0.3">
      <c r="A75" s="1"/>
      <c r="B75" s="38">
        <f t="shared" si="5"/>
        <v>66</v>
      </c>
      <c r="C75" s="66" t="s">
        <v>394</v>
      </c>
      <c r="D75" s="50" t="s">
        <v>71</v>
      </c>
      <c r="E75" s="51" t="s">
        <v>162</v>
      </c>
      <c r="F75" s="50" t="s">
        <v>220</v>
      </c>
      <c r="G75" s="61" t="s">
        <v>278</v>
      </c>
      <c r="H75" s="50" t="s">
        <v>452</v>
      </c>
      <c r="I75" s="50" t="s">
        <v>298</v>
      </c>
      <c r="J75" s="70" t="s">
        <v>372</v>
      </c>
      <c r="K75" s="50">
        <v>1</v>
      </c>
      <c r="L75" s="50">
        <f t="shared" ref="L75:L101" si="6">K75*5</f>
        <v>5</v>
      </c>
      <c r="M75" s="50">
        <v>100</v>
      </c>
      <c r="N75" s="59">
        <v>0.1009</v>
      </c>
      <c r="O75" s="59">
        <f t="shared" si="4"/>
        <v>10.09</v>
      </c>
      <c r="P75" s="52"/>
      <c r="Q75" s="53"/>
      <c r="T75" s="62"/>
      <c r="V75" s="62"/>
    </row>
    <row r="76" spans="1:22" ht="15.75" thickBot="1" x14ac:dyDescent="0.3">
      <c r="A76" s="1"/>
      <c r="B76" s="38">
        <f t="shared" si="5"/>
        <v>67</v>
      </c>
      <c r="C76" s="65" t="s">
        <v>394</v>
      </c>
      <c r="D76" s="46" t="s">
        <v>72</v>
      </c>
      <c r="E76" s="47" t="s">
        <v>163</v>
      </c>
      <c r="F76" s="46" t="s">
        <v>220</v>
      </c>
      <c r="G76" s="47" t="s">
        <v>279</v>
      </c>
      <c r="H76" s="46" t="s">
        <v>408</v>
      </c>
      <c r="I76" s="46" t="s">
        <v>298</v>
      </c>
      <c r="J76" s="71" t="s">
        <v>373</v>
      </c>
      <c r="K76" s="46">
        <v>2</v>
      </c>
      <c r="L76" s="46">
        <f t="shared" si="6"/>
        <v>10</v>
      </c>
      <c r="M76" s="46">
        <v>100</v>
      </c>
      <c r="N76" s="58">
        <v>0.1022</v>
      </c>
      <c r="O76" s="58">
        <f t="shared" si="4"/>
        <v>10.220000000000001</v>
      </c>
      <c r="P76" s="48"/>
      <c r="Q76" s="48"/>
      <c r="T76" s="62"/>
      <c r="V76" s="62"/>
    </row>
    <row r="77" spans="1:22" ht="15.75" thickBot="1" x14ac:dyDescent="0.3">
      <c r="A77" s="1"/>
      <c r="B77" s="38">
        <f t="shared" si="5"/>
        <v>68</v>
      </c>
      <c r="C77" s="66" t="s">
        <v>394</v>
      </c>
      <c r="D77" s="50" t="s">
        <v>73</v>
      </c>
      <c r="E77" s="51" t="s">
        <v>164</v>
      </c>
      <c r="F77" s="50" t="s">
        <v>220</v>
      </c>
      <c r="G77" s="51" t="s">
        <v>280</v>
      </c>
      <c r="H77" s="50" t="s">
        <v>408</v>
      </c>
      <c r="I77" s="50" t="s">
        <v>298</v>
      </c>
      <c r="J77" s="70" t="s">
        <v>374</v>
      </c>
      <c r="K77" s="50">
        <v>4</v>
      </c>
      <c r="L77" s="50">
        <f t="shared" si="6"/>
        <v>20</v>
      </c>
      <c r="M77" s="50">
        <v>100</v>
      </c>
      <c r="N77" s="59">
        <v>0.10150000000000001</v>
      </c>
      <c r="O77" s="59">
        <f t="shared" si="4"/>
        <v>10.15</v>
      </c>
      <c r="P77" s="52"/>
      <c r="Q77" s="53"/>
      <c r="T77" s="62"/>
      <c r="V77" s="62"/>
    </row>
    <row r="78" spans="1:22" ht="15.75" thickBot="1" x14ac:dyDescent="0.3">
      <c r="A78" s="1"/>
      <c r="B78" s="38">
        <f t="shared" si="5"/>
        <v>69</v>
      </c>
      <c r="C78" s="65" t="s">
        <v>394</v>
      </c>
      <c r="D78" s="46" t="s">
        <v>74</v>
      </c>
      <c r="E78" s="47" t="s">
        <v>165</v>
      </c>
      <c r="F78" s="46" t="s">
        <v>221</v>
      </c>
      <c r="G78" s="47" t="s">
        <v>281</v>
      </c>
      <c r="H78" s="46" t="s">
        <v>430</v>
      </c>
      <c r="I78" s="46" t="s">
        <v>325</v>
      </c>
      <c r="J78" s="71" t="s">
        <v>375</v>
      </c>
      <c r="K78" s="46">
        <v>1</v>
      </c>
      <c r="L78" s="46">
        <f t="shared" si="6"/>
        <v>5</v>
      </c>
      <c r="M78" s="46">
        <v>50</v>
      </c>
      <c r="N78" s="58">
        <v>0.10640000000000001</v>
      </c>
      <c r="O78" s="58">
        <f t="shared" si="4"/>
        <v>5.32</v>
      </c>
      <c r="P78" s="48"/>
      <c r="Q78" s="48"/>
      <c r="T78" s="62"/>
      <c r="V78" s="62"/>
    </row>
    <row r="79" spans="1:22" ht="15.75" thickBot="1" x14ac:dyDescent="0.3">
      <c r="A79" s="1"/>
      <c r="B79" s="38">
        <f t="shared" si="5"/>
        <v>70</v>
      </c>
      <c r="C79" s="66" t="s">
        <v>394</v>
      </c>
      <c r="D79" s="50" t="s">
        <v>75</v>
      </c>
      <c r="E79" s="51" t="s">
        <v>166</v>
      </c>
      <c r="F79" s="50" t="s">
        <v>220</v>
      </c>
      <c r="G79" s="51" t="s">
        <v>282</v>
      </c>
      <c r="H79" s="50" t="s">
        <v>408</v>
      </c>
      <c r="I79" s="50" t="s">
        <v>298</v>
      </c>
      <c r="J79" s="70" t="s">
        <v>376</v>
      </c>
      <c r="K79" s="50">
        <v>1</v>
      </c>
      <c r="L79" s="50">
        <f t="shared" si="6"/>
        <v>5</v>
      </c>
      <c r="M79" s="50">
        <v>100</v>
      </c>
      <c r="N79" s="59">
        <v>0.1014</v>
      </c>
      <c r="O79" s="59">
        <f t="shared" si="4"/>
        <v>10.14</v>
      </c>
      <c r="P79" s="52"/>
      <c r="Q79" s="53"/>
      <c r="T79" s="62"/>
      <c r="V79" s="62"/>
    </row>
    <row r="80" spans="1:22" ht="15.75" thickBot="1" x14ac:dyDescent="0.3">
      <c r="A80" s="1"/>
      <c r="B80" s="38">
        <f t="shared" si="5"/>
        <v>71</v>
      </c>
      <c r="C80" s="65" t="s">
        <v>394</v>
      </c>
      <c r="D80" s="46" t="s">
        <v>76</v>
      </c>
      <c r="E80" s="47" t="s">
        <v>167</v>
      </c>
      <c r="F80" s="46" t="s">
        <v>220</v>
      </c>
      <c r="G80" s="47" t="s">
        <v>283</v>
      </c>
      <c r="H80" s="46" t="s">
        <v>408</v>
      </c>
      <c r="I80" s="46" t="s">
        <v>298</v>
      </c>
      <c r="J80" s="71" t="s">
        <v>377</v>
      </c>
      <c r="K80" s="46">
        <v>3</v>
      </c>
      <c r="L80" s="46">
        <f t="shared" si="6"/>
        <v>15</v>
      </c>
      <c r="M80" s="46">
        <v>100</v>
      </c>
      <c r="N80" s="58">
        <v>0.10150000000000001</v>
      </c>
      <c r="O80" s="58">
        <f t="shared" si="4"/>
        <v>10.15</v>
      </c>
      <c r="P80" s="48"/>
      <c r="Q80" s="48"/>
      <c r="T80" s="62"/>
      <c r="V80" s="62"/>
    </row>
    <row r="81" spans="1:22" ht="15.75" thickBot="1" x14ac:dyDescent="0.3">
      <c r="A81" s="1"/>
      <c r="B81" s="38">
        <f t="shared" si="5"/>
        <v>72</v>
      </c>
      <c r="C81" s="66" t="s">
        <v>394</v>
      </c>
      <c r="D81" s="50" t="s">
        <v>77</v>
      </c>
      <c r="E81" s="51" t="s">
        <v>168</v>
      </c>
      <c r="F81" s="50" t="s">
        <v>220</v>
      </c>
      <c r="G81" s="51" t="s">
        <v>284</v>
      </c>
      <c r="H81" s="50" t="s">
        <v>408</v>
      </c>
      <c r="I81" s="50" t="s">
        <v>298</v>
      </c>
      <c r="J81" s="70" t="s">
        <v>378</v>
      </c>
      <c r="K81" s="50">
        <v>2</v>
      </c>
      <c r="L81" s="50">
        <f t="shared" si="6"/>
        <v>10</v>
      </c>
      <c r="M81" s="50">
        <v>100</v>
      </c>
      <c r="N81" s="59">
        <v>0.1014</v>
      </c>
      <c r="O81" s="59">
        <f t="shared" si="4"/>
        <v>10.14</v>
      </c>
      <c r="P81" s="52"/>
      <c r="Q81" s="53"/>
      <c r="T81" s="62"/>
      <c r="V81" s="62"/>
    </row>
    <row r="82" spans="1:22" ht="24.75" thickBot="1" x14ac:dyDescent="0.3">
      <c r="A82" s="1"/>
      <c r="B82" s="38">
        <f t="shared" si="5"/>
        <v>73</v>
      </c>
      <c r="C82" s="65" t="s">
        <v>394</v>
      </c>
      <c r="D82" s="46" t="s">
        <v>78</v>
      </c>
      <c r="E82" s="47" t="s">
        <v>169</v>
      </c>
      <c r="F82" s="46" t="s">
        <v>220</v>
      </c>
      <c r="G82" s="47" t="s">
        <v>285</v>
      </c>
      <c r="H82" s="46" t="s">
        <v>408</v>
      </c>
      <c r="I82" s="46" t="s">
        <v>298</v>
      </c>
      <c r="J82" s="71" t="s">
        <v>379</v>
      </c>
      <c r="K82" s="46">
        <v>2</v>
      </c>
      <c r="L82" s="46">
        <f t="shared" si="6"/>
        <v>10</v>
      </c>
      <c r="M82" s="46">
        <v>100</v>
      </c>
      <c r="N82" s="58">
        <v>0.10150000000000001</v>
      </c>
      <c r="O82" s="58">
        <f t="shared" si="4"/>
        <v>10.15</v>
      </c>
      <c r="P82" s="48"/>
      <c r="Q82" s="48"/>
      <c r="T82" s="62"/>
      <c r="V82" s="62"/>
    </row>
    <row r="83" spans="1:22" ht="15.75" thickBot="1" x14ac:dyDescent="0.3">
      <c r="A83" s="1"/>
      <c r="B83" s="38">
        <f t="shared" si="5"/>
        <v>74</v>
      </c>
      <c r="C83" s="66" t="s">
        <v>394</v>
      </c>
      <c r="D83" s="50" t="s">
        <v>79</v>
      </c>
      <c r="E83" s="51" t="s">
        <v>170</v>
      </c>
      <c r="F83" s="50" t="s">
        <v>222</v>
      </c>
      <c r="G83" s="51" t="s">
        <v>422</v>
      </c>
      <c r="H83" s="50" t="s">
        <v>408</v>
      </c>
      <c r="I83" s="50" t="s">
        <v>328</v>
      </c>
      <c r="J83" s="70" t="s">
        <v>380</v>
      </c>
      <c r="K83" s="50">
        <v>2</v>
      </c>
      <c r="L83" s="50">
        <f t="shared" si="6"/>
        <v>10</v>
      </c>
      <c r="M83" s="50">
        <v>50</v>
      </c>
      <c r="N83" s="59">
        <v>0.11130000000000001</v>
      </c>
      <c r="O83" s="59">
        <f t="shared" si="4"/>
        <v>5.5650000000000004</v>
      </c>
      <c r="P83" s="52"/>
      <c r="Q83" s="53"/>
      <c r="T83" s="62"/>
      <c r="V83" s="62"/>
    </row>
    <row r="84" spans="1:22" ht="24.75" thickBot="1" x14ac:dyDescent="0.3">
      <c r="A84" s="1"/>
      <c r="B84" s="38">
        <f t="shared" si="5"/>
        <v>75</v>
      </c>
      <c r="C84" s="65" t="s">
        <v>394</v>
      </c>
      <c r="D84" s="46" t="s">
        <v>80</v>
      </c>
      <c r="E84" s="47" t="s">
        <v>171</v>
      </c>
      <c r="F84" s="46" t="s">
        <v>220</v>
      </c>
      <c r="G84" s="47" t="s">
        <v>286</v>
      </c>
      <c r="H84" s="46" t="s">
        <v>408</v>
      </c>
      <c r="I84" s="46" t="s">
        <v>298</v>
      </c>
      <c r="J84" s="71" t="s">
        <v>381</v>
      </c>
      <c r="K84" s="46">
        <v>2</v>
      </c>
      <c r="L84" s="46">
        <f t="shared" si="6"/>
        <v>10</v>
      </c>
      <c r="M84" s="46">
        <v>100</v>
      </c>
      <c r="N84" s="58">
        <v>0.1013</v>
      </c>
      <c r="O84" s="58">
        <f t="shared" si="4"/>
        <v>10.130000000000001</v>
      </c>
      <c r="P84" s="48"/>
      <c r="Q84" s="48"/>
      <c r="T84" s="62"/>
      <c r="V84" s="62"/>
    </row>
    <row r="85" spans="1:22" ht="15.75" thickBot="1" x14ac:dyDescent="0.3">
      <c r="A85" s="1"/>
      <c r="B85" s="38">
        <f t="shared" si="5"/>
        <v>76</v>
      </c>
      <c r="C85" s="66" t="s">
        <v>394</v>
      </c>
      <c r="D85" s="50" t="s">
        <v>81</v>
      </c>
      <c r="E85" s="51" t="s">
        <v>172</v>
      </c>
      <c r="F85" s="50" t="s">
        <v>223</v>
      </c>
      <c r="G85" s="61" t="s">
        <v>287</v>
      </c>
      <c r="H85" s="50" t="s">
        <v>423</v>
      </c>
      <c r="I85" s="50" t="s">
        <v>329</v>
      </c>
      <c r="J85" s="70" t="s">
        <v>362</v>
      </c>
      <c r="K85" s="50">
        <v>1</v>
      </c>
      <c r="L85" s="50">
        <f t="shared" si="6"/>
        <v>5</v>
      </c>
      <c r="M85" s="50">
        <v>20</v>
      </c>
      <c r="N85" s="59">
        <v>0.13250000000000001</v>
      </c>
      <c r="O85" s="59">
        <f t="shared" si="4"/>
        <v>2.6500000000000004</v>
      </c>
      <c r="P85" s="52"/>
      <c r="Q85" s="53"/>
      <c r="T85" s="62"/>
      <c r="V85" s="62"/>
    </row>
    <row r="86" spans="1:22" ht="36.75" thickBot="1" x14ac:dyDescent="0.3">
      <c r="A86" s="1"/>
      <c r="B86" s="38">
        <f t="shared" si="5"/>
        <v>77</v>
      </c>
      <c r="C86" s="65" t="s">
        <v>224</v>
      </c>
      <c r="D86" s="46" t="s">
        <v>82</v>
      </c>
      <c r="E86" s="47" t="s">
        <v>173</v>
      </c>
      <c r="F86" s="46" t="s">
        <v>406</v>
      </c>
      <c r="G86" s="47" t="s">
        <v>408</v>
      </c>
      <c r="H86" s="46" t="s">
        <v>408</v>
      </c>
      <c r="I86" s="46" t="s">
        <v>408</v>
      </c>
      <c r="J86" s="71" t="s">
        <v>408</v>
      </c>
      <c r="K86" s="46">
        <v>18</v>
      </c>
      <c r="L86" s="46">
        <f t="shared" si="6"/>
        <v>90</v>
      </c>
      <c r="M86" s="46" t="s">
        <v>408</v>
      </c>
      <c r="N86" s="58" t="s">
        <v>408</v>
      </c>
      <c r="O86" s="58" t="s">
        <v>408</v>
      </c>
      <c r="P86" s="67" t="s">
        <v>437</v>
      </c>
      <c r="Q86" s="48" t="s">
        <v>408</v>
      </c>
      <c r="T86" s="62"/>
      <c r="V86" s="62"/>
    </row>
    <row r="87" spans="1:22" ht="24.75" thickBot="1" x14ac:dyDescent="0.3">
      <c r="A87" s="1"/>
      <c r="B87" s="38">
        <f t="shared" si="5"/>
        <v>78</v>
      </c>
      <c r="C87" s="66" t="s">
        <v>395</v>
      </c>
      <c r="D87" s="50" t="s">
        <v>83</v>
      </c>
      <c r="E87" s="51" t="s">
        <v>174</v>
      </c>
      <c r="F87" s="50" t="s">
        <v>406</v>
      </c>
      <c r="G87" s="51" t="s">
        <v>225</v>
      </c>
      <c r="H87" s="50" t="s">
        <v>408</v>
      </c>
      <c r="I87" s="50" t="s">
        <v>330</v>
      </c>
      <c r="J87" s="70" t="s">
        <v>408</v>
      </c>
      <c r="K87" s="50">
        <v>7</v>
      </c>
      <c r="L87" s="50">
        <f t="shared" si="6"/>
        <v>35</v>
      </c>
      <c r="M87" s="50">
        <v>37</v>
      </c>
      <c r="N87" s="59">
        <v>0.8448</v>
      </c>
      <c r="O87" s="59">
        <f t="shared" ref="O87:O101" si="7">N87*M87</f>
        <v>31.2576</v>
      </c>
      <c r="P87" s="52"/>
      <c r="Q87" s="53"/>
      <c r="T87" s="62"/>
      <c r="V87" s="62"/>
    </row>
    <row r="88" spans="1:22" ht="15.75" thickBot="1" x14ac:dyDescent="0.3">
      <c r="A88" s="1"/>
      <c r="B88" s="38">
        <f t="shared" si="5"/>
        <v>79</v>
      </c>
      <c r="C88" s="65" t="s">
        <v>396</v>
      </c>
      <c r="D88" s="46" t="s">
        <v>84</v>
      </c>
      <c r="E88" s="47" t="s">
        <v>175</v>
      </c>
      <c r="F88" s="46" t="s">
        <v>226</v>
      </c>
      <c r="G88" s="47" t="s">
        <v>288</v>
      </c>
      <c r="H88" s="46" t="s">
        <v>408</v>
      </c>
      <c r="I88" s="46" t="s">
        <v>331</v>
      </c>
      <c r="J88" s="71" t="s">
        <v>408</v>
      </c>
      <c r="K88" s="46">
        <v>2</v>
      </c>
      <c r="L88" s="46">
        <f t="shared" si="6"/>
        <v>10</v>
      </c>
      <c r="M88" s="46">
        <v>12</v>
      </c>
      <c r="N88" s="58">
        <v>10.69</v>
      </c>
      <c r="O88" s="58">
        <f t="shared" si="7"/>
        <v>128.28</v>
      </c>
      <c r="P88" s="48"/>
      <c r="Q88" s="48"/>
      <c r="R88" s="62"/>
      <c r="T88" s="62"/>
      <c r="V88" s="62"/>
    </row>
    <row r="89" spans="1:22" ht="36.75" thickBot="1" x14ac:dyDescent="0.3">
      <c r="A89" s="1"/>
      <c r="B89" s="38">
        <f t="shared" si="5"/>
        <v>80</v>
      </c>
      <c r="C89" s="66" t="s">
        <v>396</v>
      </c>
      <c r="D89" s="50" t="s">
        <v>85</v>
      </c>
      <c r="E89" s="51" t="s">
        <v>176</v>
      </c>
      <c r="F89" s="50" t="s">
        <v>226</v>
      </c>
      <c r="G89" s="51" t="s">
        <v>289</v>
      </c>
      <c r="H89" s="50" t="s">
        <v>408</v>
      </c>
      <c r="I89" s="50" t="s">
        <v>332</v>
      </c>
      <c r="J89" s="70" t="s">
        <v>408</v>
      </c>
      <c r="K89" s="50">
        <v>1</v>
      </c>
      <c r="L89" s="50">
        <f t="shared" si="6"/>
        <v>5</v>
      </c>
      <c r="M89" s="50">
        <v>6</v>
      </c>
      <c r="N89" s="59">
        <v>0.57069999999999999</v>
      </c>
      <c r="O89" s="59">
        <f t="shared" si="7"/>
        <v>3.4241999999999999</v>
      </c>
      <c r="P89" s="52"/>
      <c r="Q89" s="53"/>
      <c r="T89" s="62"/>
      <c r="V89" s="62"/>
    </row>
    <row r="90" spans="1:22" ht="15.75" thickBot="1" x14ac:dyDescent="0.3">
      <c r="A90" s="1"/>
      <c r="B90" s="38">
        <f t="shared" si="5"/>
        <v>81</v>
      </c>
      <c r="C90" s="65" t="s">
        <v>396</v>
      </c>
      <c r="D90" s="46" t="s">
        <v>86</v>
      </c>
      <c r="E90" s="47" t="s">
        <v>177</v>
      </c>
      <c r="F90" s="46" t="s">
        <v>227</v>
      </c>
      <c r="G90" s="47" t="s">
        <v>290</v>
      </c>
      <c r="H90" s="46" t="s">
        <v>408</v>
      </c>
      <c r="I90" s="46" t="s">
        <v>332</v>
      </c>
      <c r="J90" s="71" t="s">
        <v>408</v>
      </c>
      <c r="K90" s="46">
        <v>1</v>
      </c>
      <c r="L90" s="46">
        <f t="shared" si="6"/>
        <v>5</v>
      </c>
      <c r="M90" s="46">
        <v>6</v>
      </c>
      <c r="N90" s="58">
        <v>1.1369</v>
      </c>
      <c r="O90" s="58">
        <f t="shared" si="7"/>
        <v>6.8214000000000006</v>
      </c>
      <c r="P90" s="48"/>
      <c r="Q90" s="48"/>
      <c r="T90" s="62"/>
      <c r="V90" s="62"/>
    </row>
    <row r="91" spans="1:22" ht="15.75" thickBot="1" x14ac:dyDescent="0.3">
      <c r="A91" s="1"/>
      <c r="B91" s="38">
        <f t="shared" si="5"/>
        <v>82</v>
      </c>
      <c r="C91" s="66" t="s">
        <v>396</v>
      </c>
      <c r="D91" s="50" t="s">
        <v>87</v>
      </c>
      <c r="E91" s="51" t="s">
        <v>178</v>
      </c>
      <c r="F91" s="50" t="s">
        <v>228</v>
      </c>
      <c r="G91" s="51" t="s">
        <v>291</v>
      </c>
      <c r="H91" s="50" t="s">
        <v>408</v>
      </c>
      <c r="I91" s="50" t="s">
        <v>333</v>
      </c>
      <c r="J91" s="70" t="s">
        <v>408</v>
      </c>
      <c r="K91" s="50">
        <v>1</v>
      </c>
      <c r="L91" s="50">
        <f t="shared" si="6"/>
        <v>5</v>
      </c>
      <c r="M91" s="50">
        <v>6</v>
      </c>
      <c r="N91" s="59">
        <v>29.5656</v>
      </c>
      <c r="O91" s="59">
        <f t="shared" si="7"/>
        <v>177.39359999999999</v>
      </c>
      <c r="P91" s="52"/>
      <c r="Q91" s="53"/>
      <c r="T91" s="62"/>
      <c r="V91" s="62"/>
    </row>
    <row r="92" spans="1:22" ht="15.75" thickBot="1" x14ac:dyDescent="0.3">
      <c r="A92" s="1"/>
      <c r="B92" s="38">
        <f t="shared" si="5"/>
        <v>83</v>
      </c>
      <c r="C92" s="65" t="s">
        <v>396</v>
      </c>
      <c r="D92" s="46" t="s">
        <v>88</v>
      </c>
      <c r="E92" s="47" t="s">
        <v>179</v>
      </c>
      <c r="F92" s="46" t="s">
        <v>226</v>
      </c>
      <c r="G92" s="47" t="s">
        <v>292</v>
      </c>
      <c r="H92" s="46" t="s">
        <v>408</v>
      </c>
      <c r="I92" s="46" t="s">
        <v>304</v>
      </c>
      <c r="J92" s="71" t="s">
        <v>408</v>
      </c>
      <c r="K92" s="46">
        <v>1</v>
      </c>
      <c r="L92" s="46">
        <f t="shared" si="6"/>
        <v>5</v>
      </c>
      <c r="M92" s="46">
        <v>6</v>
      </c>
      <c r="N92" s="58">
        <v>1.58</v>
      </c>
      <c r="O92" s="58">
        <f t="shared" si="7"/>
        <v>9.48</v>
      </c>
      <c r="P92" s="48"/>
      <c r="Q92" s="48"/>
      <c r="T92" s="62"/>
      <c r="V92" s="62"/>
    </row>
    <row r="93" spans="1:22" ht="24.75" thickBot="1" x14ac:dyDescent="0.3">
      <c r="A93" s="1"/>
      <c r="B93" s="38">
        <f t="shared" si="5"/>
        <v>84</v>
      </c>
      <c r="C93" s="66" t="s">
        <v>396</v>
      </c>
      <c r="D93" s="50" t="s">
        <v>89</v>
      </c>
      <c r="E93" s="51" t="s">
        <v>180</v>
      </c>
      <c r="F93" s="50" t="s">
        <v>407</v>
      </c>
      <c r="G93" s="51" t="s">
        <v>229</v>
      </c>
      <c r="H93" s="50" t="s">
        <v>408</v>
      </c>
      <c r="I93" s="50" t="s">
        <v>334</v>
      </c>
      <c r="J93" s="70" t="s">
        <v>408</v>
      </c>
      <c r="K93" s="50">
        <v>1</v>
      </c>
      <c r="L93" s="50">
        <f t="shared" si="6"/>
        <v>5</v>
      </c>
      <c r="M93" s="50">
        <v>6</v>
      </c>
      <c r="N93" s="59">
        <v>4.5199999999999996</v>
      </c>
      <c r="O93" s="59">
        <f t="shared" si="7"/>
        <v>27.119999999999997</v>
      </c>
      <c r="P93" s="52"/>
      <c r="Q93" s="53"/>
      <c r="T93" s="62"/>
      <c r="V93" s="62"/>
    </row>
    <row r="94" spans="1:22" ht="36.75" thickBot="1" x14ac:dyDescent="0.3">
      <c r="A94" s="1"/>
      <c r="B94" s="38">
        <f t="shared" si="5"/>
        <v>85</v>
      </c>
      <c r="C94" s="65" t="s">
        <v>396</v>
      </c>
      <c r="D94" s="46" t="s">
        <v>90</v>
      </c>
      <c r="E94" s="47" t="s">
        <v>181</v>
      </c>
      <c r="F94" s="46" t="s">
        <v>406</v>
      </c>
      <c r="G94" s="47" t="s">
        <v>230</v>
      </c>
      <c r="H94" s="46" t="s">
        <v>408</v>
      </c>
      <c r="I94" s="46" t="s">
        <v>431</v>
      </c>
      <c r="J94" s="71" t="s">
        <v>408</v>
      </c>
      <c r="K94" s="46">
        <v>4</v>
      </c>
      <c r="L94" s="46">
        <f t="shared" si="6"/>
        <v>20</v>
      </c>
      <c r="M94" s="46">
        <v>22</v>
      </c>
      <c r="N94" s="58">
        <v>0.61759999999999993</v>
      </c>
      <c r="O94" s="58">
        <f t="shared" si="7"/>
        <v>13.587199999999999</v>
      </c>
      <c r="P94" s="48"/>
      <c r="Q94" s="48"/>
      <c r="T94" s="62"/>
      <c r="V94" s="62"/>
    </row>
    <row r="95" spans="1:22" ht="15.75" thickBot="1" x14ac:dyDescent="0.3">
      <c r="A95" s="1"/>
      <c r="B95" s="38">
        <f t="shared" si="5"/>
        <v>86</v>
      </c>
      <c r="C95" s="66" t="s">
        <v>396</v>
      </c>
      <c r="D95" s="50" t="s">
        <v>91</v>
      </c>
      <c r="E95" s="51" t="s">
        <v>182</v>
      </c>
      <c r="F95" s="50" t="s">
        <v>231</v>
      </c>
      <c r="G95" s="51" t="s">
        <v>293</v>
      </c>
      <c r="H95" s="50" t="s">
        <v>408</v>
      </c>
      <c r="I95" s="50" t="s">
        <v>332</v>
      </c>
      <c r="J95" s="70" t="s">
        <v>408</v>
      </c>
      <c r="K95" s="50">
        <v>3</v>
      </c>
      <c r="L95" s="50">
        <f t="shared" si="6"/>
        <v>15</v>
      </c>
      <c r="M95" s="50">
        <v>17</v>
      </c>
      <c r="N95" s="59">
        <v>0.43369999999999997</v>
      </c>
      <c r="O95" s="59">
        <f t="shared" si="7"/>
        <v>7.3728999999999996</v>
      </c>
      <c r="P95" s="52"/>
      <c r="Q95" s="53"/>
      <c r="T95" s="62"/>
      <c r="V95" s="62"/>
    </row>
    <row r="96" spans="1:22" ht="15.75" thickBot="1" x14ac:dyDescent="0.3">
      <c r="A96" s="1"/>
      <c r="B96" s="38">
        <f t="shared" si="5"/>
        <v>87</v>
      </c>
      <c r="C96" s="65" t="s">
        <v>396</v>
      </c>
      <c r="D96" s="46" t="s">
        <v>92</v>
      </c>
      <c r="E96" s="47" t="s">
        <v>183</v>
      </c>
      <c r="F96" s="46" t="s">
        <v>232</v>
      </c>
      <c r="G96" s="47" t="s">
        <v>294</v>
      </c>
      <c r="H96" s="46" t="s">
        <v>408</v>
      </c>
      <c r="I96" s="46" t="s">
        <v>332</v>
      </c>
      <c r="J96" s="71" t="s">
        <v>408</v>
      </c>
      <c r="K96" s="46">
        <v>1</v>
      </c>
      <c r="L96" s="46">
        <f t="shared" si="6"/>
        <v>5</v>
      </c>
      <c r="M96" s="46">
        <v>6</v>
      </c>
      <c r="N96" s="58">
        <v>24.6463</v>
      </c>
      <c r="O96" s="58">
        <f t="shared" si="7"/>
        <v>147.87780000000001</v>
      </c>
      <c r="P96" s="48"/>
      <c r="Q96" s="48"/>
      <c r="T96" s="62"/>
      <c r="V96" s="62"/>
    </row>
    <row r="97" spans="1:22" ht="15.75" thickBot="1" x14ac:dyDescent="0.3">
      <c r="A97" s="1"/>
      <c r="B97" s="38">
        <f t="shared" si="5"/>
        <v>88</v>
      </c>
      <c r="C97" s="66" t="s">
        <v>396</v>
      </c>
      <c r="D97" s="50" t="s">
        <v>93</v>
      </c>
      <c r="E97" s="51" t="s">
        <v>184</v>
      </c>
      <c r="F97" s="50" t="s">
        <v>233</v>
      </c>
      <c r="G97" s="51" t="s">
        <v>295</v>
      </c>
      <c r="H97" s="50" t="s">
        <v>408</v>
      </c>
      <c r="I97" s="50" t="s">
        <v>335</v>
      </c>
      <c r="J97" s="70" t="s">
        <v>408</v>
      </c>
      <c r="K97" s="50">
        <v>1</v>
      </c>
      <c r="L97" s="50">
        <f t="shared" si="6"/>
        <v>5</v>
      </c>
      <c r="M97" s="50">
        <v>6</v>
      </c>
      <c r="N97" s="59">
        <v>4.2904</v>
      </c>
      <c r="O97" s="59">
        <f t="shared" si="7"/>
        <v>25.7424</v>
      </c>
      <c r="P97" s="52"/>
      <c r="Q97" s="53"/>
      <c r="T97" s="62"/>
      <c r="V97" s="62"/>
    </row>
    <row r="98" spans="1:22" ht="24.75" thickBot="1" x14ac:dyDescent="0.3">
      <c r="A98" s="1"/>
      <c r="B98" s="38">
        <f t="shared" si="5"/>
        <v>89</v>
      </c>
      <c r="C98" s="65" t="s">
        <v>396</v>
      </c>
      <c r="D98" s="46" t="s">
        <v>94</v>
      </c>
      <c r="E98" s="47" t="s">
        <v>185</v>
      </c>
      <c r="F98" s="46" t="s">
        <v>406</v>
      </c>
      <c r="G98" s="47" t="s">
        <v>234</v>
      </c>
      <c r="H98" s="46" t="s">
        <v>408</v>
      </c>
      <c r="I98" s="46" t="s">
        <v>336</v>
      </c>
      <c r="J98" s="71" t="s">
        <v>408</v>
      </c>
      <c r="K98" s="46">
        <v>1</v>
      </c>
      <c r="L98" s="46">
        <f t="shared" si="6"/>
        <v>5</v>
      </c>
      <c r="M98" s="46">
        <v>6</v>
      </c>
      <c r="N98" s="58">
        <v>1.2451000000000001</v>
      </c>
      <c r="O98" s="58">
        <f t="shared" si="7"/>
        <v>7.470600000000001</v>
      </c>
      <c r="P98" s="48"/>
      <c r="Q98" s="48"/>
      <c r="T98" s="62"/>
      <c r="V98" s="62"/>
    </row>
    <row r="99" spans="1:22" ht="36.75" thickBot="1" x14ac:dyDescent="0.3">
      <c r="A99" s="1"/>
      <c r="B99" s="38">
        <f t="shared" si="5"/>
        <v>90</v>
      </c>
      <c r="C99" s="66" t="s">
        <v>397</v>
      </c>
      <c r="D99" s="50" t="s">
        <v>95</v>
      </c>
      <c r="E99" s="51" t="s">
        <v>446</v>
      </c>
      <c r="F99" s="50" t="s">
        <v>406</v>
      </c>
      <c r="G99" s="51" t="s">
        <v>443</v>
      </c>
      <c r="H99" s="50" t="s">
        <v>408</v>
      </c>
      <c r="I99" s="50" t="s">
        <v>444</v>
      </c>
      <c r="J99" s="70" t="s">
        <v>445</v>
      </c>
      <c r="K99" s="50">
        <v>1</v>
      </c>
      <c r="L99" s="50">
        <f t="shared" si="6"/>
        <v>5</v>
      </c>
      <c r="M99" s="50">
        <v>6</v>
      </c>
      <c r="N99" s="59">
        <v>0.31340000000000001</v>
      </c>
      <c r="O99" s="59">
        <f t="shared" si="7"/>
        <v>1.8804000000000001</v>
      </c>
      <c r="P99" s="52"/>
      <c r="Q99" s="53"/>
      <c r="T99" s="62"/>
      <c r="V99" s="62"/>
    </row>
    <row r="100" spans="1:22" ht="36.75" thickBot="1" x14ac:dyDescent="0.3">
      <c r="A100" s="1"/>
      <c r="B100" s="38">
        <f t="shared" si="5"/>
        <v>91</v>
      </c>
      <c r="C100" s="65" t="s">
        <v>397</v>
      </c>
      <c r="D100" s="46" t="s">
        <v>96</v>
      </c>
      <c r="E100" s="47" t="s">
        <v>186</v>
      </c>
      <c r="F100" s="46" t="s">
        <v>406</v>
      </c>
      <c r="G100" s="47" t="s">
        <v>235</v>
      </c>
      <c r="H100" s="46" t="s">
        <v>408</v>
      </c>
      <c r="I100" s="46" t="s">
        <v>322</v>
      </c>
      <c r="J100" s="71" t="s">
        <v>382</v>
      </c>
      <c r="K100" s="46">
        <v>1</v>
      </c>
      <c r="L100" s="46">
        <f t="shared" si="6"/>
        <v>5</v>
      </c>
      <c r="M100" s="46">
        <v>6</v>
      </c>
      <c r="N100" s="58">
        <v>0.20700000000000002</v>
      </c>
      <c r="O100" s="58">
        <f t="shared" si="7"/>
        <v>1.242</v>
      </c>
      <c r="P100" s="48"/>
      <c r="Q100" s="48"/>
      <c r="T100" s="62"/>
      <c r="V100" s="62"/>
    </row>
    <row r="101" spans="1:22" ht="36.75" thickBot="1" x14ac:dyDescent="0.3">
      <c r="A101" s="1"/>
      <c r="B101" s="38">
        <f t="shared" si="5"/>
        <v>92</v>
      </c>
      <c r="C101" s="66" t="s">
        <v>397</v>
      </c>
      <c r="D101" s="50" t="s">
        <v>97</v>
      </c>
      <c r="E101" s="51" t="s">
        <v>187</v>
      </c>
      <c r="F101" s="50" t="s">
        <v>406</v>
      </c>
      <c r="G101" s="51" t="s">
        <v>236</v>
      </c>
      <c r="H101" s="50" t="s">
        <v>408</v>
      </c>
      <c r="I101" s="50" t="s">
        <v>337</v>
      </c>
      <c r="J101" s="70" t="s">
        <v>383</v>
      </c>
      <c r="K101" s="50">
        <v>1</v>
      </c>
      <c r="L101" s="50">
        <f t="shared" si="6"/>
        <v>5</v>
      </c>
      <c r="M101" s="50">
        <v>6</v>
      </c>
      <c r="N101" s="59">
        <v>0.45220000000000005</v>
      </c>
      <c r="O101" s="59">
        <f t="shared" si="7"/>
        <v>2.7132000000000005</v>
      </c>
      <c r="P101" s="52"/>
      <c r="Q101" s="53"/>
      <c r="T101" s="62"/>
      <c r="V101" s="62"/>
    </row>
    <row r="102" spans="1:22" ht="19.5" thickBot="1" x14ac:dyDescent="0.3">
      <c r="A102" s="1"/>
      <c r="B102" s="33"/>
      <c r="C102" s="44"/>
      <c r="D102" s="34"/>
      <c r="E102" s="35"/>
      <c r="F102" s="36"/>
      <c r="G102" s="37"/>
      <c r="H102" s="37"/>
      <c r="I102" s="36"/>
      <c r="J102" s="37"/>
      <c r="K102" s="37"/>
      <c r="L102" s="37"/>
      <c r="M102" s="80" t="s">
        <v>435</v>
      </c>
      <c r="N102" s="81"/>
      <c r="O102" s="63">
        <f>SUM(O10:O101)</f>
        <v>1145.5288</v>
      </c>
      <c r="P102" s="76"/>
      <c r="Q102" s="77"/>
      <c r="V102" s="62"/>
    </row>
    <row r="103" spans="1:22" ht="19.5" thickBot="1" x14ac:dyDescent="0.3">
      <c r="A103" s="1"/>
      <c r="B103" s="25"/>
      <c r="C103" s="45"/>
      <c r="D103" s="9"/>
      <c r="E103" s="10"/>
      <c r="F103" s="10"/>
      <c r="G103" s="10"/>
      <c r="H103" s="10"/>
      <c r="I103" s="10"/>
      <c r="J103" s="10"/>
      <c r="K103" s="10"/>
      <c r="L103" s="10"/>
      <c r="M103" s="80" t="s">
        <v>436</v>
      </c>
      <c r="N103" s="81"/>
      <c r="O103" s="64">
        <f>O102/5</f>
        <v>229.10576</v>
      </c>
      <c r="P103" s="78"/>
      <c r="Q103" s="79"/>
    </row>
    <row r="106" spans="1:22" x14ac:dyDescent="0.25">
      <c r="N106" s="62"/>
    </row>
  </sheetData>
  <mergeCells count="5">
    <mergeCell ref="J1:Q1"/>
    <mergeCell ref="Q3:Q8"/>
    <mergeCell ref="P102:Q103"/>
    <mergeCell ref="M102:N102"/>
    <mergeCell ref="M103:N10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2022-10-31T12:40:11Z</dcterms:modified>
</cp:coreProperties>
</file>