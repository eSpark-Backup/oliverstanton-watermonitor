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GTV3_Board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6" i="1" l="1"/>
  <c r="L36" i="1"/>
  <c r="L105" i="1" l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105" i="1" l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<sst xmlns="http://schemas.openxmlformats.org/spreadsheetml/2006/main" count="794" uniqueCount="537">
  <si>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</si>
  <si>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</si>
  <si>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</si>
  <si>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</si>
  <si>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</si>
  <si>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</si>
  <si>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</si>
  <si>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</si>
  <si>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</si>
  <si>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USB Connector</t>
  </si>
  <si>
    <t>Relay</t>
  </si>
  <si>
    <t>Mosfet</t>
  </si>
  <si>
    <t>Resistor</t>
  </si>
  <si>
    <t>Designator</t>
  </si>
  <si>
    <t>C1, C4, C17, C21, C23, C24, C31, C43, C58, C61, C63, C65, C67</t>
  </si>
  <si>
    <t>C2</t>
  </si>
  <si>
    <t>C5, C7, C12, C13, C16</t>
  </si>
  <si>
    <t>C9</t>
  </si>
  <si>
    <t>C20</t>
  </si>
  <si>
    <t>C32</t>
  </si>
  <si>
    <t>C34, C35</t>
  </si>
  <si>
    <t>C56</t>
  </si>
  <si>
    <t>C70</t>
  </si>
  <si>
    <t>C74</t>
  </si>
  <si>
    <t>C75</t>
  </si>
  <si>
    <t>C77</t>
  </si>
  <si>
    <t>D1</t>
  </si>
  <si>
    <t>D2</t>
  </si>
  <si>
    <t>D3</t>
  </si>
  <si>
    <t>D4, D5, D8, D9, D10</t>
  </si>
  <si>
    <t>D6</t>
  </si>
  <si>
    <t>D7</t>
  </si>
  <si>
    <t>D11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</si>
  <si>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</si>
  <si>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</si>
  <si>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</si>
  <si>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</si>
  <si>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</si>
  <si>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</si>
  <si>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</si>
  <si>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K1, K2, K3, K4, K5</t>
  </si>
  <si>
    <t>L1</t>
  </si>
  <si>
    <t>L2</t>
  </si>
  <si>
    <t>L3</t>
  </si>
  <si>
    <t>L4</t>
  </si>
  <si>
    <t>LED1, LED2, LED3, LED4, LED5, LED6, LED7</t>
  </si>
  <si>
    <t>LED8</t>
  </si>
  <si>
    <t>LS1</t>
  </si>
  <si>
    <t>P1, P7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</si>
  <si>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</si>
  <si>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</si>
  <si>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</si>
  <si>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</si>
  <si>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</si>
  <si>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</si>
  <si>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</si>
  <si>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</si>
  <si>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</si>
  <si>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Q8, Q33, Q34, Q35, Q36, Q37</t>
  </si>
  <si>
    <t>Q9, Q10, Q11, Q12, Q13, Q14, Q15, Q16, Q29, Q30</t>
  </si>
  <si>
    <t>Q17, Q24</t>
  </si>
  <si>
    <t>Q18, Q19, Q31</t>
  </si>
  <si>
    <t>Q20</t>
  </si>
  <si>
    <t>Q32</t>
  </si>
  <si>
    <t>R1</t>
  </si>
  <si>
    <t>R2</t>
  </si>
  <si>
    <t>R3</t>
  </si>
  <si>
    <t>R4, R6, R9, R12, R27, R54, R55, R68, R69, R70, R72, R73, R74, R75, R82, R101, R102, R104, R110, R114</t>
  </si>
  <si>
    <t>R5, R8, R16, R18, R19, R20, R21, R22, R37, R39, R66, R78, R80, R111, R115</t>
  </si>
  <si>
    <t>R7, R10</t>
  </si>
  <si>
    <t>R11</t>
  </si>
  <si>
    <t>R13</t>
  </si>
  <si>
    <t>R14, R15, R17</t>
  </si>
  <si>
    <t>R23, R35, R36, R38, R76, R77, R79, R113</t>
  </si>
  <si>
    <t>R24, R25</t>
  </si>
  <si>
    <t>R26, R29, R34, R40, R41, R50, R51, R60, R61, R67, R71, R85, R107</t>
  </si>
  <si>
    <t>R28, R31, R33, R42, R43, R44, R45, R46, R47, R48, R49, R52, R53, R56, R58, R59, R62, R63, R86, R87, R88, R106, R108, R109</t>
  </si>
  <si>
    <t>R30, R116</t>
  </si>
  <si>
    <t>R32</t>
  </si>
  <si>
    <t>R57, R117, R118</t>
  </si>
  <si>
    <t>R64</t>
  </si>
  <si>
    <t>R65</t>
  </si>
  <si>
    <t>R81</t>
  </si>
  <si>
    <t>R83, R84</t>
  </si>
  <si>
    <t>R89, R90, R99, R100, R105</t>
  </si>
  <si>
    <t>R91, R92</t>
  </si>
  <si>
    <t>R93, R94</t>
  </si>
  <si>
    <t>R95, R96</t>
  </si>
  <si>
    <t>R97, R98</t>
  </si>
  <si>
    <t>R103</t>
  </si>
  <si>
    <t>R112</t>
  </si>
  <si>
    <t>SB1, SB2, SB3, SB4, SB5, SB6, SB7, SB8, SB9, SB10, SB11, SB12, SB13, SB14, SB15, SB16, SB17, SB18, SB19, SB20, SB21, SB22, SB23, SB24, SB25, SB26, SB27, SB28, SB29, SB30, SB31, SB32, SB33, SB34, SB35, SB36, SB37, SB38, SB39, SB40, SB41, SB42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</si>
  <si>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</si>
  <si>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</si>
  <si>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</si>
  <si>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</si>
  <si>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</si>
  <si>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</si>
  <si>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</si>
  <si>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</si>
  <si>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</si>
  <si>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</si>
  <si>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</si>
  <si>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</si>
  <si>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</si>
  <si>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</si>
  <si>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</si>
  <si>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</si>
  <si>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</si>
  <si>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</si>
  <si>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</si>
  <si>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470uF ±20% 50V 12.5mm 13.5mm 1000hrs 105℃ -40℃~+105℃ SMD,12.5x13.5mm Aluminum Electrolytic Capacitors - SMD RoHS</t>
  </si>
  <si>
    <t>CAP CER 0.1UF 50V Y5V 0603</t>
  </si>
  <si>
    <t>CAP ALUM 100UF 20% 25V SMD</t>
  </si>
  <si>
    <t>CAP CER 470pF 10% X7R 50V 0603 SMD</t>
  </si>
  <si>
    <t>Cap Tant Solid 1uF 25V A CASE 10% (3.2 X 1.6 X 1.6mm) Inward L SMD 3216-18 8 Ohm 125°C T/R</t>
  </si>
  <si>
    <t>CAP 30pF NP0 0603 50 V ±5 % SMD</t>
  </si>
  <si>
    <t>CAP CER 20PF 50V C0G/NPO 0603</t>
  </si>
  <si>
    <t>CAP CER 0.047UF 100V X7R 1206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</si>
  <si>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</si>
  <si>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</si>
  <si>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</si>
  <si>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</si>
  <si>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</si>
  <si>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</si>
  <si>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800uA 43.5A 9.2V 6.4V 5V 7V Bi-Directional SMA TVS ROHS</t>
  </si>
  <si>
    <t>DIODE GEN PURP 75V 150MA SOD323</t>
  </si>
  <si>
    <t>1uA 5.3A 113V 77.8V 70V 86V Unidirectional SMB(DO-214AA) TVS ROHS</t>
  </si>
  <si>
    <t>SCHOTTKY DIODE SMB 100V 5A</t>
  </si>
  <si>
    <t>20V 500mV@3A 3A SMA(DO-214AC) Schottky Barrier Diodes (SBD) ROHS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</si>
  <si>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</si>
  <si>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</si>
  <si>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</si>
  <si>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</si>
  <si>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</si>
  <si>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12V 5A DPDT (2 Form C) Electromagnetic Relay-Single Coil DIP-8 Power Relays ROHS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</si>
  <si>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</si>
  <si>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</si>
  <si>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</si>
  <si>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</si>
  <si>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</si>
  <si>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</si>
  <si>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</si>
  <si>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</si>
  <si>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</si>
  <si>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</si>
  <si>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</si>
  <si>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</si>
  <si>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</si>
  <si>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</si>
  <si>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</si>
  <si>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</si>
  <si>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</si>
  <si>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TRANS NPN 40V 0.6A SMD SOT23-3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</si>
  <si>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</si>
  <si>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</si>
  <si>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</si>
  <si>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</si>
  <si>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30V 4.1A 60mΩ@10V,4.1A 350mW 3V@250uA P Channel SOT-23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</si>
  <si>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</si>
  <si>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</si>
  <si>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</si>
  <si>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470K OHM 5% 1/10W 0603</t>
  </si>
  <si>
    <t>100mW Thick Film Resistors 75V ±1% ±100ppm/℃ -55℃~+155℃ 2.21MΩ 0603 Chip Resistor - Surface Mount ROHS</t>
  </si>
  <si>
    <t>RES 2.7K OHM 1% 1/10W 0603</t>
  </si>
  <si>
    <t>RES SMD 680 OHM 1% 1/10W 0603</t>
  </si>
  <si>
    <t>RES SMD 47OHM 0.1W 0603</t>
  </si>
  <si>
    <t>RES SMD 63.4KOHM 0.1% 1/10W 0603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</si>
  <si>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</si>
  <si>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</si>
  <si>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</si>
  <si>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</si>
  <si>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</si>
  <si>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 SMD 330R 100 mW 0603</t>
  </si>
  <si>
    <t>RES SMD 50K ±0.5% ±25ppm/℃ 0805</t>
  </si>
  <si>
    <t>RES 150 OHM 0.5% 1/10W 0603</t>
  </si>
  <si>
    <t>RES SMD 7.5K OHM 0.1% 1/10W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</si>
  <si>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</si>
  <si>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</si>
  <si>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</si>
  <si>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</si>
  <si>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</si>
  <si>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</si>
  <si>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</si>
  <si>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</si>
  <si>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</si>
  <si>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</si>
  <si>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</si>
  <si>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</si>
  <si>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</si>
  <si>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8MHz SMD Crystal Resonator 18pF 200Ω ±20ppm ±30ppm -40℃~+85℃ SMD3225-4P Crystals ROHS</t>
  </si>
  <si>
    <t>13.52313MHz In-line passive crystal oscillator 20pF 60Ω ±20ppm ±30ppm -40℃~+85℃ HC-49S-2P Crystals ROHS</t>
  </si>
  <si>
    <t>32.768kHz SMD Crystal Resonator 12.5pF ±20ppm -40℃~+85℃ SMD3215-2P Crystals ROHS</t>
  </si>
  <si>
    <t>Footprint</t>
  </si>
  <si>
    <t>Cap-1206</t>
  </si>
  <si>
    <t>Cap0603</t>
  </si>
  <si>
    <t>VT1H471MI135000CE0</t>
  </si>
  <si>
    <t>UWX1E101MCL1GB</t>
  </si>
  <si>
    <t>CAP-CASE A</t>
  </si>
  <si>
    <t>SMA</t>
  </si>
  <si>
    <t>SMAJ5.0CA</t>
  </si>
  <si>
    <t>SOD-323</t>
  </si>
  <si>
    <t>SMB</t>
  </si>
  <si>
    <t>SS510B</t>
  </si>
  <si>
    <t>HJ-SMA508</t>
  </si>
  <si>
    <t>DIP-8</t>
  </si>
  <si>
    <t>Ind0805</t>
  </si>
  <si>
    <t>SLF12575T-221M1R3-PF</t>
  </si>
  <si>
    <t>IND 0402</t>
  </si>
  <si>
    <t>IND 0603</t>
  </si>
  <si>
    <t>LED 0402</t>
  </si>
  <si>
    <t>YS-SBZ9032C03R16</t>
  </si>
  <si>
    <t>TEST POINT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</si>
  <si>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</si>
  <si>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</si>
  <si>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</si>
  <si>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</si>
  <si>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</si>
  <si>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</si>
  <si>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</si>
  <si>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</si>
  <si>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</si>
  <si>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</si>
  <si>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Res-0603</t>
  </si>
  <si>
    <t>RES-0805</t>
  </si>
  <si>
    <t>Res-1206</t>
  </si>
  <si>
    <t>RES 0805</t>
  </si>
  <si>
    <t>Solder Bridge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</si>
  <si>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</si>
  <si>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</si>
  <si>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</si>
  <si>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</si>
  <si>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</si>
  <si>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</si>
  <si>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</si>
  <si>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</si>
  <si>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</si>
  <si>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XC32M4-8.000-F18LJDT</t>
  </si>
  <si>
    <t>X321532768KGD2SI</t>
  </si>
  <si>
    <t>Manufacturer Part Number</t>
  </si>
  <si>
    <t>CC1206KKX7R0BB104</t>
  </si>
  <si>
    <t>CC0603KRX5R8BB105</t>
  </si>
  <si>
    <t>CC0603ZRY5V9BB104</t>
  </si>
  <si>
    <t>CC0603KRX7R9BB471</t>
  </si>
  <si>
    <t>T491A105K025AT</t>
  </si>
  <si>
    <t>CC0603JRNPO9BN300</t>
  </si>
  <si>
    <t>CC0603JRNPO9BN200</t>
  </si>
  <si>
    <t>CC1206JRX7R0BB473</t>
  </si>
  <si>
    <t>UMK107B7474KA-TR</t>
  </si>
  <si>
    <t>CC0603CRNPO9BN1R2</t>
  </si>
  <si>
    <t>UMK107BBJ225MA-T</t>
  </si>
  <si>
    <t>CC0603CRNPO9BN1R5</t>
  </si>
  <si>
    <t>SS24A</t>
  </si>
  <si>
    <t>1SMA5930BT3G</t>
  </si>
  <si>
    <t>1N4148WS-7-F</t>
  </si>
  <si>
    <t>SMBJ70A/TR13</t>
  </si>
  <si>
    <t>SS32</t>
  </si>
  <si>
    <t>10118194-0001LF</t>
  </si>
  <si>
    <t>SMI-12VDC-SL-2C</t>
  </si>
  <si>
    <t>MGFL2012F100MT-LF</t>
  </si>
  <si>
    <t>LQW15AN39NG80D</t>
  </si>
  <si>
    <t>HSC0603-33NJ-T</t>
  </si>
  <si>
    <t>ALS-PT19-315C/L177/TR8</t>
  </si>
  <si>
    <t>DMN13H750S-7</t>
  </si>
  <si>
    <t>IRLML2502TRPBF</t>
  </si>
  <si>
    <t>IRF3205STRLPBF</t>
  </si>
  <si>
    <t>IRLML6402TRPBF</t>
  </si>
  <si>
    <t>MMBT2222A-7-F</t>
  </si>
  <si>
    <t>BC847B,215</t>
  </si>
  <si>
    <t>BC857C,215</t>
  </si>
  <si>
    <t>MMBT5551LT1G</t>
  </si>
  <si>
    <t>AO3407</t>
  </si>
  <si>
    <t>AC0603FR-073K6L</t>
  </si>
  <si>
    <t>RC0603FR-071K2L</t>
  </si>
  <si>
    <t>RC0603FR-072K2L</t>
  </si>
  <si>
    <t>AC0603JR-07470KL</t>
  </si>
  <si>
    <t>0603WAF2214T5E</t>
  </si>
  <si>
    <t>RC0603FR-072K7L</t>
  </si>
  <si>
    <t>RC0603FR-07680RL</t>
  </si>
  <si>
    <t>RC0603FR-0747RL</t>
  </si>
  <si>
    <t>RT0603BRE0763K4L</t>
  </si>
  <si>
    <t>RC0805FR-07100KL</t>
  </si>
  <si>
    <t>RC1206FR-7W1KL</t>
  </si>
  <si>
    <t>RC0603FR-07470RL</t>
  </si>
  <si>
    <t>RC0603FR-07200KL</t>
  </si>
  <si>
    <t>RC0603FR-071ML</t>
  </si>
  <si>
    <t>RC0603JR-07330RL</t>
  </si>
  <si>
    <t>RC0603FR-07150KL</t>
  </si>
  <si>
    <t>RC0603DR-07150RL</t>
  </si>
  <si>
    <t>RT0603BRD077K5L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</si>
  <si>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</si>
  <si>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</si>
  <si>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</si>
  <si>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</si>
  <si>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</si>
  <si>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</si>
  <si>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</si>
  <si>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</si>
  <si>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S1C13523ZWFAC</t>
  </si>
  <si>
    <t>Manufacturer</t>
  </si>
  <si>
    <t>ROQANG</t>
  </si>
  <si>
    <t>Yageo</t>
  </si>
  <si>
    <t>Changzhou Huawei Elec</t>
  </si>
  <si>
    <t>Nichicon</t>
  </si>
  <si>
    <t>KEMET</t>
  </si>
  <si>
    <t>Taiyo Yuden</t>
  </si>
  <si>
    <t>Yangzhou</t>
  </si>
  <si>
    <t>ON Semiconductor</t>
  </si>
  <si>
    <t>Shandong Jingdao Microelectronics</t>
  </si>
  <si>
    <t>Diodes</t>
  </si>
  <si>
    <t>Brightking</t>
  </si>
  <si>
    <t>MDD</t>
  </si>
  <si>
    <t>Amphenol FCI</t>
  </si>
  <si>
    <t>CUI Devices</t>
  </si>
  <si>
    <t>HJ Tech</t>
  </si>
  <si>
    <t>Ningbo Songle Relay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</si>
  <si>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</si>
  <si>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</si>
  <si>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</si>
  <si>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</si>
  <si>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</si>
  <si>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</si>
  <si>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</si>
  <si>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</si>
  <si>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</si>
  <si>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</si>
  <si>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</si>
  <si>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</si>
  <si>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</si>
  <si>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Guangdong Hottech</t>
  </si>
  <si>
    <t>RALEC</t>
  </si>
  <si>
    <t>UNI-ROYAL</t>
  </si>
  <si>
    <t>Viking Tech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</si>
  <si>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</si>
  <si>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</si>
  <si>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</si>
  <si>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</si>
  <si>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</si>
  <si>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</si>
  <si>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</si>
  <si>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</si>
  <si>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HCI</t>
  </si>
  <si>
    <t>JYJE</t>
  </si>
  <si>
    <t>Yangxing Tech</t>
  </si>
  <si>
    <t>LCSC Part Number</t>
  </si>
  <si>
    <t>C107181</t>
  </si>
  <si>
    <t>C14664</t>
  </si>
  <si>
    <t>C106221</t>
  </si>
  <si>
    <t>C577197</t>
  </si>
  <si>
    <t>C105621</t>
  </si>
  <si>
    <t>C60580</t>
  </si>
  <si>
    <t>C34897</t>
  </si>
  <si>
    <t>C132563</t>
  </si>
  <si>
    <t>C40676</t>
  </si>
  <si>
    <t>C94515</t>
  </si>
  <si>
    <t>C181093</t>
  </si>
  <si>
    <t>C96346</t>
  </si>
  <si>
    <t>C859155</t>
  </si>
  <si>
    <t>C114669</t>
  </si>
  <si>
    <t>C105879</t>
  </si>
  <si>
    <t>C2681243</t>
  </si>
  <si>
    <t>10uF</t>
  </si>
  <si>
    <t>0.1uF</t>
  </si>
  <si>
    <t>1uF</t>
  </si>
  <si>
    <t>470uF</t>
  </si>
  <si>
    <t>100uF</t>
  </si>
  <si>
    <t>470pF</t>
  </si>
  <si>
    <t>30pF</t>
  </si>
  <si>
    <t>20pF</t>
  </si>
  <si>
    <t>0.047uF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</si>
  <si>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</si>
  <si>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</si>
  <si>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</si>
  <si>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</si>
  <si>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</si>
  <si>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</si>
  <si>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</si>
  <si>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</si>
  <si>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</si>
  <si>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</si>
  <si>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</si>
  <si>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</si>
  <si>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</si>
  <si>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2.2K</t>
  </si>
  <si>
    <t>470K</t>
  </si>
  <si>
    <t>2.21M</t>
  </si>
  <si>
    <t>2.7K</t>
  </si>
  <si>
    <t>680R</t>
  </si>
  <si>
    <t>3.3K</t>
  </si>
  <si>
    <t>47R</t>
  </si>
  <si>
    <t>1K</t>
  </si>
  <si>
    <t>4.7K</t>
  </si>
  <si>
    <t>20K</t>
  </si>
  <si>
    <t>63.4K</t>
  </si>
  <si>
    <t>0R</t>
  </si>
  <si>
    <t>100K</t>
  </si>
  <si>
    <t>470R</t>
  </si>
  <si>
    <t>200K</t>
  </si>
  <si>
    <t>1M</t>
  </si>
  <si>
    <t>330R</t>
  </si>
  <si>
    <t>50K</t>
  </si>
  <si>
    <t>150K</t>
  </si>
  <si>
    <t>150R</t>
  </si>
  <si>
    <t>7.5K</t>
  </si>
  <si>
    <t>8MHz</t>
  </si>
  <si>
    <t>13.52313MHz</t>
  </si>
  <si>
    <t>32.768kHz</t>
  </si>
  <si>
    <t>Custom</t>
  </si>
  <si>
    <t>RVT1E100M0405</t>
  </si>
  <si>
    <t>C3, C8, C11, C14, C19, C42, C45, C59, C79</t>
  </si>
  <si>
    <t>C6, C10, C15, C18, C22, C25, C26, C27, C28, C29, C30, C33, C36, C37, C38, C39, C40, C41, C44, C46, C47, C48, C49, C50, C51, C52, C54, C55, C57, C60, C62, C64, C66, C68, C69, C73, C76</t>
  </si>
  <si>
    <t>C53, C78, C71, C72</t>
  </si>
  <si>
    <t>Header</t>
  </si>
  <si>
    <t>Samtec</t>
  </si>
  <si>
    <t>Terminal Block</t>
  </si>
  <si>
    <t>SMA Connector</t>
  </si>
  <si>
    <t>BOOMELE</t>
  </si>
  <si>
    <t>Inductor</t>
  </si>
  <si>
    <t>LED</t>
  </si>
  <si>
    <t>Buzzer</t>
  </si>
  <si>
    <t>-</t>
  </si>
  <si>
    <t>SOP-8_150mil</t>
  </si>
  <si>
    <t>RTT03R330FTP</t>
  </si>
  <si>
    <t>RES 2.2K OHM 1% 1/10W 0603</t>
  </si>
  <si>
    <t>RES SMD 10K Ohm 1% 1/10W 0603</t>
  </si>
  <si>
    <t>RC0603FR-0710KL</t>
  </si>
  <si>
    <t>RES SMD 3.3K OHM 1% 1/10W 0603</t>
  </si>
  <si>
    <t>RC0603FR-073K3L</t>
  </si>
  <si>
    <t>Yageo Phycomp</t>
  </si>
  <si>
    <t>RES SMD 1K OHM 1% 1/10W 0603</t>
  </si>
  <si>
    <t>RC0603FR-071KL</t>
  </si>
  <si>
    <t>RES SMD 20K OHM 0.1% 1/10W 0603</t>
  </si>
  <si>
    <t>RT0603BRD0720KL</t>
  </si>
  <si>
    <t>RES SMD 0R, 1%, 0.1W, 0603</t>
  </si>
  <si>
    <t>RC0603FR-070RL</t>
  </si>
  <si>
    <t>RES SMD 4.7K OHM 1% 1/10W 0603</t>
  </si>
  <si>
    <t>RC0603FR-074K7L</t>
  </si>
  <si>
    <t>RES 1M OHM 1% 1/10W 0603</t>
  </si>
  <si>
    <t>ARG05DTC5002</t>
  </si>
  <si>
    <t>RES 150K OHM 1% 1/10W 0603</t>
  </si>
  <si>
    <t>Switch</t>
  </si>
  <si>
    <t>IC</t>
  </si>
  <si>
    <t>8-MSOP</t>
  </si>
  <si>
    <t>SOP-4_P1.27mm</t>
  </si>
  <si>
    <t>Crystal</t>
  </si>
  <si>
    <t>Value</t>
  </si>
  <si>
    <t>Quantity</t>
  </si>
  <si>
    <t>Quantity (5 Boards)</t>
  </si>
  <si>
    <t>C72484</t>
  </si>
  <si>
    <t>C191227</t>
  </si>
  <si>
    <t>C125982</t>
  </si>
  <si>
    <t>C107092</t>
  </si>
  <si>
    <t>C123716</t>
  </si>
  <si>
    <t>C113797</t>
  </si>
  <si>
    <t>C92847</t>
  </si>
  <si>
    <t>C281768</t>
  </si>
  <si>
    <t>C268016</t>
  </si>
  <si>
    <t>C1639</t>
  </si>
  <si>
    <t>C3035843</t>
  </si>
  <si>
    <t>C128848</t>
  </si>
  <si>
    <t>C908809</t>
  </si>
  <si>
    <t>C309982</t>
  </si>
  <si>
    <t>C3011128</t>
  </si>
  <si>
    <t>C2935458</t>
  </si>
  <si>
    <t>C441236</t>
  </si>
  <si>
    <t>C441237</t>
  </si>
  <si>
    <t>C441238</t>
  </si>
  <si>
    <t>C1509209</t>
  </si>
  <si>
    <t>C2718488</t>
  </si>
  <si>
    <t>C281113</t>
  </si>
  <si>
    <t>C93225</t>
  </si>
  <si>
    <t>C269823</t>
  </si>
  <si>
    <t>C251779</t>
  </si>
  <si>
    <t>C130719</t>
  </si>
  <si>
    <t>C146233</t>
  </si>
  <si>
    <t>C409828</t>
  </si>
  <si>
    <t>C49257</t>
  </si>
  <si>
    <t>C492405</t>
  </si>
  <si>
    <t>C30734</t>
  </si>
  <si>
    <t>C492401</t>
  </si>
  <si>
    <t>C2935910</t>
  </si>
  <si>
    <t>C156273</t>
  </si>
  <si>
    <t>C558174</t>
  </si>
  <si>
    <t>C558180</t>
  </si>
  <si>
    <t>C57668</t>
  </si>
  <si>
    <t>C8666</t>
  </si>
  <si>
    <t>C41095</t>
  </si>
  <si>
    <t>C181990</t>
  </si>
  <si>
    <t>C144660</t>
  </si>
  <si>
    <t>C114605</t>
  </si>
  <si>
    <t>C103893</t>
  </si>
  <si>
    <t>C114662</t>
  </si>
  <si>
    <t>C144601</t>
  </si>
  <si>
    <t>C422956</t>
  </si>
  <si>
    <t>C98220</t>
  </si>
  <si>
    <t>C114612</t>
  </si>
  <si>
    <t>C112310</t>
  </si>
  <si>
    <t>C108078</t>
  </si>
  <si>
    <t>C114623</t>
  </si>
  <si>
    <t>C22548</t>
  </si>
  <si>
    <t>C723637</t>
  </si>
  <si>
    <t>C862245</t>
  </si>
  <si>
    <t>C100044</t>
  </si>
  <si>
    <t>C99782</t>
  </si>
  <si>
    <t>C105574</t>
  </si>
  <si>
    <t>C116674</t>
  </si>
  <si>
    <t>C105578</t>
  </si>
  <si>
    <t>C2828840</t>
  </si>
  <si>
    <t>C114660</t>
  </si>
  <si>
    <t>C471801</t>
  </si>
  <si>
    <t>C728597</t>
  </si>
  <si>
    <t>C231723</t>
  </si>
  <si>
    <t>C100023</t>
  </si>
  <si>
    <t>C201952</t>
  </si>
  <si>
    <t>C713240</t>
  </si>
  <si>
    <t>C67112</t>
  </si>
  <si>
    <t>C100024</t>
  </si>
  <si>
    <t>C33002</t>
  </si>
  <si>
    <t>C219772</t>
  </si>
  <si>
    <t>C90465</t>
  </si>
  <si>
    <t>C2905353</t>
  </si>
  <si>
    <t>C620155</t>
  </si>
  <si>
    <t>MOQ (5 Boards)</t>
  </si>
  <si>
    <t>Remarks</t>
  </si>
  <si>
    <t xml:space="preserve">Do Not Mount </t>
  </si>
  <si>
    <t>PZ127VS-12-10-H10-A38</t>
  </si>
  <si>
    <t>KF2EDGRC-5.08-2P</t>
  </si>
  <si>
    <t>KF2EDGRC-5.08-3P</t>
  </si>
  <si>
    <t>KF2EDGRC-5.08-4P</t>
  </si>
  <si>
    <t>NCD0402R1</t>
  </si>
  <si>
    <t>PZ254V-11-06P</t>
  </si>
  <si>
    <t>PZ254V-11-02P</t>
  </si>
  <si>
    <t>DZ254R-11-04-63</t>
  </si>
  <si>
    <t>AC0603FR-07100KL</t>
  </si>
  <si>
    <t>KAN1241-1201C-L</t>
  </si>
  <si>
    <t>Bill of Materials for Project [V3_Board]</t>
  </si>
  <si>
    <t>V3_Board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</si>
</sst>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8" fillId="3" borderId="4" xfId="0" applyFont="1" applyFill="1" applyBorder="1"/>
    <xf numFmtId="0" fontId="8" fillId="3" borderId="5" xfId="0" applyFont="1" applyFill="1" applyBorder="1"/>
    <xf numFmtId="0" fontId="12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1" fillId="3" borderId="5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1" fillId="3" borderId="4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13" fillId="3" borderId="10" xfId="0" quotePrefix="1" applyFont="1" applyFill="1" applyBorder="1" applyAlignment="1">
      <alignment vertical="center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4" borderId="1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0" fillId="3" borderId="0" xfId="0" quotePrefix="1" applyFont="1" applyFill="1" applyBorder="1" applyAlignment="1">
      <alignment horizontal="left"/>
    </xf>
    <xf numFmtId="0" fontId="7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11" fillId="3" borderId="0" xfId="0" applyFont="1" applyFill="1" applyBorder="1"/>
    <xf numFmtId="164" fontId="11" fillId="3" borderId="0" xfId="0" applyNumberFormat="1" applyFont="1" applyFill="1" applyBorder="1" applyAlignment="1">
      <alignment horizontal="left"/>
    </xf>
    <xf numFmtId="0" fontId="17" fillId="2" borderId="17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5"/>
  <sheetViews>
    <sheetView tabSelected="1" topLeftCell="A109" workbookViewId="0">
      <selection activeCell="F131" sqref="F131"/>
    </sheetView>
  </sheetViews>
  <sheetFormatPr defaultRowHeight="15" x14ac:dyDescent="0.25"/>
  <cols>
    <col min="2" max="2" width="4" style="18" bestFit="1" customWidth="1"/>
    <col min="3" max="3" width="18.7109375" style="18" bestFit="1" customWidth="1"/>
    <col min="4" max="4" width="36" bestFit="1" customWidth="1"/>
    <col min="5" max="5" width="19.28515625" bestFit="1" customWidth="1"/>
    <col min="6" max="6" width="26.5703125" bestFit="1" customWidth="1"/>
    <col min="7" max="7" width="33.42578125" bestFit="1" customWidth="1"/>
    <col min="8" max="8" width="21.42578125" bestFit="1" customWidth="1"/>
    <col min="9" max="9" width="17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29.42578125" customWidth="1"/>
  </cols>
  <sheetData>
    <row r="1" spans="1:14" ht="15.75" thickBot="1" x14ac:dyDescent="0.3">
      <c r="A1" s="1"/>
      <c r="B1" s="13"/>
      <c r="C1" s="13"/>
      <c r="D1" s="2"/>
      <c r="E1" s="2"/>
      <c r="F1" s="2"/>
      <c r="G1" s="2"/>
      <c r="H1" s="2"/>
      <c r="I1" s="2"/>
      <c r="J1" s="33"/>
      <c r="K1" s="33"/>
      <c r="L1" s="33"/>
      <c r="M1" s="33"/>
      <c r="N1" s="33"/>
    </row>
    <row r="2" spans="1:14" ht="32.25" thickBot="1" x14ac:dyDescent="0.3">
      <c r="A2" s="1"/>
      <c r="B2" s="14"/>
      <c r="C2" s="27"/>
      <c r="D2" s="6" t="s">
        <v>0</v>
      </c>
      <c r="E2" s="6"/>
      <c r="F2" s="30" t="s">
        <v>535</v>
      </c>
      <c r="G2" s="7"/>
      <c r="H2" s="3"/>
      <c r="I2" s="3"/>
      <c r="J2" s="3"/>
      <c r="K2" s="3"/>
      <c r="L2" s="3"/>
      <c r="M2" s="3"/>
      <c r="N2" s="26"/>
    </row>
    <row r="3" spans="1:14" x14ac:dyDescent="0.25">
      <c r="A3" s="1"/>
      <c r="B3" s="15"/>
      <c r="C3" s="49"/>
      <c r="D3" s="50" t="s">
        <v>1</v>
      </c>
      <c r="E3" s="50"/>
      <c r="F3" s="51" t="s">
        <v>536</v>
      </c>
      <c r="G3" s="50"/>
      <c r="H3" s="52"/>
      <c r="I3" s="52"/>
      <c r="J3" s="52"/>
      <c r="K3" s="52"/>
      <c r="L3" s="52"/>
      <c r="M3" s="52"/>
      <c r="N3" s="34"/>
    </row>
    <row r="4" spans="1:14" x14ac:dyDescent="0.25">
      <c r="A4" s="1"/>
      <c r="B4" s="15"/>
      <c r="C4" s="49"/>
      <c r="D4" s="50" t="s">
        <v>2</v>
      </c>
      <c r="E4" s="50"/>
      <c r="F4" s="31" t="s">
        <v>536</v>
      </c>
      <c r="G4" s="8"/>
      <c r="H4" s="5"/>
      <c r="I4" s="5"/>
      <c r="J4" s="5"/>
      <c r="K4" s="5"/>
      <c r="L4" s="5"/>
      <c r="M4" s="5"/>
      <c r="N4" s="35"/>
    </row>
    <row r="5" spans="1:14" x14ac:dyDescent="0.25">
      <c r="A5" s="1"/>
      <c r="B5" s="15"/>
      <c r="C5" s="49"/>
      <c r="D5" s="50" t="s">
        <v>3</v>
      </c>
      <c r="E5" s="50"/>
      <c r="F5" s="32" t="s">
        <v>5</v>
      </c>
      <c r="G5" s="9"/>
      <c r="H5" s="4"/>
      <c r="I5" s="4"/>
      <c r="J5" s="4"/>
      <c r="K5" s="4"/>
      <c r="L5" s="4"/>
      <c r="M5" s="4"/>
      <c r="N5" s="35"/>
    </row>
    <row r="6" spans="1:14" x14ac:dyDescent="0.25">
      <c r="A6" s="1"/>
      <c r="B6" s="16"/>
      <c r="C6" s="28"/>
      <c r="D6" s="10"/>
      <c r="E6" s="10"/>
      <c r="F6" s="11"/>
      <c r="G6" s="9"/>
      <c r="H6" s="4"/>
      <c r="I6" s="4"/>
      <c r="J6" s="4"/>
      <c r="K6" s="4"/>
      <c r="L6" s="4"/>
      <c r="M6" s="4"/>
      <c r="N6" s="35"/>
    </row>
    <row r="7" spans="1:14" x14ac:dyDescent="0.25">
      <c r="A7" s="1"/>
      <c r="B7" s="17"/>
      <c r="C7" s="53"/>
      <c r="D7" s="54"/>
      <c r="E7" s="54"/>
      <c r="F7" s="12"/>
      <c r="G7" s="54"/>
      <c r="H7" s="55"/>
      <c r="I7" s="55"/>
      <c r="J7" s="55"/>
      <c r="K7" s="55"/>
      <c r="L7" s="55"/>
      <c r="M7" s="55"/>
      <c r="N7" s="35"/>
    </row>
    <row r="8" spans="1:14" ht="15.75" thickBot="1" x14ac:dyDescent="0.3">
      <c r="A8" s="1"/>
      <c r="B8" s="19"/>
      <c r="C8" s="56"/>
      <c r="D8" s="57"/>
      <c r="E8" s="57"/>
      <c r="F8" s="58"/>
      <c r="G8" s="54"/>
      <c r="H8" s="55"/>
      <c r="I8" s="55"/>
      <c r="J8" s="55"/>
      <c r="K8" s="55"/>
      <c r="L8" s="55"/>
      <c r="M8" s="55"/>
      <c r="N8" s="35"/>
    </row>
    <row r="9" spans="1:14" ht="15.75" thickBot="1" x14ac:dyDescent="0.3">
      <c r="A9" s="1"/>
      <c r="B9" s="20" t="s">
        <v>4</v>
      </c>
      <c r="C9" s="20" t="s">
        <v>6</v>
      </c>
      <c r="D9" s="20" t="s">
        <v>13</v>
      </c>
      <c r="E9" s="21" t="s">
        <v>107</v>
      </c>
      <c r="F9" s="36" t="s">
        <v>193</v>
      </c>
      <c r="G9" s="20" t="s">
        <v>239</v>
      </c>
      <c r="H9" s="21" t="s">
        <v>299</v>
      </c>
      <c r="I9" s="20" t="s">
        <v>344</v>
      </c>
      <c r="J9" s="20" t="s">
        <v>445</v>
      </c>
      <c r="K9" s="21" t="s">
        <v>446</v>
      </c>
      <c r="L9" s="20" t="s">
        <v>447</v>
      </c>
      <c r="M9" s="21" t="s">
        <v>522</v>
      </c>
      <c r="N9" s="20" t="s">
        <v>523</v>
      </c>
    </row>
    <row r="10" spans="1:14" ht="24.75" thickBot="1" x14ac:dyDescent="0.3">
      <c r="A10" s="1"/>
      <c r="B10" s="29">
        <f>ROW(B10) - ROW($B$9)</f>
        <v>1</v>
      </c>
      <c r="C10" s="37" t="s">
        <v>7</v>
      </c>
      <c r="D10" s="22" t="s">
        <v>14</v>
      </c>
      <c r="E10" s="22" t="s">
        <v>108</v>
      </c>
      <c r="F10" s="23" t="s">
        <v>407</v>
      </c>
      <c r="G10" s="22" t="s">
        <v>408</v>
      </c>
      <c r="H10" s="23" t="s">
        <v>300</v>
      </c>
      <c r="I10" s="22" t="s">
        <v>448</v>
      </c>
      <c r="J10" s="22" t="s">
        <v>361</v>
      </c>
      <c r="K10" s="23">
        <v>13</v>
      </c>
      <c r="L10" s="22">
        <f>K10*5</f>
        <v>65</v>
      </c>
      <c r="M10" s="47">
        <v>80</v>
      </c>
      <c r="N10" s="22"/>
    </row>
    <row r="11" spans="1:14" ht="24.75" thickBot="1" x14ac:dyDescent="0.3">
      <c r="A11" s="1"/>
      <c r="B11" s="29">
        <f t="shared" ref="B11:B105" si="0">ROW(B11) - ROW($B$9)</f>
        <v>2</v>
      </c>
      <c r="C11" s="38" t="s">
        <v>7</v>
      </c>
      <c r="D11" s="24" t="s">
        <v>15</v>
      </c>
      <c r="E11" s="24" t="s">
        <v>109</v>
      </c>
      <c r="F11" s="25" t="s">
        <v>194</v>
      </c>
      <c r="G11" s="24" t="s">
        <v>240</v>
      </c>
      <c r="H11" s="25" t="s">
        <v>301</v>
      </c>
      <c r="I11" s="24" t="s">
        <v>345</v>
      </c>
      <c r="J11" s="24" t="s">
        <v>362</v>
      </c>
      <c r="K11" s="25">
        <v>1</v>
      </c>
      <c r="L11" s="24">
        <f t="shared" ref="L11" si="1">K11*5</f>
        <v>5</v>
      </c>
      <c r="M11" s="25">
        <v>50</v>
      </c>
      <c r="N11" s="24"/>
    </row>
    <row r="12" spans="1:14" ht="24.75" thickBot="1" x14ac:dyDescent="0.3">
      <c r="A12" s="1"/>
      <c r="B12" s="29">
        <f>ROW(B12) - ROW($B$9)</f>
        <v>3</v>
      </c>
      <c r="C12" s="37" t="s">
        <v>7</v>
      </c>
      <c r="D12" s="22" t="s">
        <v>409</v>
      </c>
      <c r="E12" s="39" t="s">
        <v>110</v>
      </c>
      <c r="F12" s="23" t="s">
        <v>195</v>
      </c>
      <c r="G12" s="22" t="s">
        <v>241</v>
      </c>
      <c r="H12" s="23" t="s">
        <v>301</v>
      </c>
      <c r="I12" s="22" t="s">
        <v>346</v>
      </c>
      <c r="J12" s="22" t="s">
        <v>363</v>
      </c>
      <c r="K12" s="23">
        <v>9</v>
      </c>
      <c r="L12" s="22">
        <f>K12*5</f>
        <v>45</v>
      </c>
      <c r="M12" s="47">
        <v>100</v>
      </c>
      <c r="N12" s="22"/>
    </row>
    <row r="13" spans="1:14" ht="84.75" thickBot="1" x14ac:dyDescent="0.3">
      <c r="A13" s="1"/>
      <c r="B13" s="29">
        <f t="shared" si="0"/>
        <v>4</v>
      </c>
      <c r="C13" s="38" t="s">
        <v>7</v>
      </c>
      <c r="D13" s="24" t="s">
        <v>16</v>
      </c>
      <c r="E13" s="24" t="s">
        <v>111</v>
      </c>
      <c r="F13" s="25" t="s">
        <v>407</v>
      </c>
      <c r="G13" s="24" t="s">
        <v>196</v>
      </c>
      <c r="H13" s="25" t="s">
        <v>302</v>
      </c>
      <c r="I13" s="24" t="s">
        <v>449</v>
      </c>
      <c r="J13" s="24" t="s">
        <v>364</v>
      </c>
      <c r="K13" s="25">
        <v>5</v>
      </c>
      <c r="L13" s="24">
        <f t="shared" ref="L13" si="2">K13*5</f>
        <v>25</v>
      </c>
      <c r="M13" s="25">
        <v>27</v>
      </c>
      <c r="N13" s="24"/>
    </row>
    <row r="14" spans="1:14" ht="48.75" thickBot="1" x14ac:dyDescent="0.3">
      <c r="A14" s="1"/>
      <c r="B14" s="29">
        <f>ROW(B14) - ROW($B$9)</f>
        <v>5</v>
      </c>
      <c r="C14" s="37" t="s">
        <v>7</v>
      </c>
      <c r="D14" s="22" t="s">
        <v>410</v>
      </c>
      <c r="E14" s="39" t="s">
        <v>112</v>
      </c>
      <c r="F14" s="23" t="s">
        <v>195</v>
      </c>
      <c r="G14" s="22" t="s">
        <v>242</v>
      </c>
      <c r="H14" s="23" t="s">
        <v>301</v>
      </c>
      <c r="I14" s="22" t="s">
        <v>347</v>
      </c>
      <c r="J14" s="22" t="s">
        <v>362</v>
      </c>
      <c r="K14" s="23">
        <v>37</v>
      </c>
      <c r="L14" s="22">
        <f>K14*5</f>
        <v>185</v>
      </c>
      <c r="M14" s="47">
        <v>200</v>
      </c>
      <c r="N14" s="22"/>
    </row>
    <row r="15" spans="1:14" ht="24.75" thickBot="1" x14ac:dyDescent="0.3">
      <c r="A15" s="1"/>
      <c r="B15" s="29">
        <f t="shared" si="0"/>
        <v>6</v>
      </c>
      <c r="C15" s="38" t="s">
        <v>7</v>
      </c>
      <c r="D15" s="24" t="s">
        <v>17</v>
      </c>
      <c r="E15" s="24" t="s">
        <v>113</v>
      </c>
      <c r="F15" s="25" t="s">
        <v>407</v>
      </c>
      <c r="G15" s="24" t="s">
        <v>197</v>
      </c>
      <c r="H15" s="25" t="s">
        <v>303</v>
      </c>
      <c r="I15" s="24" t="s">
        <v>450</v>
      </c>
      <c r="J15" s="24" t="s">
        <v>365</v>
      </c>
      <c r="K15" s="25">
        <v>1</v>
      </c>
      <c r="L15" s="24">
        <f t="shared" ref="L15" si="3">K15*5</f>
        <v>5</v>
      </c>
      <c r="M15" s="25">
        <v>10</v>
      </c>
      <c r="N15" s="24"/>
    </row>
    <row r="16" spans="1:14" ht="24.75" thickBot="1" x14ac:dyDescent="0.3">
      <c r="A16" s="1"/>
      <c r="B16" s="29">
        <f>ROW(B16) - ROW($B$9)</f>
        <v>7</v>
      </c>
      <c r="C16" s="37" t="s">
        <v>7</v>
      </c>
      <c r="D16" s="22" t="s">
        <v>18</v>
      </c>
      <c r="E16" s="39" t="s">
        <v>114</v>
      </c>
      <c r="F16" s="23" t="s">
        <v>195</v>
      </c>
      <c r="G16" s="22" t="s">
        <v>243</v>
      </c>
      <c r="H16" s="23" t="s">
        <v>301</v>
      </c>
      <c r="I16" s="22" t="s">
        <v>451</v>
      </c>
      <c r="J16" s="22" t="s">
        <v>366</v>
      </c>
      <c r="K16" s="23">
        <v>1</v>
      </c>
      <c r="L16" s="22">
        <f>K16*5</f>
        <v>5</v>
      </c>
      <c r="M16" s="47">
        <v>100</v>
      </c>
      <c r="N16" s="22"/>
    </row>
    <row r="17" spans="1:14" ht="60.75" thickBot="1" x14ac:dyDescent="0.3">
      <c r="A17" s="1"/>
      <c r="B17" s="29">
        <f t="shared" si="0"/>
        <v>8</v>
      </c>
      <c r="C17" s="38" t="s">
        <v>7</v>
      </c>
      <c r="D17" s="24" t="s">
        <v>19</v>
      </c>
      <c r="E17" s="24" t="s">
        <v>115</v>
      </c>
      <c r="F17" s="25" t="s">
        <v>198</v>
      </c>
      <c r="G17" s="24" t="s">
        <v>244</v>
      </c>
      <c r="H17" s="25" t="s">
        <v>304</v>
      </c>
      <c r="I17" s="24" t="s">
        <v>452</v>
      </c>
      <c r="J17" s="24" t="s">
        <v>363</v>
      </c>
      <c r="K17" s="25">
        <v>1</v>
      </c>
      <c r="L17" s="24">
        <f t="shared" ref="L17" si="4">K17*5</f>
        <v>5</v>
      </c>
      <c r="M17" s="25">
        <v>6</v>
      </c>
      <c r="N17" s="24"/>
    </row>
    <row r="18" spans="1:14" ht="24.75" thickBot="1" x14ac:dyDescent="0.3">
      <c r="A18" s="1"/>
      <c r="B18" s="29">
        <f>ROW(B18) - ROW($B$9)</f>
        <v>9</v>
      </c>
      <c r="C18" s="37" t="s">
        <v>7</v>
      </c>
      <c r="D18" s="22" t="s">
        <v>20</v>
      </c>
      <c r="E18" s="39" t="s">
        <v>116</v>
      </c>
      <c r="F18" s="23" t="s">
        <v>195</v>
      </c>
      <c r="G18" s="22" t="s">
        <v>245</v>
      </c>
      <c r="H18" s="23" t="s">
        <v>301</v>
      </c>
      <c r="I18" s="22" t="s">
        <v>453</v>
      </c>
      <c r="J18" s="22" t="s">
        <v>367</v>
      </c>
      <c r="K18" s="23">
        <v>2</v>
      </c>
      <c r="L18" s="22">
        <f>K18*5</f>
        <v>10</v>
      </c>
      <c r="M18" s="47">
        <v>100</v>
      </c>
      <c r="N18" s="22"/>
    </row>
    <row r="19" spans="1:14" ht="24.75" thickBot="1" x14ac:dyDescent="0.3">
      <c r="A19" s="1"/>
      <c r="B19" s="29">
        <f t="shared" si="0"/>
        <v>10</v>
      </c>
      <c r="C19" s="38" t="s">
        <v>7</v>
      </c>
      <c r="D19" s="24" t="s">
        <v>411</v>
      </c>
      <c r="E19" s="24" t="s">
        <v>117</v>
      </c>
      <c r="F19" s="25" t="s">
        <v>195</v>
      </c>
      <c r="G19" s="24" t="s">
        <v>246</v>
      </c>
      <c r="H19" s="25" t="s">
        <v>301</v>
      </c>
      <c r="I19" s="24" t="s">
        <v>349</v>
      </c>
      <c r="J19" s="24" t="s">
        <v>368</v>
      </c>
      <c r="K19" s="25">
        <v>4</v>
      </c>
      <c r="L19" s="24">
        <f t="shared" ref="L19" si="5">K19*5</f>
        <v>20</v>
      </c>
      <c r="M19" s="25">
        <v>100</v>
      </c>
      <c r="N19" s="24"/>
    </row>
    <row r="20" spans="1:14" ht="24.75" thickBot="1" x14ac:dyDescent="0.3">
      <c r="A20" s="1"/>
      <c r="B20" s="29">
        <f>ROW(B20) - ROW($B$9)</f>
        <v>11</v>
      </c>
      <c r="C20" s="37" t="s">
        <v>7</v>
      </c>
      <c r="D20" s="22" t="s">
        <v>21</v>
      </c>
      <c r="E20" s="39" t="s">
        <v>118</v>
      </c>
      <c r="F20" s="23" t="s">
        <v>194</v>
      </c>
      <c r="G20" s="22" t="s">
        <v>247</v>
      </c>
      <c r="H20" s="23" t="s">
        <v>301</v>
      </c>
      <c r="I20" s="22" t="s">
        <v>348</v>
      </c>
      <c r="J20" s="22" t="s">
        <v>369</v>
      </c>
      <c r="K20" s="23">
        <v>1</v>
      </c>
      <c r="L20" s="22">
        <f>K20*5</f>
        <v>5</v>
      </c>
      <c r="M20" s="47">
        <v>20</v>
      </c>
      <c r="N20" s="22"/>
    </row>
    <row r="21" spans="1:14" ht="24.75" thickBot="1" x14ac:dyDescent="0.3">
      <c r="A21" s="1"/>
      <c r="B21" s="29">
        <f t="shared" si="0"/>
        <v>12</v>
      </c>
      <c r="C21" s="38" t="s">
        <v>7</v>
      </c>
      <c r="D21" s="24" t="s">
        <v>22</v>
      </c>
      <c r="E21" s="24" t="s">
        <v>119</v>
      </c>
      <c r="F21" s="25" t="s">
        <v>195</v>
      </c>
      <c r="G21" s="24" t="s">
        <v>248</v>
      </c>
      <c r="H21" s="25" t="s">
        <v>305</v>
      </c>
      <c r="I21" s="24" t="s">
        <v>454</v>
      </c>
      <c r="J21" s="24" t="s">
        <v>370</v>
      </c>
      <c r="K21" s="25">
        <v>1</v>
      </c>
      <c r="L21" s="24">
        <f t="shared" ref="L21:L22" si="6">K21*5</f>
        <v>5</v>
      </c>
      <c r="M21" s="25">
        <v>20</v>
      </c>
      <c r="N21" s="24"/>
    </row>
    <row r="22" spans="1:14" ht="24.75" thickBot="1" x14ac:dyDescent="0.3">
      <c r="A22" s="1"/>
      <c r="B22" s="29">
        <f>ROW(B22) - ROW($B$9)</f>
        <v>13</v>
      </c>
      <c r="C22" s="37" t="s">
        <v>7</v>
      </c>
      <c r="D22" s="22" t="s">
        <v>23</v>
      </c>
      <c r="E22" s="39" t="s">
        <v>120</v>
      </c>
      <c r="F22" s="23" t="s">
        <v>195</v>
      </c>
      <c r="G22" s="22" t="s">
        <v>249</v>
      </c>
      <c r="H22" s="23" t="s">
        <v>301</v>
      </c>
      <c r="I22" s="22" t="s">
        <v>455</v>
      </c>
      <c r="J22" s="22" t="s">
        <v>371</v>
      </c>
      <c r="K22" s="23">
        <v>1</v>
      </c>
      <c r="L22" s="22">
        <f t="shared" si="6"/>
        <v>5</v>
      </c>
      <c r="M22" s="47">
        <v>100</v>
      </c>
      <c r="N22" s="22"/>
    </row>
    <row r="23" spans="1:14" ht="24.75" thickBot="1" x14ac:dyDescent="0.3">
      <c r="A23" s="1"/>
      <c r="B23" s="29">
        <f t="shared" si="0"/>
        <v>14</v>
      </c>
      <c r="C23" s="38" t="s">
        <v>7</v>
      </c>
      <c r="D23" s="24" t="s">
        <v>24</v>
      </c>
      <c r="E23" s="24" t="s">
        <v>121</v>
      </c>
      <c r="F23" s="25" t="s">
        <v>195</v>
      </c>
      <c r="G23" s="24" t="s">
        <v>250</v>
      </c>
      <c r="H23" s="25" t="s">
        <v>305</v>
      </c>
      <c r="I23" s="24" t="s">
        <v>456</v>
      </c>
      <c r="J23" s="24" t="s">
        <v>372</v>
      </c>
      <c r="K23" s="25">
        <v>1</v>
      </c>
      <c r="L23" s="24">
        <f>K23*5</f>
        <v>5</v>
      </c>
      <c r="M23" s="25">
        <v>20</v>
      </c>
      <c r="N23" s="24"/>
    </row>
    <row r="24" spans="1:14" ht="24.75" thickBot="1" x14ac:dyDescent="0.3">
      <c r="A24" s="1"/>
      <c r="B24" s="29">
        <f>ROW(B24) - ROW($B$9)</f>
        <v>15</v>
      </c>
      <c r="C24" s="37" t="s">
        <v>7</v>
      </c>
      <c r="D24" s="22" t="s">
        <v>25</v>
      </c>
      <c r="E24" s="39" t="s">
        <v>122</v>
      </c>
      <c r="F24" s="23" t="s">
        <v>195</v>
      </c>
      <c r="G24" s="22" t="s">
        <v>251</v>
      </c>
      <c r="H24" s="23" t="s">
        <v>301</v>
      </c>
      <c r="I24" s="22" t="s">
        <v>457</v>
      </c>
      <c r="J24" s="22" t="s">
        <v>373</v>
      </c>
      <c r="K24" s="23">
        <v>1</v>
      </c>
      <c r="L24" s="22">
        <f t="shared" ref="L24" si="7">K24*5</f>
        <v>5</v>
      </c>
      <c r="M24" s="47">
        <v>100</v>
      </c>
      <c r="N24" s="22"/>
    </row>
    <row r="25" spans="1:14" ht="48.75" thickBot="1" x14ac:dyDescent="0.3">
      <c r="A25" s="1"/>
      <c r="B25" s="29">
        <f t="shared" si="0"/>
        <v>16</v>
      </c>
      <c r="C25" s="38" t="s">
        <v>8</v>
      </c>
      <c r="D25" s="24" t="s">
        <v>26</v>
      </c>
      <c r="E25" s="24" t="s">
        <v>123</v>
      </c>
      <c r="F25" s="25" t="s">
        <v>199</v>
      </c>
      <c r="G25" s="24" t="s">
        <v>252</v>
      </c>
      <c r="H25" s="25" t="s">
        <v>306</v>
      </c>
      <c r="I25" s="24" t="s">
        <v>458</v>
      </c>
      <c r="J25" s="24" t="s">
        <v>420</v>
      </c>
      <c r="K25" s="25">
        <v>1</v>
      </c>
      <c r="L25" s="24">
        <f>K25*5</f>
        <v>5</v>
      </c>
      <c r="M25" s="25">
        <v>20</v>
      </c>
      <c r="N25" s="24"/>
    </row>
    <row r="26" spans="1:14" ht="24.75" thickBot="1" x14ac:dyDescent="0.3">
      <c r="A26" s="1"/>
      <c r="B26" s="29">
        <f>ROW(B26) - ROW($B$9)</f>
        <v>17</v>
      </c>
      <c r="C26" s="37" t="s">
        <v>8</v>
      </c>
      <c r="D26" s="22" t="s">
        <v>27</v>
      </c>
      <c r="E26" s="39" t="s">
        <v>124</v>
      </c>
      <c r="F26" s="23" t="s">
        <v>199</v>
      </c>
      <c r="G26" s="22" t="s">
        <v>253</v>
      </c>
      <c r="H26" s="23" t="s">
        <v>307</v>
      </c>
      <c r="I26" s="22" t="s">
        <v>459</v>
      </c>
      <c r="J26" s="22" t="s">
        <v>420</v>
      </c>
      <c r="K26" s="23">
        <v>1</v>
      </c>
      <c r="L26" s="22">
        <f t="shared" ref="L26" si="8">K26*5</f>
        <v>5</v>
      </c>
      <c r="M26" s="47">
        <v>6</v>
      </c>
      <c r="N26" s="22"/>
    </row>
    <row r="27" spans="1:14" ht="36.75" thickBot="1" x14ac:dyDescent="0.3">
      <c r="A27" s="1"/>
      <c r="B27" s="29">
        <f t="shared" si="0"/>
        <v>18</v>
      </c>
      <c r="C27" s="38" t="s">
        <v>8</v>
      </c>
      <c r="D27" s="24" t="s">
        <v>28</v>
      </c>
      <c r="E27" s="24" t="s">
        <v>125</v>
      </c>
      <c r="F27" s="25" t="s">
        <v>200</v>
      </c>
      <c r="G27" s="24" t="s">
        <v>200</v>
      </c>
      <c r="H27" s="25" t="s">
        <v>308</v>
      </c>
      <c r="I27" s="24" t="s">
        <v>460</v>
      </c>
      <c r="J27" s="24" t="s">
        <v>420</v>
      </c>
      <c r="K27" s="25">
        <v>1</v>
      </c>
      <c r="L27" s="24">
        <f>K27*5</f>
        <v>5</v>
      </c>
      <c r="M27" s="25">
        <v>20</v>
      </c>
      <c r="N27" s="24"/>
    </row>
    <row r="28" spans="1:14" ht="24.75" thickBot="1" x14ac:dyDescent="0.3">
      <c r="A28" s="1"/>
      <c r="B28" s="29">
        <f>ROW(B28) - ROW($B$9)</f>
        <v>19</v>
      </c>
      <c r="C28" s="37" t="s">
        <v>8</v>
      </c>
      <c r="D28" s="22" t="s">
        <v>29</v>
      </c>
      <c r="E28" s="39" t="s">
        <v>126</v>
      </c>
      <c r="F28" s="23" t="s">
        <v>201</v>
      </c>
      <c r="G28" s="22" t="s">
        <v>254</v>
      </c>
      <c r="H28" s="23" t="s">
        <v>309</v>
      </c>
      <c r="I28" s="22" t="s">
        <v>350</v>
      </c>
      <c r="J28" s="22" t="s">
        <v>420</v>
      </c>
      <c r="K28" s="23">
        <v>5</v>
      </c>
      <c r="L28" s="22">
        <f t="shared" ref="L28" si="9">K28*5</f>
        <v>25</v>
      </c>
      <c r="M28" s="47">
        <v>40</v>
      </c>
      <c r="N28" s="22"/>
    </row>
    <row r="29" spans="1:14" ht="48.75" thickBot="1" x14ac:dyDescent="0.3">
      <c r="A29" s="1"/>
      <c r="B29" s="29">
        <f t="shared" si="0"/>
        <v>20</v>
      </c>
      <c r="C29" s="38" t="s">
        <v>8</v>
      </c>
      <c r="D29" s="24" t="s">
        <v>30</v>
      </c>
      <c r="E29" s="24" t="s">
        <v>127</v>
      </c>
      <c r="F29" s="25" t="s">
        <v>202</v>
      </c>
      <c r="G29" s="24" t="s">
        <v>255</v>
      </c>
      <c r="H29" s="25" t="s">
        <v>310</v>
      </c>
      <c r="I29" s="24" t="s">
        <v>461</v>
      </c>
      <c r="J29" s="24" t="s">
        <v>420</v>
      </c>
      <c r="K29" s="25">
        <v>1</v>
      </c>
      <c r="L29" s="24">
        <f>K29*5</f>
        <v>5</v>
      </c>
      <c r="M29" s="25">
        <v>10</v>
      </c>
      <c r="N29" s="24"/>
    </row>
    <row r="30" spans="1:14" ht="24.75" thickBot="1" x14ac:dyDescent="0.3">
      <c r="A30" s="1"/>
      <c r="B30" s="29">
        <f>ROW(B30) - ROW($B$9)</f>
        <v>21</v>
      </c>
      <c r="C30" s="37" t="s">
        <v>8</v>
      </c>
      <c r="D30" s="22" t="s">
        <v>31</v>
      </c>
      <c r="E30" s="39" t="s">
        <v>128</v>
      </c>
      <c r="F30" s="23" t="s">
        <v>203</v>
      </c>
      <c r="G30" s="22" t="s">
        <v>203</v>
      </c>
      <c r="H30" s="23" t="s">
        <v>311</v>
      </c>
      <c r="I30" s="22" t="s">
        <v>462</v>
      </c>
      <c r="J30" s="22" t="s">
        <v>420</v>
      </c>
      <c r="K30" s="23">
        <v>1</v>
      </c>
      <c r="L30" s="22">
        <f t="shared" ref="L30" si="10">K30*5</f>
        <v>5</v>
      </c>
      <c r="M30" s="47">
        <v>10</v>
      </c>
      <c r="N30" s="22"/>
    </row>
    <row r="31" spans="1:14" ht="48.75" thickBot="1" x14ac:dyDescent="0.3">
      <c r="A31" s="1"/>
      <c r="B31" s="29">
        <f t="shared" si="0"/>
        <v>22</v>
      </c>
      <c r="C31" s="38" t="s">
        <v>8</v>
      </c>
      <c r="D31" s="24" t="s">
        <v>32</v>
      </c>
      <c r="E31" s="22" t="s">
        <v>129</v>
      </c>
      <c r="F31" s="22" t="s">
        <v>199</v>
      </c>
      <c r="G31" s="24" t="s">
        <v>256</v>
      </c>
      <c r="H31" s="25" t="s">
        <v>311</v>
      </c>
      <c r="I31" s="24" t="s">
        <v>351</v>
      </c>
      <c r="J31" s="24" t="s">
        <v>420</v>
      </c>
      <c r="K31" s="25">
        <v>1</v>
      </c>
      <c r="L31" s="24">
        <f>K31*5</f>
        <v>5</v>
      </c>
      <c r="M31" s="25">
        <v>20</v>
      </c>
      <c r="N31" s="24"/>
    </row>
    <row r="32" spans="1:14" ht="24.75" thickBot="1" x14ac:dyDescent="0.3">
      <c r="A32" s="1"/>
      <c r="B32" s="29">
        <f>ROW(B32) - ROW($B$9)</f>
        <v>23</v>
      </c>
      <c r="C32" s="37" t="s">
        <v>412</v>
      </c>
      <c r="D32" s="22" t="s">
        <v>33</v>
      </c>
      <c r="E32" s="39" t="s">
        <v>130</v>
      </c>
      <c r="F32" s="23" t="s">
        <v>407</v>
      </c>
      <c r="G32" s="22" t="s">
        <v>525</v>
      </c>
      <c r="H32" s="23" t="s">
        <v>413</v>
      </c>
      <c r="I32" s="22" t="s">
        <v>463</v>
      </c>
      <c r="J32" s="22" t="s">
        <v>420</v>
      </c>
      <c r="K32" s="23">
        <v>1</v>
      </c>
      <c r="L32" s="22">
        <f t="shared" ref="L32" si="11">K32*5</f>
        <v>5</v>
      </c>
      <c r="M32" s="47">
        <v>10</v>
      </c>
      <c r="N32" s="22"/>
    </row>
    <row r="33" spans="1:14" ht="24.75" thickBot="1" x14ac:dyDescent="0.3">
      <c r="A33" s="1"/>
      <c r="B33" s="29">
        <f t="shared" si="0"/>
        <v>24</v>
      </c>
      <c r="C33" s="38" t="s">
        <v>414</v>
      </c>
      <c r="D33" s="24" t="s">
        <v>34</v>
      </c>
      <c r="E33" s="24" t="s">
        <v>131</v>
      </c>
      <c r="F33" s="25" t="s">
        <v>407</v>
      </c>
      <c r="G33" s="24" t="s">
        <v>526</v>
      </c>
      <c r="H33" s="25" t="s">
        <v>313</v>
      </c>
      <c r="I33" s="24" t="s">
        <v>464</v>
      </c>
      <c r="J33" s="24" t="s">
        <v>420</v>
      </c>
      <c r="K33" s="25">
        <v>9</v>
      </c>
      <c r="L33" s="24">
        <f>K33*5</f>
        <v>45</v>
      </c>
      <c r="M33" s="25">
        <v>50</v>
      </c>
      <c r="N33" s="24"/>
    </row>
    <row r="34" spans="1:14" ht="24.75" thickBot="1" x14ac:dyDescent="0.3">
      <c r="A34" s="1"/>
      <c r="B34" s="29">
        <f>ROW(B34) - ROW($B$9)</f>
        <v>25</v>
      </c>
      <c r="C34" s="37" t="s">
        <v>414</v>
      </c>
      <c r="D34" s="22" t="s">
        <v>35</v>
      </c>
      <c r="E34" s="39" t="s">
        <v>131</v>
      </c>
      <c r="F34" s="23" t="s">
        <v>407</v>
      </c>
      <c r="G34" s="22" t="s">
        <v>527</v>
      </c>
      <c r="H34" s="23" t="s">
        <v>313</v>
      </c>
      <c r="I34" s="22" t="s">
        <v>465</v>
      </c>
      <c r="J34" s="22" t="s">
        <v>420</v>
      </c>
      <c r="K34" s="23">
        <v>5</v>
      </c>
      <c r="L34" s="22">
        <f t="shared" ref="L34" si="12">K34*5</f>
        <v>25</v>
      </c>
      <c r="M34" s="47">
        <v>30</v>
      </c>
      <c r="N34" s="22"/>
    </row>
    <row r="35" spans="1:14" ht="24.75" thickBot="1" x14ac:dyDescent="0.3">
      <c r="A35" s="1"/>
      <c r="B35" s="29">
        <f t="shared" si="0"/>
        <v>26</v>
      </c>
      <c r="C35" s="38" t="s">
        <v>414</v>
      </c>
      <c r="D35" s="24" t="s">
        <v>36</v>
      </c>
      <c r="E35" s="24" t="s">
        <v>131</v>
      </c>
      <c r="F35" s="25" t="s">
        <v>407</v>
      </c>
      <c r="G35" s="24" t="s">
        <v>528</v>
      </c>
      <c r="H35" s="25" t="s">
        <v>313</v>
      </c>
      <c r="I35" s="24" t="s">
        <v>466</v>
      </c>
      <c r="J35" s="24" t="s">
        <v>420</v>
      </c>
      <c r="K35" s="25">
        <v>1</v>
      </c>
      <c r="L35" s="24">
        <f>K35*5</f>
        <v>5</v>
      </c>
      <c r="M35" s="25">
        <v>10</v>
      </c>
      <c r="N35" s="24"/>
    </row>
    <row r="36" spans="1:14" ht="72.75" thickBot="1" x14ac:dyDescent="0.3">
      <c r="A36" s="1"/>
      <c r="B36" s="29">
        <f>ROW(B36) - ROW($B$9)</f>
        <v>27</v>
      </c>
      <c r="C36" s="37" t="s">
        <v>415</v>
      </c>
      <c r="D36" s="40" t="s">
        <v>37</v>
      </c>
      <c r="E36" s="40" t="s">
        <v>132</v>
      </c>
      <c r="F36" s="45" t="s">
        <v>407</v>
      </c>
      <c r="G36" s="40" t="s">
        <v>204</v>
      </c>
      <c r="H36" s="45" t="s">
        <v>314</v>
      </c>
      <c r="I36" s="40" t="s">
        <v>467</v>
      </c>
      <c r="J36" s="40" t="s">
        <v>420</v>
      </c>
      <c r="K36" s="45">
        <v>1</v>
      </c>
      <c r="L36" s="40">
        <f t="shared" ref="L36" si="13">K36*5</f>
        <v>5</v>
      </c>
      <c r="M36" s="48">
        <v>6</v>
      </c>
      <c r="N36" s="62" t="s">
        <v>524</v>
      </c>
    </row>
    <row r="37" spans="1:14" ht="24.75" thickBot="1" x14ac:dyDescent="0.3">
      <c r="A37" s="1"/>
      <c r="B37" s="29">
        <f t="shared" si="0"/>
        <v>28</v>
      </c>
      <c r="C37" s="38" t="s">
        <v>412</v>
      </c>
      <c r="D37" s="24" t="s">
        <v>38</v>
      </c>
      <c r="E37" s="24" t="s">
        <v>133</v>
      </c>
      <c r="F37" s="25" t="s">
        <v>407</v>
      </c>
      <c r="G37" s="24" t="s">
        <v>468</v>
      </c>
      <c r="H37" s="25" t="s">
        <v>416</v>
      </c>
      <c r="I37" s="24" t="s">
        <v>468</v>
      </c>
      <c r="J37" s="24" t="s">
        <v>420</v>
      </c>
      <c r="K37" s="25">
        <v>1</v>
      </c>
      <c r="L37" s="24">
        <f>K37*5</f>
        <v>5</v>
      </c>
      <c r="M37" s="25">
        <v>10</v>
      </c>
      <c r="N37" s="24"/>
    </row>
    <row r="38" spans="1:14" ht="24.75" thickBot="1" x14ac:dyDescent="0.3">
      <c r="A38" s="1"/>
      <c r="B38" s="29">
        <f>ROW(B38) - ROW($B$9)</f>
        <v>29</v>
      </c>
      <c r="C38" s="37" t="s">
        <v>9</v>
      </c>
      <c r="D38" s="22" t="s">
        <v>39</v>
      </c>
      <c r="E38" s="39" t="s">
        <v>134</v>
      </c>
      <c r="F38" s="23" t="s">
        <v>407</v>
      </c>
      <c r="G38" s="22" t="s">
        <v>257</v>
      </c>
      <c r="H38" s="23" t="s">
        <v>312</v>
      </c>
      <c r="I38" s="22" t="s">
        <v>352</v>
      </c>
      <c r="J38" s="22" t="s">
        <v>420</v>
      </c>
      <c r="K38" s="23">
        <v>1</v>
      </c>
      <c r="L38" s="22">
        <f t="shared" ref="L38" si="14">K38*5</f>
        <v>5</v>
      </c>
      <c r="M38" s="47">
        <v>6</v>
      </c>
      <c r="N38" s="22"/>
    </row>
    <row r="39" spans="1:14" ht="48.75" thickBot="1" x14ac:dyDescent="0.3">
      <c r="A39" s="1"/>
      <c r="B39" s="29">
        <f t="shared" si="0"/>
        <v>30</v>
      </c>
      <c r="C39" s="38" t="s">
        <v>10</v>
      </c>
      <c r="D39" s="24" t="s">
        <v>40</v>
      </c>
      <c r="E39" s="24" t="s">
        <v>135</v>
      </c>
      <c r="F39" s="25" t="s">
        <v>205</v>
      </c>
      <c r="G39" s="24" t="s">
        <v>258</v>
      </c>
      <c r="H39" s="25" t="s">
        <v>315</v>
      </c>
      <c r="I39" s="24" t="s">
        <v>353</v>
      </c>
      <c r="J39" s="24" t="s">
        <v>420</v>
      </c>
      <c r="K39" s="25">
        <v>5</v>
      </c>
      <c r="L39" s="24">
        <f>K39*5</f>
        <v>25</v>
      </c>
      <c r="M39" s="25">
        <v>27</v>
      </c>
      <c r="N39" s="24"/>
    </row>
    <row r="40" spans="1:14" ht="24.75" thickBot="1" x14ac:dyDescent="0.3">
      <c r="A40" s="1"/>
      <c r="B40" s="29">
        <f>ROW(B40) - ROW($B$9)</f>
        <v>31</v>
      </c>
      <c r="C40" s="37" t="s">
        <v>417</v>
      </c>
      <c r="D40" s="22" t="s">
        <v>41</v>
      </c>
      <c r="E40" s="39" t="s">
        <v>136</v>
      </c>
      <c r="F40" s="23" t="s">
        <v>206</v>
      </c>
      <c r="G40" s="22" t="s">
        <v>259</v>
      </c>
      <c r="H40" s="23" t="s">
        <v>316</v>
      </c>
      <c r="I40" s="22" t="s">
        <v>469</v>
      </c>
      <c r="J40" s="22" t="s">
        <v>374</v>
      </c>
      <c r="K40" s="23">
        <v>1</v>
      </c>
      <c r="L40" s="22">
        <f t="shared" ref="L40" si="15">K40*5</f>
        <v>5</v>
      </c>
      <c r="M40" s="47">
        <v>10</v>
      </c>
      <c r="N40" s="22"/>
    </row>
    <row r="41" spans="1:14" ht="60.75" thickBot="1" x14ac:dyDescent="0.3">
      <c r="A41" s="1"/>
      <c r="B41" s="29">
        <f t="shared" si="0"/>
        <v>32</v>
      </c>
      <c r="C41" s="38" t="s">
        <v>417</v>
      </c>
      <c r="D41" s="24" t="s">
        <v>42</v>
      </c>
      <c r="E41" s="24" t="s">
        <v>137</v>
      </c>
      <c r="F41" s="25" t="s">
        <v>407</v>
      </c>
      <c r="G41" s="24" t="s">
        <v>207</v>
      </c>
      <c r="H41" s="25" t="s">
        <v>317</v>
      </c>
      <c r="I41" s="24" t="s">
        <v>470</v>
      </c>
      <c r="J41" s="24" t="s">
        <v>375</v>
      </c>
      <c r="K41" s="25">
        <v>1</v>
      </c>
      <c r="L41" s="24">
        <f>K41*5</f>
        <v>5</v>
      </c>
      <c r="M41" s="25">
        <v>6</v>
      </c>
      <c r="N41" s="24"/>
    </row>
    <row r="42" spans="1:14" ht="24.75" thickBot="1" x14ac:dyDescent="0.3">
      <c r="A42" s="1"/>
      <c r="B42" s="29">
        <f>ROW(B42) - ROW($B$9)</f>
        <v>33</v>
      </c>
      <c r="C42" s="37" t="s">
        <v>417</v>
      </c>
      <c r="D42" s="22" t="s">
        <v>43</v>
      </c>
      <c r="E42" s="39" t="s">
        <v>138</v>
      </c>
      <c r="F42" s="23" t="s">
        <v>208</v>
      </c>
      <c r="G42" s="22" t="s">
        <v>260</v>
      </c>
      <c r="H42" s="23" t="s">
        <v>318</v>
      </c>
      <c r="I42" s="22" t="s">
        <v>471</v>
      </c>
      <c r="J42" s="22" t="s">
        <v>376</v>
      </c>
      <c r="K42" s="23">
        <v>1</v>
      </c>
      <c r="L42" s="22">
        <f t="shared" ref="L42" si="16">K42*5</f>
        <v>5</v>
      </c>
      <c r="M42" s="47">
        <v>10</v>
      </c>
      <c r="N42" s="22"/>
    </row>
    <row r="43" spans="1:14" ht="48.75" thickBot="1" x14ac:dyDescent="0.3">
      <c r="A43" s="1"/>
      <c r="B43" s="29">
        <f t="shared" si="0"/>
        <v>34</v>
      </c>
      <c r="C43" s="38" t="s">
        <v>417</v>
      </c>
      <c r="D43" s="24" t="s">
        <v>44</v>
      </c>
      <c r="E43" s="24" t="s">
        <v>139</v>
      </c>
      <c r="F43" s="25" t="s">
        <v>209</v>
      </c>
      <c r="G43" s="24" t="s">
        <v>261</v>
      </c>
      <c r="H43" s="25" t="s">
        <v>319</v>
      </c>
      <c r="I43" s="24" t="s">
        <v>472</v>
      </c>
      <c r="J43" s="24" t="s">
        <v>377</v>
      </c>
      <c r="K43" s="25">
        <v>1</v>
      </c>
      <c r="L43" s="24">
        <f>K43*5</f>
        <v>5</v>
      </c>
      <c r="M43" s="25">
        <v>10</v>
      </c>
      <c r="N43" s="24"/>
    </row>
    <row r="44" spans="1:14" ht="24.75" thickBot="1" x14ac:dyDescent="0.3">
      <c r="A44" s="1"/>
      <c r="B44" s="29">
        <f>ROW(B44) - ROW($B$9)</f>
        <v>35</v>
      </c>
      <c r="C44" s="37" t="s">
        <v>418</v>
      </c>
      <c r="D44" s="22" t="s">
        <v>45</v>
      </c>
      <c r="E44" s="39" t="s">
        <v>140</v>
      </c>
      <c r="F44" s="23" t="s">
        <v>210</v>
      </c>
      <c r="G44" s="22" t="s">
        <v>529</v>
      </c>
      <c r="H44" s="23" t="s">
        <v>320</v>
      </c>
      <c r="I44" s="22" t="s">
        <v>473</v>
      </c>
      <c r="J44" s="22" t="s">
        <v>420</v>
      </c>
      <c r="K44" s="23">
        <v>7</v>
      </c>
      <c r="L44" s="22">
        <f t="shared" ref="L44" si="17">K44*5</f>
        <v>35</v>
      </c>
      <c r="M44" s="47">
        <v>40</v>
      </c>
      <c r="N44" s="22"/>
    </row>
    <row r="45" spans="1:14" ht="24.75" thickBot="1" x14ac:dyDescent="0.3">
      <c r="A45" s="1"/>
      <c r="B45" s="29">
        <f t="shared" si="0"/>
        <v>36</v>
      </c>
      <c r="C45" s="38" t="s">
        <v>418</v>
      </c>
      <c r="D45" s="24" t="s">
        <v>46</v>
      </c>
      <c r="E45" s="24" t="s">
        <v>141</v>
      </c>
      <c r="F45" s="25" t="s">
        <v>407</v>
      </c>
      <c r="G45" s="24" t="s">
        <v>262</v>
      </c>
      <c r="H45" s="25" t="s">
        <v>321</v>
      </c>
      <c r="I45" s="24" t="s">
        <v>474</v>
      </c>
      <c r="J45" s="24" t="s">
        <v>420</v>
      </c>
      <c r="K45" s="25">
        <v>1</v>
      </c>
      <c r="L45" s="24">
        <f>K45*5</f>
        <v>5</v>
      </c>
      <c r="M45" s="25">
        <v>10</v>
      </c>
      <c r="N45" s="24"/>
    </row>
    <row r="46" spans="1:14" ht="48.75" thickBot="1" x14ac:dyDescent="0.3">
      <c r="A46" s="1"/>
      <c r="B46" s="29">
        <f>ROW(B46) - ROW($B$9)</f>
        <v>37</v>
      </c>
      <c r="C46" s="37" t="s">
        <v>419</v>
      </c>
      <c r="D46" s="22" t="s">
        <v>47</v>
      </c>
      <c r="E46" s="39" t="s">
        <v>142</v>
      </c>
      <c r="F46" s="23" t="s">
        <v>407</v>
      </c>
      <c r="G46" s="22" t="s">
        <v>211</v>
      </c>
      <c r="H46" s="23" t="s">
        <v>322</v>
      </c>
      <c r="I46" s="22" t="s">
        <v>475</v>
      </c>
      <c r="J46" s="22" t="s">
        <v>420</v>
      </c>
      <c r="K46" s="23">
        <v>1</v>
      </c>
      <c r="L46" s="22">
        <f t="shared" ref="L46" si="18">K46*5</f>
        <v>5</v>
      </c>
      <c r="M46" s="47">
        <v>10</v>
      </c>
      <c r="N46" s="22"/>
    </row>
    <row r="47" spans="1:14" ht="15.75" thickBot="1" x14ac:dyDescent="0.3">
      <c r="A47" s="1"/>
      <c r="B47" s="29">
        <f t="shared" si="0"/>
        <v>38</v>
      </c>
      <c r="C47" s="42" t="s">
        <v>378</v>
      </c>
      <c r="D47" s="41" t="s">
        <v>48</v>
      </c>
      <c r="E47" s="41" t="s">
        <v>143</v>
      </c>
      <c r="F47" s="43" t="s">
        <v>407</v>
      </c>
      <c r="G47" s="41" t="s">
        <v>212</v>
      </c>
      <c r="H47" s="43" t="s">
        <v>420</v>
      </c>
      <c r="I47" s="41" t="s">
        <v>420</v>
      </c>
      <c r="J47" s="41" t="s">
        <v>420</v>
      </c>
      <c r="K47" s="43">
        <v>2</v>
      </c>
      <c r="L47" s="41">
        <f>K47*5</f>
        <v>10</v>
      </c>
      <c r="M47" s="43" t="s">
        <v>420</v>
      </c>
      <c r="N47" s="63" t="s">
        <v>524</v>
      </c>
    </row>
    <row r="48" spans="1:14" ht="24.75" thickBot="1" x14ac:dyDescent="0.3">
      <c r="A48" s="1"/>
      <c r="B48" s="29">
        <f>ROW(B48) - ROW($B$9)</f>
        <v>39</v>
      </c>
      <c r="C48" s="37" t="s">
        <v>412</v>
      </c>
      <c r="D48" s="22" t="s">
        <v>49</v>
      </c>
      <c r="E48" s="39" t="s">
        <v>144</v>
      </c>
      <c r="F48" s="23" t="s">
        <v>213</v>
      </c>
      <c r="G48" s="22" t="s">
        <v>476</v>
      </c>
      <c r="H48" s="23" t="s">
        <v>323</v>
      </c>
      <c r="I48" s="22" t="s">
        <v>476</v>
      </c>
      <c r="J48" s="22" t="s">
        <v>420</v>
      </c>
      <c r="K48" s="23">
        <v>2</v>
      </c>
      <c r="L48" s="22">
        <f t="shared" ref="L48" si="19">K48*5</f>
        <v>10</v>
      </c>
      <c r="M48" s="47">
        <v>50</v>
      </c>
      <c r="N48" s="22"/>
    </row>
    <row r="49" spans="1:14" ht="24.75" thickBot="1" x14ac:dyDescent="0.3">
      <c r="A49" s="1"/>
      <c r="B49" s="29">
        <f t="shared" si="0"/>
        <v>40</v>
      </c>
      <c r="C49" s="38" t="s">
        <v>412</v>
      </c>
      <c r="D49" s="24" t="s">
        <v>50</v>
      </c>
      <c r="E49" s="24" t="s">
        <v>145</v>
      </c>
      <c r="F49" s="25" t="s">
        <v>214</v>
      </c>
      <c r="G49" s="24" t="s">
        <v>530</v>
      </c>
      <c r="H49" s="25" t="s">
        <v>323</v>
      </c>
      <c r="I49" s="24" t="s">
        <v>477</v>
      </c>
      <c r="J49" s="24" t="s">
        <v>420</v>
      </c>
      <c r="K49" s="25">
        <v>4</v>
      </c>
      <c r="L49" s="24">
        <f>K49*5</f>
        <v>20</v>
      </c>
      <c r="M49" s="25">
        <v>40</v>
      </c>
      <c r="N49" s="24"/>
    </row>
    <row r="50" spans="1:14" ht="24.75" thickBot="1" x14ac:dyDescent="0.3">
      <c r="A50" s="1"/>
      <c r="B50" s="29">
        <f>ROW(B50) - ROW($B$9)</f>
        <v>41</v>
      </c>
      <c r="C50" s="37" t="s">
        <v>412</v>
      </c>
      <c r="D50" s="22" t="s">
        <v>51</v>
      </c>
      <c r="E50" s="39" t="s">
        <v>146</v>
      </c>
      <c r="F50" s="23" t="s">
        <v>215</v>
      </c>
      <c r="G50" s="22" t="s">
        <v>478</v>
      </c>
      <c r="H50" s="23" t="s">
        <v>324</v>
      </c>
      <c r="I50" s="22" t="s">
        <v>478</v>
      </c>
      <c r="J50" s="22" t="s">
        <v>420</v>
      </c>
      <c r="K50" s="23">
        <v>1</v>
      </c>
      <c r="L50" s="22">
        <f t="shared" ref="L50" si="20">K50*5</f>
        <v>5</v>
      </c>
      <c r="M50" s="47">
        <v>10</v>
      </c>
      <c r="N50" s="22"/>
    </row>
    <row r="51" spans="1:14" ht="24.75" thickBot="1" x14ac:dyDescent="0.3">
      <c r="A51" s="1"/>
      <c r="B51" s="29">
        <f t="shared" si="0"/>
        <v>42</v>
      </c>
      <c r="C51" s="38" t="s">
        <v>412</v>
      </c>
      <c r="D51" s="24" t="s">
        <v>52</v>
      </c>
      <c r="E51" s="24" t="s">
        <v>147</v>
      </c>
      <c r="F51" s="25" t="s">
        <v>216</v>
      </c>
      <c r="G51" s="24" t="s">
        <v>531</v>
      </c>
      <c r="H51" s="25" t="s">
        <v>323</v>
      </c>
      <c r="I51" s="24" t="s">
        <v>479</v>
      </c>
      <c r="J51" s="24" t="s">
        <v>420</v>
      </c>
      <c r="K51" s="25">
        <v>3</v>
      </c>
      <c r="L51" s="24">
        <f>K51*5</f>
        <v>15</v>
      </c>
      <c r="M51" s="25">
        <v>50</v>
      </c>
      <c r="N51" s="24"/>
    </row>
    <row r="52" spans="1:14" ht="24.75" thickBot="1" x14ac:dyDescent="0.3">
      <c r="A52" s="1"/>
      <c r="B52" s="29">
        <f>ROW(B52) - ROW($B$9)</f>
        <v>43</v>
      </c>
      <c r="C52" s="37" t="s">
        <v>412</v>
      </c>
      <c r="D52" s="22" t="s">
        <v>53</v>
      </c>
      <c r="E52" s="39" t="s">
        <v>148</v>
      </c>
      <c r="F52" s="23" t="s">
        <v>217</v>
      </c>
      <c r="G52" s="22" t="s">
        <v>532</v>
      </c>
      <c r="H52" s="23" t="s">
        <v>323</v>
      </c>
      <c r="I52" s="22" t="s">
        <v>480</v>
      </c>
      <c r="J52" s="22" t="s">
        <v>420</v>
      </c>
      <c r="K52" s="23">
        <v>1</v>
      </c>
      <c r="L52" s="22">
        <f t="shared" ref="L52" si="21">K52*5</f>
        <v>5</v>
      </c>
      <c r="M52" s="47">
        <v>20</v>
      </c>
      <c r="N52" s="22"/>
    </row>
    <row r="53" spans="1:14" ht="24.75" thickBot="1" x14ac:dyDescent="0.3">
      <c r="A53" s="1"/>
      <c r="B53" s="29">
        <f t="shared" si="0"/>
        <v>44</v>
      </c>
      <c r="C53" s="38" t="s">
        <v>11</v>
      </c>
      <c r="D53" s="24" t="s">
        <v>54</v>
      </c>
      <c r="E53" s="24" t="s">
        <v>149</v>
      </c>
      <c r="F53" s="25" t="s">
        <v>218</v>
      </c>
      <c r="G53" s="24" t="s">
        <v>263</v>
      </c>
      <c r="H53" s="25" t="s">
        <v>309</v>
      </c>
      <c r="I53" s="24" t="s">
        <v>481</v>
      </c>
      <c r="J53" s="24" t="s">
        <v>420</v>
      </c>
      <c r="K53" s="25">
        <v>9</v>
      </c>
      <c r="L53" s="24">
        <f>K53*5</f>
        <v>45</v>
      </c>
      <c r="M53" s="25">
        <v>47</v>
      </c>
      <c r="N53" s="24"/>
    </row>
    <row r="54" spans="1:14" ht="24.75" thickBot="1" x14ac:dyDescent="0.3">
      <c r="A54" s="1"/>
      <c r="B54" s="29">
        <f>ROW(B54) - ROW($B$9)</f>
        <v>45</v>
      </c>
      <c r="C54" s="37" t="s">
        <v>11</v>
      </c>
      <c r="D54" s="22" t="s">
        <v>55</v>
      </c>
      <c r="E54" s="39" t="s">
        <v>150</v>
      </c>
      <c r="F54" s="23" t="s">
        <v>219</v>
      </c>
      <c r="G54" s="22" t="s">
        <v>264</v>
      </c>
      <c r="H54" s="23" t="s">
        <v>325</v>
      </c>
      <c r="I54" s="22" t="s">
        <v>482</v>
      </c>
      <c r="J54" s="22" t="s">
        <v>420</v>
      </c>
      <c r="K54" s="23">
        <v>1</v>
      </c>
      <c r="L54" s="22">
        <f t="shared" ref="L54" si="22">K54*5</f>
        <v>5</v>
      </c>
      <c r="M54" s="47">
        <v>10</v>
      </c>
      <c r="N54" s="22"/>
    </row>
    <row r="55" spans="1:14" ht="24.75" thickBot="1" x14ac:dyDescent="0.3">
      <c r="A55" s="1"/>
      <c r="B55" s="29">
        <f t="shared" si="0"/>
        <v>46</v>
      </c>
      <c r="C55" s="38" t="s">
        <v>11</v>
      </c>
      <c r="D55" s="24" t="s">
        <v>56</v>
      </c>
      <c r="E55" s="24" t="s">
        <v>151</v>
      </c>
      <c r="F55" s="25" t="s">
        <v>220</v>
      </c>
      <c r="G55" s="24" t="s">
        <v>265</v>
      </c>
      <c r="H55" s="25" t="s">
        <v>326</v>
      </c>
      <c r="I55" s="24" t="s">
        <v>420</v>
      </c>
      <c r="J55" s="24" t="s">
        <v>420</v>
      </c>
      <c r="K55" s="25">
        <v>2</v>
      </c>
      <c r="L55" s="24">
        <f>K55*5</f>
        <v>10</v>
      </c>
      <c r="M55" s="25">
        <v>11</v>
      </c>
      <c r="N55" s="24"/>
    </row>
    <row r="56" spans="1:14" ht="24.75" thickBot="1" x14ac:dyDescent="0.3">
      <c r="A56" s="1"/>
      <c r="B56" s="29">
        <f>ROW(B56) - ROW($B$9)</f>
        <v>47</v>
      </c>
      <c r="C56" s="37" t="s">
        <v>11</v>
      </c>
      <c r="D56" s="22" t="s">
        <v>57</v>
      </c>
      <c r="E56" s="39" t="s">
        <v>152</v>
      </c>
      <c r="F56" s="23" t="s">
        <v>219</v>
      </c>
      <c r="G56" s="22" t="s">
        <v>266</v>
      </c>
      <c r="H56" s="23" t="s">
        <v>325</v>
      </c>
      <c r="I56" s="22" t="s">
        <v>483</v>
      </c>
      <c r="J56" s="22" t="s">
        <v>420</v>
      </c>
      <c r="K56" s="23">
        <v>2</v>
      </c>
      <c r="L56" s="22">
        <f t="shared" ref="L56" si="23">K56*5</f>
        <v>10</v>
      </c>
      <c r="M56" s="47">
        <v>15</v>
      </c>
      <c r="N56" s="22"/>
    </row>
    <row r="57" spans="1:14" ht="24.75" thickBot="1" x14ac:dyDescent="0.3">
      <c r="A57" s="1"/>
      <c r="B57" s="29">
        <f t="shared" si="0"/>
        <v>48</v>
      </c>
      <c r="C57" s="38" t="s">
        <v>11</v>
      </c>
      <c r="D57" s="24" t="s">
        <v>58</v>
      </c>
      <c r="E57" s="24" t="s">
        <v>153</v>
      </c>
      <c r="F57" s="25" t="s">
        <v>219</v>
      </c>
      <c r="G57" s="24" t="s">
        <v>267</v>
      </c>
      <c r="H57" s="25" t="s">
        <v>309</v>
      </c>
      <c r="I57" s="24" t="s">
        <v>354</v>
      </c>
      <c r="J57" s="24" t="s">
        <v>420</v>
      </c>
      <c r="K57" s="25">
        <v>6</v>
      </c>
      <c r="L57" s="24">
        <f>K57*5</f>
        <v>30</v>
      </c>
      <c r="M57" s="25">
        <v>40</v>
      </c>
      <c r="N57" s="24"/>
    </row>
    <row r="58" spans="1:14" ht="36.75" thickBot="1" x14ac:dyDescent="0.3">
      <c r="A58" s="1"/>
      <c r="B58" s="29">
        <f>ROW(B58) - ROW($B$9)</f>
        <v>49</v>
      </c>
      <c r="C58" s="37" t="s">
        <v>11</v>
      </c>
      <c r="D58" s="22" t="s">
        <v>59</v>
      </c>
      <c r="E58" s="39" t="s">
        <v>154</v>
      </c>
      <c r="F58" s="23" t="s">
        <v>219</v>
      </c>
      <c r="G58" s="22" t="s">
        <v>268</v>
      </c>
      <c r="H58" s="23" t="s">
        <v>327</v>
      </c>
      <c r="I58" s="22" t="s">
        <v>484</v>
      </c>
      <c r="J58" s="22" t="s">
        <v>420</v>
      </c>
      <c r="K58" s="23">
        <v>10</v>
      </c>
      <c r="L58" s="22">
        <f t="shared" ref="L58" si="24">K58*5</f>
        <v>50</v>
      </c>
      <c r="M58" s="47">
        <v>60</v>
      </c>
      <c r="N58" s="22"/>
    </row>
    <row r="59" spans="1:14" ht="36.75" thickBot="1" x14ac:dyDescent="0.3">
      <c r="A59" s="1"/>
      <c r="B59" s="29">
        <f t="shared" si="0"/>
        <v>50</v>
      </c>
      <c r="C59" s="38" t="s">
        <v>11</v>
      </c>
      <c r="D59" s="24" t="s">
        <v>60</v>
      </c>
      <c r="E59" s="24" t="s">
        <v>155</v>
      </c>
      <c r="F59" s="25" t="s">
        <v>219</v>
      </c>
      <c r="G59" s="24" t="s">
        <v>269</v>
      </c>
      <c r="H59" s="25" t="s">
        <v>327</v>
      </c>
      <c r="I59" s="24" t="s">
        <v>485</v>
      </c>
      <c r="J59" s="24" t="s">
        <v>420</v>
      </c>
      <c r="K59" s="25">
        <v>2</v>
      </c>
      <c r="L59" s="24">
        <f>K59*5</f>
        <v>10</v>
      </c>
      <c r="M59" s="25">
        <v>20</v>
      </c>
      <c r="N59" s="24"/>
    </row>
    <row r="60" spans="1:14" ht="24.75" thickBot="1" x14ac:dyDescent="0.3">
      <c r="A60" s="1"/>
      <c r="B60" s="29">
        <f>ROW(B60) - ROW($B$9)</f>
        <v>51</v>
      </c>
      <c r="C60" s="37" t="s">
        <v>11</v>
      </c>
      <c r="D60" s="22" t="s">
        <v>61</v>
      </c>
      <c r="E60" s="39" t="s">
        <v>156</v>
      </c>
      <c r="F60" s="23" t="s">
        <v>219</v>
      </c>
      <c r="G60" s="22" t="s">
        <v>270</v>
      </c>
      <c r="H60" s="23" t="s">
        <v>307</v>
      </c>
      <c r="I60" s="22" t="s">
        <v>486</v>
      </c>
      <c r="J60" s="22" t="s">
        <v>420</v>
      </c>
      <c r="K60" s="23">
        <v>3</v>
      </c>
      <c r="L60" s="22">
        <f t="shared" ref="L60" si="25">K60*5</f>
        <v>15</v>
      </c>
      <c r="M60" s="47">
        <v>20</v>
      </c>
      <c r="N60" s="22"/>
    </row>
    <row r="61" spans="1:14" ht="60.75" thickBot="1" x14ac:dyDescent="0.3">
      <c r="A61" s="1"/>
      <c r="B61" s="29">
        <f t="shared" si="0"/>
        <v>52</v>
      </c>
      <c r="C61" s="38" t="s">
        <v>11</v>
      </c>
      <c r="D61" s="24" t="s">
        <v>62</v>
      </c>
      <c r="E61" s="24" t="s">
        <v>157</v>
      </c>
      <c r="F61" s="25" t="s">
        <v>421</v>
      </c>
      <c r="G61" s="24" t="s">
        <v>221</v>
      </c>
      <c r="H61" s="25" t="s">
        <v>328</v>
      </c>
      <c r="I61" s="24" t="s">
        <v>487</v>
      </c>
      <c r="J61" s="24" t="s">
        <v>420</v>
      </c>
      <c r="K61" s="25">
        <v>1</v>
      </c>
      <c r="L61" s="24">
        <f>K61*5</f>
        <v>5</v>
      </c>
      <c r="M61" s="25">
        <v>10</v>
      </c>
      <c r="N61" s="24"/>
    </row>
    <row r="62" spans="1:14" ht="60.75" thickBot="1" x14ac:dyDescent="0.3">
      <c r="A62" s="1"/>
      <c r="B62" s="29">
        <f>ROW(B62) - ROW($B$9)</f>
        <v>53</v>
      </c>
      <c r="C62" s="37" t="s">
        <v>11</v>
      </c>
      <c r="D62" s="22" t="s">
        <v>63</v>
      </c>
      <c r="E62" s="39" t="s">
        <v>158</v>
      </c>
      <c r="F62" s="23" t="s">
        <v>219</v>
      </c>
      <c r="G62" s="22" t="s">
        <v>271</v>
      </c>
      <c r="H62" s="23" t="s">
        <v>329</v>
      </c>
      <c r="I62" s="22" t="s">
        <v>355</v>
      </c>
      <c r="J62" s="22" t="s">
        <v>420</v>
      </c>
      <c r="K62" s="23">
        <v>1</v>
      </c>
      <c r="L62" s="22">
        <f t="shared" ref="L62" si="26">K62*5</f>
        <v>5</v>
      </c>
      <c r="M62" s="47">
        <v>10</v>
      </c>
      <c r="N62" s="22"/>
    </row>
    <row r="63" spans="1:14" ht="48.75" thickBot="1" x14ac:dyDescent="0.3">
      <c r="A63" s="1"/>
      <c r="B63" s="29">
        <f t="shared" si="0"/>
        <v>54</v>
      </c>
      <c r="C63" s="38" t="s">
        <v>12</v>
      </c>
      <c r="D63" s="24" t="s">
        <v>64</v>
      </c>
      <c r="E63" s="24" t="s">
        <v>159</v>
      </c>
      <c r="F63" s="25" t="s">
        <v>222</v>
      </c>
      <c r="G63" s="24" t="s">
        <v>272</v>
      </c>
      <c r="H63" s="25" t="s">
        <v>301</v>
      </c>
      <c r="I63" s="24" t="s">
        <v>488</v>
      </c>
      <c r="J63" s="24" t="s">
        <v>379</v>
      </c>
      <c r="K63" s="25">
        <v>1</v>
      </c>
      <c r="L63" s="24">
        <f>K63*5</f>
        <v>5</v>
      </c>
      <c r="M63" s="25">
        <v>100</v>
      </c>
      <c r="N63" s="24"/>
    </row>
    <row r="64" spans="1:14" ht="24.75" thickBot="1" x14ac:dyDescent="0.3">
      <c r="A64" s="1"/>
      <c r="B64" s="29">
        <f>ROW(B64) - ROW($B$9)</f>
        <v>55</v>
      </c>
      <c r="C64" s="37" t="s">
        <v>12</v>
      </c>
      <c r="D64" s="22" t="s">
        <v>65</v>
      </c>
      <c r="E64" s="39" t="s">
        <v>160</v>
      </c>
      <c r="F64" s="23" t="s">
        <v>222</v>
      </c>
      <c r="G64" s="22" t="s">
        <v>273</v>
      </c>
      <c r="H64" s="23" t="s">
        <v>301</v>
      </c>
      <c r="I64" s="22" t="s">
        <v>489</v>
      </c>
      <c r="J64" s="22" t="s">
        <v>380</v>
      </c>
      <c r="K64" s="23">
        <v>1</v>
      </c>
      <c r="L64" s="22">
        <f t="shared" ref="L64" si="27">K64*5</f>
        <v>5</v>
      </c>
      <c r="M64" s="47">
        <v>100</v>
      </c>
      <c r="N64" s="22"/>
    </row>
    <row r="65" spans="1:14" ht="72.75" thickBot="1" x14ac:dyDescent="0.3">
      <c r="A65" s="1"/>
      <c r="B65" s="29">
        <f t="shared" si="0"/>
        <v>56</v>
      </c>
      <c r="C65" s="38" t="s">
        <v>12</v>
      </c>
      <c r="D65" s="24" t="s">
        <v>66</v>
      </c>
      <c r="E65" s="24" t="s">
        <v>161</v>
      </c>
      <c r="F65" s="25" t="s">
        <v>222</v>
      </c>
      <c r="G65" s="24" t="s">
        <v>422</v>
      </c>
      <c r="H65" s="25" t="s">
        <v>330</v>
      </c>
      <c r="I65" s="24" t="s">
        <v>490</v>
      </c>
      <c r="J65" s="24" t="s">
        <v>381</v>
      </c>
      <c r="K65" s="25">
        <v>1</v>
      </c>
      <c r="L65" s="24">
        <f>K65*5</f>
        <v>5</v>
      </c>
      <c r="M65" s="25">
        <v>50</v>
      </c>
      <c r="N65" s="24"/>
    </row>
    <row r="66" spans="1:14" ht="24.75" thickBot="1" x14ac:dyDescent="0.3">
      <c r="A66" s="1"/>
      <c r="B66" s="29">
        <f>ROW(B66) - ROW($B$9)</f>
        <v>57</v>
      </c>
      <c r="C66" s="37" t="s">
        <v>12</v>
      </c>
      <c r="D66" s="22" t="s">
        <v>68</v>
      </c>
      <c r="E66" s="39" t="s">
        <v>423</v>
      </c>
      <c r="F66" s="23" t="s">
        <v>223</v>
      </c>
      <c r="G66" s="22" t="s">
        <v>274</v>
      </c>
      <c r="H66" s="23" t="s">
        <v>301</v>
      </c>
      <c r="I66" s="22" t="s">
        <v>491</v>
      </c>
      <c r="J66" s="22" t="s">
        <v>383</v>
      </c>
      <c r="K66" s="23">
        <v>15</v>
      </c>
      <c r="L66" s="22">
        <f>K66*5</f>
        <v>75</v>
      </c>
      <c r="M66" s="47">
        <v>100</v>
      </c>
      <c r="N66" s="22"/>
    </row>
    <row r="67" spans="1:14" ht="24.75" thickBot="1" x14ac:dyDescent="0.3">
      <c r="A67" s="1"/>
      <c r="B67" s="29">
        <f t="shared" si="0"/>
        <v>58</v>
      </c>
      <c r="C67" s="38" t="s">
        <v>12</v>
      </c>
      <c r="D67" s="24" t="s">
        <v>69</v>
      </c>
      <c r="E67" s="24" t="s">
        <v>162</v>
      </c>
      <c r="F67" s="25" t="s">
        <v>222</v>
      </c>
      <c r="G67" s="24" t="s">
        <v>275</v>
      </c>
      <c r="H67" s="25" t="s">
        <v>301</v>
      </c>
      <c r="I67" s="24" t="s">
        <v>492</v>
      </c>
      <c r="J67" s="24" t="s">
        <v>384</v>
      </c>
      <c r="K67" s="25">
        <v>2</v>
      </c>
      <c r="L67" s="24">
        <f t="shared" ref="L67" si="28">K67*5</f>
        <v>10</v>
      </c>
      <c r="M67" s="25">
        <v>100</v>
      </c>
      <c r="N67" s="24"/>
    </row>
    <row r="68" spans="1:14" ht="72.75" thickBot="1" x14ac:dyDescent="0.3">
      <c r="A68" s="1"/>
      <c r="B68" s="29">
        <f>ROW(B68) - ROW($B$9)</f>
        <v>59</v>
      </c>
      <c r="C68" s="37" t="s">
        <v>12</v>
      </c>
      <c r="D68" s="22" t="s">
        <v>70</v>
      </c>
      <c r="E68" s="39" t="s">
        <v>163</v>
      </c>
      <c r="F68" s="23" t="s">
        <v>222</v>
      </c>
      <c r="G68" s="22" t="s">
        <v>276</v>
      </c>
      <c r="H68" s="23" t="s">
        <v>331</v>
      </c>
      <c r="I68" s="22" t="s">
        <v>493</v>
      </c>
      <c r="J68" s="22" t="s">
        <v>385</v>
      </c>
      <c r="K68" s="23">
        <v>1</v>
      </c>
      <c r="L68" s="22">
        <f>K68*5</f>
        <v>5</v>
      </c>
      <c r="M68" s="47">
        <v>100</v>
      </c>
      <c r="N68" s="22"/>
    </row>
    <row r="69" spans="1:14" ht="36.75" thickBot="1" x14ac:dyDescent="0.3">
      <c r="A69" s="1"/>
      <c r="B69" s="29">
        <f t="shared" si="0"/>
        <v>60</v>
      </c>
      <c r="C69" s="38" t="s">
        <v>12</v>
      </c>
      <c r="D69" s="24" t="s">
        <v>67</v>
      </c>
      <c r="E69" s="24" t="s">
        <v>424</v>
      </c>
      <c r="F69" s="25" t="s">
        <v>223</v>
      </c>
      <c r="G69" s="24" t="s">
        <v>425</v>
      </c>
      <c r="H69" s="25" t="s">
        <v>301</v>
      </c>
      <c r="I69" s="24" t="s">
        <v>494</v>
      </c>
      <c r="J69" s="24" t="s">
        <v>382</v>
      </c>
      <c r="K69" s="25">
        <v>20</v>
      </c>
      <c r="L69" s="24">
        <f t="shared" ref="L69" si="29">K69*5</f>
        <v>100</v>
      </c>
      <c r="M69" s="25">
        <v>200</v>
      </c>
      <c r="N69" s="24"/>
    </row>
    <row r="70" spans="1:14" ht="24.75" thickBot="1" x14ac:dyDescent="0.3">
      <c r="A70" s="1"/>
      <c r="B70" s="29">
        <f>ROW(B70) - ROW($B$9)</f>
        <v>61</v>
      </c>
      <c r="C70" s="37" t="s">
        <v>12</v>
      </c>
      <c r="D70" s="22" t="s">
        <v>71</v>
      </c>
      <c r="E70" s="39" t="s">
        <v>164</v>
      </c>
      <c r="F70" s="23" t="s">
        <v>223</v>
      </c>
      <c r="G70" s="22" t="s">
        <v>277</v>
      </c>
      <c r="H70" s="23" t="s">
        <v>301</v>
      </c>
      <c r="I70" s="22" t="s">
        <v>495</v>
      </c>
      <c r="J70" s="22" t="s">
        <v>386</v>
      </c>
      <c r="K70" s="23">
        <v>1</v>
      </c>
      <c r="L70" s="22">
        <f>K70*5</f>
        <v>5</v>
      </c>
      <c r="M70" s="47">
        <v>100</v>
      </c>
      <c r="N70" s="22"/>
    </row>
    <row r="71" spans="1:14" ht="24.75" thickBot="1" x14ac:dyDescent="0.3">
      <c r="A71" s="1"/>
      <c r="B71" s="29">
        <f t="shared" si="0"/>
        <v>62</v>
      </c>
      <c r="C71" s="38" t="s">
        <v>12</v>
      </c>
      <c r="D71" s="24" t="s">
        <v>72</v>
      </c>
      <c r="E71" s="24" t="s">
        <v>165</v>
      </c>
      <c r="F71" s="25" t="s">
        <v>222</v>
      </c>
      <c r="G71" s="24" t="s">
        <v>278</v>
      </c>
      <c r="H71" s="25" t="s">
        <v>301</v>
      </c>
      <c r="I71" s="24" t="s">
        <v>496</v>
      </c>
      <c r="J71" s="24" t="s">
        <v>387</v>
      </c>
      <c r="K71" s="25">
        <v>3</v>
      </c>
      <c r="L71" s="24">
        <f t="shared" ref="L71" si="30">K71*5</f>
        <v>15</v>
      </c>
      <c r="M71" s="25">
        <v>100</v>
      </c>
      <c r="N71" s="24"/>
    </row>
    <row r="72" spans="1:14" ht="24.75" thickBot="1" x14ac:dyDescent="0.3">
      <c r="A72" s="1"/>
      <c r="B72" s="29">
        <f>ROW(B72) - ROW($B$9)</f>
        <v>63</v>
      </c>
      <c r="C72" s="37" t="s">
        <v>12</v>
      </c>
      <c r="D72" s="22" t="s">
        <v>73</v>
      </c>
      <c r="E72" s="39" t="s">
        <v>426</v>
      </c>
      <c r="F72" s="23" t="s">
        <v>222</v>
      </c>
      <c r="G72" s="22" t="s">
        <v>427</v>
      </c>
      <c r="H72" s="23" t="s">
        <v>428</v>
      </c>
      <c r="I72" s="22" t="s">
        <v>497</v>
      </c>
      <c r="J72" s="22" t="s">
        <v>388</v>
      </c>
      <c r="K72" s="23">
        <v>8</v>
      </c>
      <c r="L72" s="22">
        <f>K72*5</f>
        <v>40</v>
      </c>
      <c r="M72" s="47">
        <v>100</v>
      </c>
      <c r="N72" s="22"/>
    </row>
    <row r="73" spans="1:14" ht="24.75" thickBot="1" x14ac:dyDescent="0.3">
      <c r="A73" s="1"/>
      <c r="B73" s="29">
        <f t="shared" si="0"/>
        <v>64</v>
      </c>
      <c r="C73" s="38" t="s">
        <v>12</v>
      </c>
      <c r="D73" s="24" t="s">
        <v>74</v>
      </c>
      <c r="E73" s="24" t="s">
        <v>166</v>
      </c>
      <c r="F73" s="25" t="s">
        <v>222</v>
      </c>
      <c r="G73" s="24" t="s">
        <v>279</v>
      </c>
      <c r="H73" s="25" t="s">
        <v>301</v>
      </c>
      <c r="I73" s="24" t="s">
        <v>498</v>
      </c>
      <c r="J73" s="24" t="s">
        <v>389</v>
      </c>
      <c r="K73" s="25">
        <v>2</v>
      </c>
      <c r="L73" s="24">
        <f t="shared" ref="L73" si="31">K73*5</f>
        <v>10</v>
      </c>
      <c r="M73" s="25">
        <v>100</v>
      </c>
      <c r="N73" s="24"/>
    </row>
    <row r="74" spans="1:14" ht="24.75" thickBot="1" x14ac:dyDescent="0.3">
      <c r="A74" s="1"/>
      <c r="B74" s="29">
        <f>ROW(B74) - ROW($B$9)</f>
        <v>65</v>
      </c>
      <c r="C74" s="37" t="s">
        <v>12</v>
      </c>
      <c r="D74" s="22" t="s">
        <v>75</v>
      </c>
      <c r="E74" s="39" t="s">
        <v>429</v>
      </c>
      <c r="F74" s="23" t="s">
        <v>222</v>
      </c>
      <c r="G74" s="22" t="s">
        <v>430</v>
      </c>
      <c r="H74" s="23" t="s">
        <v>301</v>
      </c>
      <c r="I74" s="22" t="s">
        <v>499</v>
      </c>
      <c r="J74" s="22" t="s">
        <v>390</v>
      </c>
      <c r="K74" s="23">
        <v>13</v>
      </c>
      <c r="L74" s="22">
        <f>K74*5</f>
        <v>65</v>
      </c>
      <c r="M74" s="47">
        <v>100</v>
      </c>
      <c r="N74" s="22"/>
    </row>
    <row r="75" spans="1:14" ht="24.75" thickBot="1" x14ac:dyDescent="0.3">
      <c r="A75" s="1"/>
      <c r="B75" s="29">
        <f t="shared" si="0"/>
        <v>66</v>
      </c>
      <c r="C75" s="38" t="s">
        <v>12</v>
      </c>
      <c r="D75" s="24" t="s">
        <v>77</v>
      </c>
      <c r="E75" s="24" t="s">
        <v>431</v>
      </c>
      <c r="F75" s="25" t="s">
        <v>223</v>
      </c>
      <c r="G75" s="24" t="s">
        <v>432</v>
      </c>
      <c r="H75" s="25" t="s">
        <v>301</v>
      </c>
      <c r="I75" s="24" t="s">
        <v>500</v>
      </c>
      <c r="J75" s="24" t="s">
        <v>392</v>
      </c>
      <c r="K75" s="25">
        <v>2</v>
      </c>
      <c r="L75" s="24">
        <f t="shared" ref="L75" si="32">K75*5</f>
        <v>10</v>
      </c>
      <c r="M75" s="25">
        <v>20</v>
      </c>
      <c r="N75" s="24"/>
    </row>
    <row r="76" spans="1:14" ht="24.75" thickBot="1" x14ac:dyDescent="0.3">
      <c r="A76" s="1"/>
      <c r="B76" s="29">
        <f>ROW(B76) - ROW($B$9)</f>
        <v>67</v>
      </c>
      <c r="C76" s="37" t="s">
        <v>12</v>
      </c>
      <c r="D76" s="22" t="s">
        <v>78</v>
      </c>
      <c r="E76" s="39" t="s">
        <v>167</v>
      </c>
      <c r="F76" s="23" t="s">
        <v>223</v>
      </c>
      <c r="G76" s="22" t="s">
        <v>280</v>
      </c>
      <c r="H76" s="23" t="s">
        <v>301</v>
      </c>
      <c r="I76" s="22" t="s">
        <v>501</v>
      </c>
      <c r="J76" s="22" t="s">
        <v>393</v>
      </c>
      <c r="K76" s="23">
        <v>1</v>
      </c>
      <c r="L76" s="22">
        <f>K76*5</f>
        <v>5</v>
      </c>
      <c r="M76" s="47">
        <v>20</v>
      </c>
      <c r="N76" s="22"/>
    </row>
    <row r="77" spans="1:14" ht="24.75" thickBot="1" x14ac:dyDescent="0.3">
      <c r="A77" s="1"/>
      <c r="B77" s="29">
        <f t="shared" si="0"/>
        <v>68</v>
      </c>
      <c r="C77" s="38" t="s">
        <v>12</v>
      </c>
      <c r="D77" s="24" t="s">
        <v>79</v>
      </c>
      <c r="E77" s="24" t="s">
        <v>433</v>
      </c>
      <c r="F77" s="25" t="s">
        <v>222</v>
      </c>
      <c r="G77" s="24" t="s">
        <v>434</v>
      </c>
      <c r="H77" s="25" t="s">
        <v>301</v>
      </c>
      <c r="I77" s="24" t="s">
        <v>502</v>
      </c>
      <c r="J77" s="24" t="s">
        <v>394</v>
      </c>
      <c r="K77" s="25">
        <v>3</v>
      </c>
      <c r="L77" s="24">
        <f t="shared" ref="L77" si="33">K77*5</f>
        <v>15</v>
      </c>
      <c r="M77" s="25">
        <v>100</v>
      </c>
      <c r="N77" s="24"/>
    </row>
    <row r="78" spans="1:14" ht="36.75" thickBot="1" x14ac:dyDescent="0.3">
      <c r="A78" s="1"/>
      <c r="B78" s="29">
        <f>ROW(B78) - ROW($B$9)</f>
        <v>69</v>
      </c>
      <c r="C78" s="37" t="s">
        <v>12</v>
      </c>
      <c r="D78" s="22" t="s">
        <v>76</v>
      </c>
      <c r="E78" s="39" t="s">
        <v>435</v>
      </c>
      <c r="F78" s="23" t="s">
        <v>222</v>
      </c>
      <c r="G78" s="22" t="s">
        <v>436</v>
      </c>
      <c r="H78" s="23" t="s">
        <v>301</v>
      </c>
      <c r="I78" s="22" t="s">
        <v>503</v>
      </c>
      <c r="J78" s="22" t="s">
        <v>391</v>
      </c>
      <c r="K78" s="23">
        <v>24</v>
      </c>
      <c r="L78" s="22">
        <f>K78*5</f>
        <v>120</v>
      </c>
      <c r="M78" s="47">
        <v>200</v>
      </c>
      <c r="N78" s="22"/>
    </row>
    <row r="79" spans="1:14" ht="24.75" thickBot="1" x14ac:dyDescent="0.3">
      <c r="A79" s="1"/>
      <c r="B79" s="29">
        <f t="shared" si="0"/>
        <v>70</v>
      </c>
      <c r="C79" s="38" t="s">
        <v>12</v>
      </c>
      <c r="D79" s="24" t="s">
        <v>80</v>
      </c>
      <c r="E79" s="24" t="s">
        <v>168</v>
      </c>
      <c r="F79" s="25" t="s">
        <v>224</v>
      </c>
      <c r="G79" s="24" t="s">
        <v>281</v>
      </c>
      <c r="H79" s="25" t="s">
        <v>301</v>
      </c>
      <c r="I79" s="24" t="s">
        <v>356</v>
      </c>
      <c r="J79" s="24" t="s">
        <v>395</v>
      </c>
      <c r="K79" s="25">
        <v>1</v>
      </c>
      <c r="L79" s="24">
        <f t="shared" ref="L79" si="34">K79*5</f>
        <v>5</v>
      </c>
      <c r="M79" s="25">
        <v>100</v>
      </c>
      <c r="N79" s="24"/>
    </row>
    <row r="80" spans="1:14" ht="24.75" thickBot="1" x14ac:dyDescent="0.3">
      <c r="A80" s="1"/>
      <c r="B80" s="29">
        <f>ROW(B80) - ROW($B$9)</f>
        <v>71</v>
      </c>
      <c r="C80" s="37" t="s">
        <v>12</v>
      </c>
      <c r="D80" s="22" t="s">
        <v>81</v>
      </c>
      <c r="E80" s="39" t="s">
        <v>169</v>
      </c>
      <c r="F80" s="23" t="s">
        <v>225</v>
      </c>
      <c r="G80" s="22" t="s">
        <v>282</v>
      </c>
      <c r="H80" s="23" t="s">
        <v>301</v>
      </c>
      <c r="I80" s="22" t="s">
        <v>357</v>
      </c>
      <c r="J80" s="22" t="s">
        <v>390</v>
      </c>
      <c r="K80" s="23">
        <v>1</v>
      </c>
      <c r="L80" s="22">
        <f>K80*5</f>
        <v>5</v>
      </c>
      <c r="M80" s="47">
        <v>50</v>
      </c>
      <c r="N80" s="22"/>
    </row>
    <row r="81" spans="1:14" ht="24.75" thickBot="1" x14ac:dyDescent="0.3">
      <c r="A81" s="1"/>
      <c r="B81" s="29">
        <f t="shared" si="0"/>
        <v>72</v>
      </c>
      <c r="C81" s="38" t="s">
        <v>12</v>
      </c>
      <c r="D81" s="24" t="s">
        <v>82</v>
      </c>
      <c r="E81" s="24" t="s">
        <v>170</v>
      </c>
      <c r="F81" s="25" t="s">
        <v>223</v>
      </c>
      <c r="G81" s="24" t="s">
        <v>283</v>
      </c>
      <c r="H81" s="25" t="s">
        <v>301</v>
      </c>
      <c r="I81" s="24" t="s">
        <v>358</v>
      </c>
      <c r="J81" s="24" t="s">
        <v>396</v>
      </c>
      <c r="K81" s="25">
        <v>1</v>
      </c>
      <c r="L81" s="24">
        <f t="shared" ref="L81" si="35">K81*5</f>
        <v>5</v>
      </c>
      <c r="M81" s="25">
        <v>100</v>
      </c>
      <c r="N81" s="24"/>
    </row>
    <row r="82" spans="1:14" ht="24.75" thickBot="1" x14ac:dyDescent="0.3">
      <c r="A82" s="1"/>
      <c r="B82" s="29">
        <f>ROW(B82) - ROW($B$9)</f>
        <v>73</v>
      </c>
      <c r="C82" s="37" t="s">
        <v>12</v>
      </c>
      <c r="D82" s="22" t="s">
        <v>83</v>
      </c>
      <c r="E82" s="39" t="s">
        <v>171</v>
      </c>
      <c r="F82" s="23" t="s">
        <v>222</v>
      </c>
      <c r="G82" s="22" t="s">
        <v>284</v>
      </c>
      <c r="H82" s="23" t="s">
        <v>301</v>
      </c>
      <c r="I82" s="22" t="s">
        <v>504</v>
      </c>
      <c r="J82" s="22" t="s">
        <v>397</v>
      </c>
      <c r="K82" s="23">
        <v>2</v>
      </c>
      <c r="L82" s="22">
        <f>K82*5</f>
        <v>10</v>
      </c>
      <c r="M82" s="47">
        <v>100</v>
      </c>
      <c r="N82" s="22"/>
    </row>
    <row r="83" spans="1:14" ht="24.75" thickBot="1" x14ac:dyDescent="0.3">
      <c r="A83" s="1"/>
      <c r="B83" s="29">
        <f t="shared" si="0"/>
        <v>74</v>
      </c>
      <c r="C83" s="38" t="s">
        <v>12</v>
      </c>
      <c r="D83" s="24" t="s">
        <v>84</v>
      </c>
      <c r="E83" s="24" t="s">
        <v>172</v>
      </c>
      <c r="F83" s="25" t="s">
        <v>222</v>
      </c>
      <c r="G83" s="24" t="s">
        <v>533</v>
      </c>
      <c r="H83" s="25" t="s">
        <v>301</v>
      </c>
      <c r="I83" s="24" t="s">
        <v>505</v>
      </c>
      <c r="J83" s="24" t="s">
        <v>395</v>
      </c>
      <c r="K83" s="25">
        <v>5</v>
      </c>
      <c r="L83" s="24">
        <f t="shared" ref="L83" si="36">K83*5</f>
        <v>25</v>
      </c>
      <c r="M83" s="25">
        <v>100</v>
      </c>
      <c r="N83" s="24"/>
    </row>
    <row r="84" spans="1:14" ht="24.75" thickBot="1" x14ac:dyDescent="0.3">
      <c r="A84" s="1"/>
      <c r="B84" s="29">
        <f>ROW(B84) - ROW($B$9)</f>
        <v>75</v>
      </c>
      <c r="C84" s="37" t="s">
        <v>12</v>
      </c>
      <c r="D84" s="22" t="s">
        <v>85</v>
      </c>
      <c r="E84" s="39" t="s">
        <v>437</v>
      </c>
      <c r="F84" s="23" t="s">
        <v>222</v>
      </c>
      <c r="G84" s="22" t="s">
        <v>285</v>
      </c>
      <c r="H84" s="23" t="s">
        <v>301</v>
      </c>
      <c r="I84" s="22" t="s">
        <v>506</v>
      </c>
      <c r="J84" s="22" t="s">
        <v>398</v>
      </c>
      <c r="K84" s="23">
        <v>2</v>
      </c>
      <c r="L84" s="22">
        <f>K84*5</f>
        <v>10</v>
      </c>
      <c r="M84" s="47">
        <v>100</v>
      </c>
      <c r="N84" s="22"/>
    </row>
    <row r="85" spans="1:14" ht="24.75" thickBot="1" x14ac:dyDescent="0.3">
      <c r="A85" s="1"/>
      <c r="B85" s="29">
        <f t="shared" si="0"/>
        <v>76</v>
      </c>
      <c r="C85" s="38" t="s">
        <v>12</v>
      </c>
      <c r="D85" s="24" t="s">
        <v>86</v>
      </c>
      <c r="E85" s="24" t="s">
        <v>173</v>
      </c>
      <c r="F85" s="25" t="s">
        <v>223</v>
      </c>
      <c r="G85" s="24" t="s">
        <v>286</v>
      </c>
      <c r="H85" s="25" t="s">
        <v>301</v>
      </c>
      <c r="I85" s="24" t="s">
        <v>359</v>
      </c>
      <c r="J85" s="24" t="s">
        <v>399</v>
      </c>
      <c r="K85" s="25">
        <v>2</v>
      </c>
      <c r="L85" s="24">
        <f t="shared" ref="L85" si="37">K85*5</f>
        <v>10</v>
      </c>
      <c r="M85" s="25">
        <v>100</v>
      </c>
      <c r="N85" s="24"/>
    </row>
    <row r="86" spans="1:14" ht="24.75" thickBot="1" x14ac:dyDescent="0.3">
      <c r="A86" s="1"/>
      <c r="B86" s="29">
        <f>ROW(B86) - ROW($B$9)</f>
        <v>77</v>
      </c>
      <c r="C86" s="37" t="s">
        <v>12</v>
      </c>
      <c r="D86" s="22" t="s">
        <v>87</v>
      </c>
      <c r="E86" s="39" t="s">
        <v>174</v>
      </c>
      <c r="F86" s="23" t="s">
        <v>226</v>
      </c>
      <c r="G86" s="22" t="s">
        <v>438</v>
      </c>
      <c r="H86" s="23" t="s">
        <v>332</v>
      </c>
      <c r="I86" s="22" t="s">
        <v>507</v>
      </c>
      <c r="J86" s="22" t="s">
        <v>400</v>
      </c>
      <c r="K86" s="23">
        <v>2</v>
      </c>
      <c r="L86" s="22">
        <f>K86*5</f>
        <v>10</v>
      </c>
      <c r="M86" s="47">
        <v>50</v>
      </c>
      <c r="N86" s="22"/>
    </row>
    <row r="87" spans="1:14" ht="24.75" thickBot="1" x14ac:dyDescent="0.3">
      <c r="A87" s="1"/>
      <c r="B87" s="29">
        <f t="shared" si="0"/>
        <v>78</v>
      </c>
      <c r="C87" s="38" t="s">
        <v>12</v>
      </c>
      <c r="D87" s="24" t="s">
        <v>88</v>
      </c>
      <c r="E87" s="24" t="s">
        <v>439</v>
      </c>
      <c r="F87" s="25" t="s">
        <v>222</v>
      </c>
      <c r="G87" s="24" t="s">
        <v>287</v>
      </c>
      <c r="H87" s="25" t="s">
        <v>301</v>
      </c>
      <c r="I87" s="24" t="s">
        <v>508</v>
      </c>
      <c r="J87" s="24" t="s">
        <v>401</v>
      </c>
      <c r="K87" s="25">
        <v>2</v>
      </c>
      <c r="L87" s="24">
        <f t="shared" ref="L87" si="38">K87*5</f>
        <v>10</v>
      </c>
      <c r="M87" s="25">
        <v>100</v>
      </c>
      <c r="N87" s="24"/>
    </row>
    <row r="88" spans="1:14" ht="24.75" thickBot="1" x14ac:dyDescent="0.3">
      <c r="A88" s="1"/>
      <c r="B88" s="29">
        <f>ROW(B88) - ROW($B$9)</f>
        <v>79</v>
      </c>
      <c r="C88" s="37" t="s">
        <v>12</v>
      </c>
      <c r="D88" s="22" t="s">
        <v>89</v>
      </c>
      <c r="E88" s="39" t="s">
        <v>175</v>
      </c>
      <c r="F88" s="23" t="s">
        <v>223</v>
      </c>
      <c r="G88" s="22" t="s">
        <v>288</v>
      </c>
      <c r="H88" s="23" t="s">
        <v>301</v>
      </c>
      <c r="I88" s="22" t="s">
        <v>509</v>
      </c>
      <c r="J88" s="22" t="s">
        <v>402</v>
      </c>
      <c r="K88" s="23">
        <v>1</v>
      </c>
      <c r="L88" s="22">
        <f>K88*5</f>
        <v>5</v>
      </c>
      <c r="M88" s="47">
        <v>50</v>
      </c>
      <c r="N88" s="22"/>
    </row>
    <row r="89" spans="1:14" ht="24.75" thickBot="1" x14ac:dyDescent="0.3">
      <c r="A89" s="1"/>
      <c r="B89" s="29">
        <f t="shared" si="0"/>
        <v>80</v>
      </c>
      <c r="C89" s="38" t="s">
        <v>12</v>
      </c>
      <c r="D89" s="24" t="s">
        <v>90</v>
      </c>
      <c r="E89" s="24" t="s">
        <v>176</v>
      </c>
      <c r="F89" s="25" t="s">
        <v>223</v>
      </c>
      <c r="G89" s="24" t="s">
        <v>289</v>
      </c>
      <c r="H89" s="25" t="s">
        <v>301</v>
      </c>
      <c r="I89" s="24" t="s">
        <v>510</v>
      </c>
      <c r="J89" s="24" t="s">
        <v>403</v>
      </c>
      <c r="K89" s="25">
        <v>1</v>
      </c>
      <c r="L89" s="24">
        <f t="shared" ref="L89:L90" si="39">K89*5</f>
        <v>5</v>
      </c>
      <c r="M89" s="25">
        <v>20</v>
      </c>
      <c r="N89" s="24"/>
    </row>
    <row r="90" spans="1:14" ht="72.75" thickBot="1" x14ac:dyDescent="0.3">
      <c r="A90" s="1"/>
      <c r="B90" s="29">
        <f>ROW(B90) - ROW($B$9)</f>
        <v>81</v>
      </c>
      <c r="C90" s="44" t="s">
        <v>227</v>
      </c>
      <c r="D90" s="40" t="s">
        <v>91</v>
      </c>
      <c r="E90" s="40" t="s">
        <v>177</v>
      </c>
      <c r="F90" s="45" t="s">
        <v>407</v>
      </c>
      <c r="G90" s="40" t="s">
        <v>227</v>
      </c>
      <c r="H90" s="45" t="s">
        <v>420</v>
      </c>
      <c r="I90" s="40" t="s">
        <v>420</v>
      </c>
      <c r="J90" s="40" t="s">
        <v>420</v>
      </c>
      <c r="K90" s="45">
        <v>42</v>
      </c>
      <c r="L90" s="40">
        <f t="shared" si="39"/>
        <v>210</v>
      </c>
      <c r="M90" s="48" t="s">
        <v>420</v>
      </c>
      <c r="N90" s="61" t="s">
        <v>524</v>
      </c>
    </row>
    <row r="91" spans="1:14" ht="24.75" thickBot="1" x14ac:dyDescent="0.3">
      <c r="A91" s="1"/>
      <c r="B91" s="29">
        <f t="shared" si="0"/>
        <v>82</v>
      </c>
      <c r="C91" s="38" t="s">
        <v>440</v>
      </c>
      <c r="D91" s="24" t="s">
        <v>92</v>
      </c>
      <c r="E91" s="24" t="s">
        <v>178</v>
      </c>
      <c r="F91" s="25" t="s">
        <v>407</v>
      </c>
      <c r="G91" s="24" t="s">
        <v>534</v>
      </c>
      <c r="H91" s="25" t="s">
        <v>333</v>
      </c>
      <c r="I91" s="24" t="s">
        <v>511</v>
      </c>
      <c r="J91" s="24" t="s">
        <v>420</v>
      </c>
      <c r="K91" s="25">
        <v>7</v>
      </c>
      <c r="L91" s="24">
        <f>K91*5</f>
        <v>35</v>
      </c>
      <c r="M91" s="25">
        <v>40</v>
      </c>
      <c r="N91" s="24"/>
    </row>
    <row r="92" spans="1:14" ht="24.75" thickBot="1" x14ac:dyDescent="0.3">
      <c r="A92" s="1"/>
      <c r="B92" s="29">
        <f>ROW(B92) - ROW($B$9)</f>
        <v>83</v>
      </c>
      <c r="C92" s="37" t="s">
        <v>441</v>
      </c>
      <c r="D92" s="22" t="s">
        <v>93</v>
      </c>
      <c r="E92" s="39" t="s">
        <v>179</v>
      </c>
      <c r="F92" s="23" t="s">
        <v>228</v>
      </c>
      <c r="G92" s="22" t="s">
        <v>290</v>
      </c>
      <c r="H92" s="23" t="s">
        <v>334</v>
      </c>
      <c r="I92" s="22" t="s">
        <v>420</v>
      </c>
      <c r="J92" s="22" t="s">
        <v>420</v>
      </c>
      <c r="K92" s="23">
        <v>2</v>
      </c>
      <c r="L92" s="22">
        <f t="shared" ref="L92" si="40">K92*5</f>
        <v>10</v>
      </c>
      <c r="M92" s="47">
        <v>11</v>
      </c>
      <c r="N92" s="22"/>
    </row>
    <row r="93" spans="1:14" ht="60.75" thickBot="1" x14ac:dyDescent="0.3">
      <c r="A93" s="1"/>
      <c r="B93" s="29">
        <f t="shared" si="0"/>
        <v>84</v>
      </c>
      <c r="C93" s="38" t="s">
        <v>441</v>
      </c>
      <c r="D93" s="24" t="s">
        <v>94</v>
      </c>
      <c r="E93" s="24" t="s">
        <v>180</v>
      </c>
      <c r="F93" s="25" t="s">
        <v>228</v>
      </c>
      <c r="G93" s="24" t="s">
        <v>291</v>
      </c>
      <c r="H93" s="25" t="s">
        <v>335</v>
      </c>
      <c r="I93" s="24" t="s">
        <v>512</v>
      </c>
      <c r="J93" s="24" t="s">
        <v>420</v>
      </c>
      <c r="K93" s="25">
        <v>1</v>
      </c>
      <c r="L93" s="24">
        <f>K93*5</f>
        <v>5</v>
      </c>
      <c r="M93" s="25">
        <v>6</v>
      </c>
      <c r="N93" s="24"/>
    </row>
    <row r="94" spans="1:14" ht="24.75" thickBot="1" x14ac:dyDescent="0.3">
      <c r="A94" s="1"/>
      <c r="B94" s="29">
        <f>ROW(B94) - ROW($B$9)</f>
        <v>85</v>
      </c>
      <c r="C94" s="37" t="s">
        <v>441</v>
      </c>
      <c r="D94" s="22" t="s">
        <v>95</v>
      </c>
      <c r="E94" s="39" t="s">
        <v>181</v>
      </c>
      <c r="F94" s="23" t="s">
        <v>229</v>
      </c>
      <c r="G94" s="22" t="s">
        <v>292</v>
      </c>
      <c r="H94" s="23" t="s">
        <v>335</v>
      </c>
      <c r="I94" s="22" t="s">
        <v>513</v>
      </c>
      <c r="J94" s="22" t="s">
        <v>420</v>
      </c>
      <c r="K94" s="23">
        <v>1</v>
      </c>
      <c r="L94" s="22">
        <f t="shared" ref="L94" si="41">K94*5</f>
        <v>5</v>
      </c>
      <c r="M94" s="47">
        <v>6</v>
      </c>
      <c r="N94" s="22"/>
    </row>
    <row r="95" spans="1:14" ht="24.75" thickBot="1" x14ac:dyDescent="0.3">
      <c r="A95" s="1"/>
      <c r="B95" s="29">
        <f t="shared" si="0"/>
        <v>86</v>
      </c>
      <c r="C95" s="38" t="s">
        <v>441</v>
      </c>
      <c r="D95" s="24" t="s">
        <v>96</v>
      </c>
      <c r="E95" s="24" t="s">
        <v>182</v>
      </c>
      <c r="F95" s="25" t="s">
        <v>230</v>
      </c>
      <c r="G95" s="24" t="s">
        <v>293</v>
      </c>
      <c r="H95" s="25" t="s">
        <v>336</v>
      </c>
      <c r="I95" s="24" t="s">
        <v>514</v>
      </c>
      <c r="J95" s="24" t="s">
        <v>420</v>
      </c>
      <c r="K95" s="25">
        <v>1</v>
      </c>
      <c r="L95" s="24">
        <f>K95*5</f>
        <v>5</v>
      </c>
      <c r="M95" s="25">
        <v>6</v>
      </c>
      <c r="N95" s="24"/>
    </row>
    <row r="96" spans="1:14" ht="24.75" thickBot="1" x14ac:dyDescent="0.3">
      <c r="A96" s="1"/>
      <c r="B96" s="29">
        <f>ROW(B96) - ROW($B$9)</f>
        <v>87</v>
      </c>
      <c r="C96" s="37" t="s">
        <v>441</v>
      </c>
      <c r="D96" s="22" t="s">
        <v>97</v>
      </c>
      <c r="E96" s="39" t="s">
        <v>183</v>
      </c>
      <c r="F96" s="23" t="s">
        <v>228</v>
      </c>
      <c r="G96" s="22" t="s">
        <v>294</v>
      </c>
      <c r="H96" s="23" t="s">
        <v>307</v>
      </c>
      <c r="I96" s="22" t="s">
        <v>420</v>
      </c>
      <c r="J96" s="22" t="s">
        <v>420</v>
      </c>
      <c r="K96" s="23">
        <v>1</v>
      </c>
      <c r="L96" s="22">
        <f t="shared" ref="L96" si="42">K96*5</f>
        <v>5</v>
      </c>
      <c r="M96" s="47">
        <v>6</v>
      </c>
      <c r="N96" s="22"/>
    </row>
    <row r="97" spans="1:14" ht="24.75" thickBot="1" x14ac:dyDescent="0.3">
      <c r="A97" s="1"/>
      <c r="B97" s="29">
        <f t="shared" si="0"/>
        <v>88</v>
      </c>
      <c r="C97" s="38" t="s">
        <v>441</v>
      </c>
      <c r="D97" s="24" t="s">
        <v>98</v>
      </c>
      <c r="E97" s="24" t="s">
        <v>184</v>
      </c>
      <c r="F97" s="25" t="s">
        <v>442</v>
      </c>
      <c r="G97" s="24" t="s">
        <v>231</v>
      </c>
      <c r="H97" s="25" t="s">
        <v>337</v>
      </c>
      <c r="I97" s="24" t="s">
        <v>420</v>
      </c>
      <c r="J97" s="24" t="s">
        <v>420</v>
      </c>
      <c r="K97" s="25">
        <v>1</v>
      </c>
      <c r="L97" s="24">
        <f>K97*5</f>
        <v>5</v>
      </c>
      <c r="M97" s="25">
        <v>6</v>
      </c>
      <c r="N97" s="24"/>
    </row>
    <row r="98" spans="1:14" ht="48.75" thickBot="1" x14ac:dyDescent="0.3">
      <c r="A98" s="1"/>
      <c r="B98" s="29">
        <f>ROW(B98) - ROW($B$9)</f>
        <v>89</v>
      </c>
      <c r="C98" s="37" t="s">
        <v>441</v>
      </c>
      <c r="D98" s="22" t="s">
        <v>99</v>
      </c>
      <c r="E98" s="39" t="s">
        <v>185</v>
      </c>
      <c r="F98" s="23" t="s">
        <v>443</v>
      </c>
      <c r="G98" s="22" t="s">
        <v>232</v>
      </c>
      <c r="H98" s="23" t="s">
        <v>338</v>
      </c>
      <c r="I98" s="22" t="s">
        <v>515</v>
      </c>
      <c r="J98" s="22" t="s">
        <v>420</v>
      </c>
      <c r="K98" s="23">
        <v>4</v>
      </c>
      <c r="L98" s="22">
        <f t="shared" ref="L98" si="43">K98*5</f>
        <v>20</v>
      </c>
      <c r="M98" s="47">
        <v>25</v>
      </c>
      <c r="N98" s="22"/>
    </row>
    <row r="99" spans="1:14" ht="24.75" thickBot="1" x14ac:dyDescent="0.3">
      <c r="A99" s="1"/>
      <c r="B99" s="29">
        <f t="shared" si="0"/>
        <v>90</v>
      </c>
      <c r="C99" s="38" t="s">
        <v>441</v>
      </c>
      <c r="D99" s="24" t="s">
        <v>100</v>
      </c>
      <c r="E99" s="24" t="s">
        <v>186</v>
      </c>
      <c r="F99" s="25" t="s">
        <v>233</v>
      </c>
      <c r="G99" s="24" t="s">
        <v>295</v>
      </c>
      <c r="H99" s="25" t="s">
        <v>335</v>
      </c>
      <c r="I99" s="24" t="s">
        <v>516</v>
      </c>
      <c r="J99" s="24" t="s">
        <v>420</v>
      </c>
      <c r="K99" s="25">
        <v>3</v>
      </c>
      <c r="L99" s="24">
        <f>K99*5</f>
        <v>15</v>
      </c>
      <c r="M99" s="25">
        <v>20</v>
      </c>
      <c r="N99" s="24"/>
    </row>
    <row r="100" spans="1:14" ht="24.75" thickBot="1" x14ac:dyDescent="0.3">
      <c r="A100" s="1"/>
      <c r="B100" s="29">
        <f>ROW(B100) - ROW($B$9)</f>
        <v>91</v>
      </c>
      <c r="C100" s="37" t="s">
        <v>441</v>
      </c>
      <c r="D100" s="22" t="s">
        <v>101</v>
      </c>
      <c r="E100" s="39" t="s">
        <v>187</v>
      </c>
      <c r="F100" s="23" t="s">
        <v>234</v>
      </c>
      <c r="G100" s="22" t="s">
        <v>296</v>
      </c>
      <c r="H100" s="23" t="s">
        <v>335</v>
      </c>
      <c r="I100" s="22" t="s">
        <v>517</v>
      </c>
      <c r="J100" s="22" t="s">
        <v>420</v>
      </c>
      <c r="K100" s="23">
        <v>1</v>
      </c>
      <c r="L100" s="22">
        <f t="shared" ref="L100" si="44">K100*5</f>
        <v>5</v>
      </c>
      <c r="M100" s="47">
        <v>6</v>
      </c>
      <c r="N100" s="22"/>
    </row>
    <row r="101" spans="1:14" ht="24.75" thickBot="1" x14ac:dyDescent="0.3">
      <c r="A101" s="1"/>
      <c r="B101" s="29">
        <f t="shared" si="0"/>
        <v>92</v>
      </c>
      <c r="C101" s="38" t="s">
        <v>441</v>
      </c>
      <c r="D101" s="24" t="s">
        <v>102</v>
      </c>
      <c r="E101" s="24" t="s">
        <v>188</v>
      </c>
      <c r="F101" s="25" t="s">
        <v>235</v>
      </c>
      <c r="G101" s="24" t="s">
        <v>297</v>
      </c>
      <c r="H101" s="25" t="s">
        <v>339</v>
      </c>
      <c r="I101" s="24" t="s">
        <v>518</v>
      </c>
      <c r="J101" s="24" t="s">
        <v>420</v>
      </c>
      <c r="K101" s="25">
        <v>1</v>
      </c>
      <c r="L101" s="24">
        <f>K101*5</f>
        <v>5</v>
      </c>
      <c r="M101" s="25">
        <v>6</v>
      </c>
      <c r="N101" s="24"/>
    </row>
    <row r="102" spans="1:14" ht="36.75" thickBot="1" x14ac:dyDescent="0.3">
      <c r="A102" s="1"/>
      <c r="B102" s="29">
        <f>ROW(B102) - ROW($B$9)</f>
        <v>93</v>
      </c>
      <c r="C102" s="37" t="s">
        <v>441</v>
      </c>
      <c r="D102" s="22" t="s">
        <v>103</v>
      </c>
      <c r="E102" s="39" t="s">
        <v>189</v>
      </c>
      <c r="F102" s="23" t="s">
        <v>407</v>
      </c>
      <c r="G102" s="22" t="s">
        <v>236</v>
      </c>
      <c r="H102" s="23" t="s">
        <v>340</v>
      </c>
      <c r="I102" s="22" t="s">
        <v>519</v>
      </c>
      <c r="J102" s="22" t="s">
        <v>420</v>
      </c>
      <c r="K102" s="23">
        <v>1</v>
      </c>
      <c r="L102" s="22">
        <f t="shared" ref="L102" si="45">K102*5</f>
        <v>5</v>
      </c>
      <c r="M102" s="47">
        <v>6</v>
      </c>
      <c r="N102" s="22"/>
    </row>
    <row r="103" spans="1:14" ht="60.75" thickBot="1" x14ac:dyDescent="0.3">
      <c r="A103" s="1"/>
      <c r="B103" s="29">
        <f t="shared" si="0"/>
        <v>94</v>
      </c>
      <c r="C103" s="38" t="s">
        <v>444</v>
      </c>
      <c r="D103" s="24" t="s">
        <v>104</v>
      </c>
      <c r="E103" s="24" t="s">
        <v>190</v>
      </c>
      <c r="F103" s="25" t="s">
        <v>407</v>
      </c>
      <c r="G103" s="24" t="s">
        <v>237</v>
      </c>
      <c r="H103" s="25" t="s">
        <v>341</v>
      </c>
      <c r="I103" s="24" t="s">
        <v>520</v>
      </c>
      <c r="J103" s="24" t="s">
        <v>404</v>
      </c>
      <c r="K103" s="25">
        <v>1</v>
      </c>
      <c r="L103" s="24">
        <f>K103*5</f>
        <v>5</v>
      </c>
      <c r="M103" s="25">
        <v>6</v>
      </c>
      <c r="N103" s="24"/>
    </row>
    <row r="104" spans="1:14" ht="72.75" thickBot="1" x14ac:dyDescent="0.3">
      <c r="A104" s="1"/>
      <c r="B104" s="29">
        <f>ROW(B104) - ROW($B$9)</f>
        <v>95</v>
      </c>
      <c r="C104" s="37" t="s">
        <v>444</v>
      </c>
      <c r="D104" s="22" t="s">
        <v>105</v>
      </c>
      <c r="E104" s="39" t="s">
        <v>191</v>
      </c>
      <c r="F104" s="23" t="s">
        <v>407</v>
      </c>
      <c r="G104" s="22" t="s">
        <v>298</v>
      </c>
      <c r="H104" s="23" t="s">
        <v>342</v>
      </c>
      <c r="I104" s="22" t="s">
        <v>360</v>
      </c>
      <c r="J104" s="22" t="s">
        <v>405</v>
      </c>
      <c r="K104" s="23">
        <v>1</v>
      </c>
      <c r="L104" s="22">
        <f t="shared" ref="L104" si="46">K104*5</f>
        <v>5</v>
      </c>
      <c r="M104" s="47">
        <v>10</v>
      </c>
      <c r="N104" s="22"/>
    </row>
    <row r="105" spans="1:14" ht="60.75" thickBot="1" x14ac:dyDescent="0.3">
      <c r="A105" s="1"/>
      <c r="B105" s="29">
        <f t="shared" si="0"/>
        <v>96</v>
      </c>
      <c r="C105" s="59" t="s">
        <v>444</v>
      </c>
      <c r="D105" s="46" t="s">
        <v>106</v>
      </c>
      <c r="E105" s="46" t="s">
        <v>192</v>
      </c>
      <c r="F105" s="60" t="s">
        <v>407</v>
      </c>
      <c r="G105" s="46" t="s">
        <v>238</v>
      </c>
      <c r="H105" s="60" t="s">
        <v>343</v>
      </c>
      <c r="I105" s="46" t="s">
        <v>521</v>
      </c>
      <c r="J105" s="46" t="s">
        <v>406</v>
      </c>
      <c r="K105" s="60">
        <v>1</v>
      </c>
      <c r="L105" s="46">
        <f>K105*5</f>
        <v>5</v>
      </c>
      <c r="M105" s="60">
        <v>10</v>
      </c>
      <c r="N105" s="46"/>
    </row>
  </sheetData>
  <mergeCells count="2">
    <mergeCell ref="J1:N1"/>
    <mergeCell ref="N3:N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2023-02-21T14:32:20Z</dcterms:modified>
</cp:coreProperties>
</file>