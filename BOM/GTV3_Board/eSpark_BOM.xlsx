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Stanton-WaterMonitor\BOM\GTV3_Board\"/>
    </mc:Choice>
  </mc:AlternateContent>
  <xr:revisionPtr revIDLastSave="0" documentId="13_ncr:1_{8DD7D7FE-7C6A-41D8-B9BE-2FE2CE9C28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Q102" i="1" l="1"/>
  <c r="Q103" i="1" s="1"/>
</calcChain>
</file>

<file path=xl/sharedStrings.xml><?xml version="1.0" encoding="utf-8"?>
<sst xmlns="http://schemas.openxmlformats.org/spreadsheetml/2006/main" count="937" uniqueCount="534">
  <si>
    <t>Component list</t>
  </si>
  <si>
    <t>Source Data From:</t>
  </si>
  <si>
    <t>Project:</t>
  </si>
  <si>
    <t>Variant:</t>
  </si>
  <si>
    <t>#</t>
  </si>
  <si>
    <t>None</t>
  </si>
  <si>
    <t>Designator</t>
  </si>
  <si>
    <t>C1, C4, C17, C21, C23, C24, C31, C43, C58, C61, C63, C65, C67</t>
  </si>
  <si>
    <t>C2, C6, C10, C15, C18, C22, C25, C26, C27, C28, C29, C30, C33, C36, C37, C38, C39, C40, C41, C44, C46, C47, C48, C49, C51, C52, C55, C57, C60, C62, C64, C66, C68, C69, C73, C76</t>
  </si>
  <si>
    <t>C3, C8, C11, C14, C19, C45, C59</t>
  </si>
  <si>
    <t>C5, C7, C12, C13, C16</t>
  </si>
  <si>
    <t>C9</t>
  </si>
  <si>
    <t>C20</t>
  </si>
  <si>
    <t>C32</t>
  </si>
  <si>
    <t>C34, C35, C71, C72</t>
  </si>
  <si>
    <t>C42</t>
  </si>
  <si>
    <t>C50, C54</t>
  </si>
  <si>
    <t>C53, C78</t>
  </si>
  <si>
    <t>C56</t>
  </si>
  <si>
    <t>C70</t>
  </si>
  <si>
    <t>C74</t>
  </si>
  <si>
    <t>C75</t>
  </si>
  <si>
    <t>C77</t>
  </si>
  <si>
    <t>D1</t>
  </si>
  <si>
    <t>D2</t>
  </si>
  <si>
    <t>D3</t>
  </si>
  <si>
    <t>D4, D5</t>
  </si>
  <si>
    <t>D6</t>
  </si>
  <si>
    <t>D7</t>
  </si>
  <si>
    <t>J1</t>
  </si>
  <si>
    <t>J2, J3, J4, J5, J6, J7, J8, J9, J11</t>
  </si>
  <si>
    <t>J10, J12, J13, J16, J17</t>
  </si>
  <si>
    <t>J14</t>
  </si>
  <si>
    <t>J15</t>
  </si>
  <si>
    <t>J18</t>
  </si>
  <si>
    <t>J19</t>
  </si>
  <si>
    <t>L1</t>
  </si>
  <si>
    <t>L2</t>
  </si>
  <si>
    <t>L3</t>
  </si>
  <si>
    <t>L4</t>
  </si>
  <si>
    <t>LED1, LED2, LED3, LED4, LED5, LED6, LED7</t>
  </si>
  <si>
    <t>LED8</t>
  </si>
  <si>
    <t>LS1</t>
  </si>
  <si>
    <t>P1</t>
  </si>
  <si>
    <t>P2, P6</t>
  </si>
  <si>
    <t>P3, P4, P5, P8</t>
  </si>
  <si>
    <t>P13</t>
  </si>
  <si>
    <t>P19, P27, P28</t>
  </si>
  <si>
    <t>P20</t>
  </si>
  <si>
    <t>Q1, Q3, Q4, Q22, Q23, Q25, Q26, Q27, Q28</t>
  </si>
  <si>
    <t>Q2</t>
  </si>
  <si>
    <t>Q5, Q6</t>
  </si>
  <si>
    <t>Q7, Q21</t>
  </si>
  <si>
    <t>Q9, Q10, Q11, Q12, Q13, Q14, Q15, Q16, Q29, Q30</t>
  </si>
  <si>
    <t>Q17, Q24</t>
  </si>
  <si>
    <t>Q19</t>
  </si>
  <si>
    <t>Q20</t>
  </si>
  <si>
    <t>R1</t>
  </si>
  <si>
    <t>R2</t>
  </si>
  <si>
    <t>R3</t>
  </si>
  <si>
    <t>R4, R6, R9, R27, R42, R43, R44, R45, R46, R47, R48, R49, R52, R54, R55, R56, R63, R68, R69, R70, R72, R73, R74, R75, R86, R87, R88, R101, R102, R103, R104, R106</t>
  </si>
  <si>
    <t>R5, R8, R81, R89, R90, R99, R100</t>
  </si>
  <si>
    <t>R7, R10</t>
  </si>
  <si>
    <t>R11</t>
  </si>
  <si>
    <t>R12</t>
  </si>
  <si>
    <t>R13, R23, R35, R36, R38, R76, R77, R79</t>
  </si>
  <si>
    <t>R14, R15, R17</t>
  </si>
  <si>
    <t>R16, R18, R19, R20, R21, R22, R66</t>
  </si>
  <si>
    <t>R24, R25</t>
  </si>
  <si>
    <t>R26, R40, R41, R50, R51, R60, R61, R64, R65, R67, R85, R93, R94</t>
  </si>
  <si>
    <t>R30</t>
  </si>
  <si>
    <t>R31</t>
  </si>
  <si>
    <t>R32</t>
  </si>
  <si>
    <t>R33, R71</t>
  </si>
  <si>
    <t>R37, R39, R78, R80</t>
  </si>
  <si>
    <t>R53</t>
  </si>
  <si>
    <t>R57</t>
  </si>
  <si>
    <t>R58, R59, R62</t>
  </si>
  <si>
    <t>R83, R84</t>
  </si>
  <si>
    <t>R91, R92</t>
  </si>
  <si>
    <t>R95, R96</t>
  </si>
  <si>
    <t>R97, R98</t>
  </si>
  <si>
    <t>R105</t>
  </si>
  <si>
    <t>SB1, SB2, SB3, SB4, SB5, SB6, SB7, SB8, SB9, SB16, SB17, SB18, SB19, SB20, SB21, SB22, SB23, SB24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</si>
  <si>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</si>
  <si>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</si>
  <si>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</si>
  <si>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</si>
  <si>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</si>
  <si>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</si>
  <si>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</si>
  <si>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</si>
  <si>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</si>
  <si>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</si>
  <si>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</si>
  <si>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</si>
  <si>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</si>
  <si>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</si>
  <si>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</si>
  <si>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</si>
  <si>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</si>
  <si>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50V Y5V 0603</t>
  </si>
  <si>
    <t>CAP CER 1UF 25V X5R 0603</t>
  </si>
  <si>
    <t>470uF ±20% 50V 12.5mm 13.5mm 1000hrs 105℃ -40℃~+105℃ SMD,12.5x13.5mm Aluminum Electrolytic Capacitors - SMD RoHS</t>
  </si>
  <si>
    <t>CAP ALUM 100UF 20% 25V SMD</t>
  </si>
  <si>
    <t>CAP CER 470pF 10% X7R 50V 0603 SMD</t>
  </si>
  <si>
    <t>CAP TANT 1UF 20% 25V 0603</t>
  </si>
  <si>
    <t>CAP 30pF NP0 0603 50 V ±5 % SMD</t>
  </si>
  <si>
    <t>Capacitor 10NF 25V 0603 SMD X7R (reel)</t>
  </si>
  <si>
    <t>CAP CER 0.1UF 100V X7R 0603</t>
  </si>
  <si>
    <t>CAP CER 20PF 50V C0G/NPO 0603</t>
  </si>
  <si>
    <t>CAP CER 0.047UF 50V X7R 0603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</si>
  <si>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</si>
  <si>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</si>
  <si>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</si>
  <si>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</si>
  <si>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</si>
  <si>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</si>
  <si>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TVS DIODE 5VWM 9.2VC SMA</t>
  </si>
  <si>
    <t>DIODE SCHOTTKY 45V 10A CFP15</t>
  </si>
  <si>
    <t>SMBJ Series 70 V 600 W Surface Mount Uni-Directional TVS Diode - DO-214AA</t>
  </si>
  <si>
    <t>SCHOTTKY DIODE SMB 100V 5A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</si>
  <si>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</si>
  <si>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</si>
  <si>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</si>
  <si>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</si>
  <si>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</si>
  <si>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</si>
  <si>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</si>
  <si>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</si>
  <si>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</si>
  <si>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</si>
  <si>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</si>
  <si>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</si>
  <si>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</si>
  <si>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</si>
  <si>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</si>
  <si>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</si>
  <si>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</si>
  <si>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</si>
  <si>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</si>
  <si>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</si>
  <si>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</si>
  <si>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</si>
  <si>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</si>
  <si>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</si>
  <si>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</si>
  <si>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</si>
  <si>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</si>
  <si>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</si>
  <si>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</si>
  <si>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10K OHM 5% 1/10W 0603</t>
  </si>
  <si>
    <t>RES 100K OHM 1% 1/10W 0603</t>
  </si>
  <si>
    <t>RES SMD 470K OHM 5% 1/10W 0603</t>
  </si>
  <si>
    <t>100mW Thick Film Resistors 75V ±1% ±100ppm/℃ -55℃~+155℃ 2.21MΩ 0603 Chip Resistor - Surface Mount ROHS</t>
  </si>
  <si>
    <t>RES SMD 6.8K OHM 5% 1/10W 0603</t>
  </si>
  <si>
    <t>RES SMD 3.3K OHM 1% 1/10W 0603</t>
  </si>
  <si>
    <t>RES SMD 680 OHM 1% 1/10W 0603</t>
  </si>
  <si>
    <t>RES SMD 2.2K OHM 1% 1/10W 0603</t>
  </si>
  <si>
    <t>RES SMD 47OHM 0.1W 0603</t>
  </si>
  <si>
    <t>RES SMD 1K OHM 1% 1/10W 0603</t>
  </si>
  <si>
    <t>100mW ±1% 13.7kΩ 0603 Chip Resistor - Surface Mount ROHS</t>
  </si>
  <si>
    <t>RES SMD 1.5K OHM 1% 1/10W 0603</t>
  </si>
  <si>
    <t>Res Thick Film 0603 69.8K Ohm 1% 0.1W(1/10W) ±100ppm/C Pad SMD Automotive T/R</t>
  </si>
  <si>
    <t>RES SMD 49.9K OHM 1% 1/10W 0603</t>
  </si>
  <si>
    <t>RES SMD 2K OHM 1% 1/10W 0603</t>
  </si>
  <si>
    <t>RES SMD 20K OHM 1% 1/5W 0402</t>
  </si>
  <si>
    <t>RES SMD 0R, 1%, 0.1W, 0603</t>
  </si>
  <si>
    <t>RES SMD 4.7K OHM 1% 1/10W 0603</t>
  </si>
  <si>
    <t>RES SMD 200K OHM 1% 1/10W 0603</t>
  </si>
  <si>
    <t>Res SMD 0603 1M Ohm 1% 1/10W ±100ppm/°C Molded SMD Paper T/R</t>
  </si>
  <si>
    <t>RES SMD 50K ±0.5% ±25ppm/℃ 0805</t>
  </si>
  <si>
    <t>Res SMD 0603 150K Ohm 1% 0.1W(1/10W) ±100ppm/C Pad SMD T/R</t>
  </si>
  <si>
    <t>RES SMD 100K OHM 5% 1/5W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</si>
  <si>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</si>
  <si>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</si>
  <si>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</si>
  <si>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</si>
  <si>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</si>
  <si>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</si>
  <si>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</si>
  <si>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</si>
  <si>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</si>
  <si>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</si>
  <si>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</si>
  <si>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</si>
  <si>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</si>
  <si>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CRYSTAL 8.0000MHZ 18PF SMD</t>
  </si>
  <si>
    <t>13.52127MHz SMD Crystal Resonator 20pF 80Ω ±10ppm ±30ppm -40℃~+85℃ SMD3225-4P Crystals ROHS</t>
  </si>
  <si>
    <t>32.768kHz SMD Crystal Resonator 12.5pF ±20ppm -40℃~+85℃ SMD3215-2P Crystals ROHS</t>
  </si>
  <si>
    <t>Footprint</t>
  </si>
  <si>
    <t>RVT1E100M0405.</t>
  </si>
  <si>
    <t>Cap0603</t>
  </si>
  <si>
    <t>VT1H471MI135000CE0</t>
  </si>
  <si>
    <t>UWX1E101MCL1GB</t>
  </si>
  <si>
    <t>F981E105MMA</t>
  </si>
  <si>
    <t>SMA</t>
  </si>
  <si>
    <t>PMEG045V100EPD</t>
  </si>
  <si>
    <t>SMB</t>
  </si>
  <si>
    <t>SS510B</t>
  </si>
  <si>
    <t>FTSH-105-01-L-DV-K-TR</t>
  </si>
  <si>
    <t>TBP01R1-508-02BE</t>
  </si>
  <si>
    <t>TBP01R1-508-03BE</t>
  </si>
  <si>
    <t>TBP01R1-508-04BE</t>
  </si>
  <si>
    <t>HJ-SMA508</t>
  </si>
  <si>
    <t>DW254W-11-04-85</t>
  </si>
  <si>
    <t>10118194-0001LF</t>
  </si>
  <si>
    <t>Ind0805</t>
  </si>
  <si>
    <t>SLF12575T-221M1R3-PF</t>
  </si>
  <si>
    <t>IND 0402</t>
  </si>
  <si>
    <t>IND 0603</t>
  </si>
  <si>
    <t>LED 0402</t>
  </si>
  <si>
    <t>YS-SBZ9032C03R16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</si>
  <si>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</si>
  <si>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</si>
  <si>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</si>
  <si>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</si>
  <si>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</si>
  <si>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</si>
  <si>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</si>
  <si>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</si>
  <si>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RU6085H</t>
  </si>
  <si>
    <t>RES-0603</t>
  </si>
  <si>
    <t>Res0402</t>
  </si>
  <si>
    <t>RES 0805</t>
  </si>
  <si>
    <t>Res0603</t>
  </si>
  <si>
    <t>Solder Bridge</t>
  </si>
  <si>
    <t>TL3300CF160Q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</si>
  <si>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</si>
  <si>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</si>
  <si>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</si>
  <si>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</si>
  <si>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</si>
  <si>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</si>
  <si>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</si>
  <si>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</si>
  <si>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</si>
  <si>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9C-8.000MEEJ-T</t>
  </si>
  <si>
    <t>SX3B13.52127F2010F30</t>
  </si>
  <si>
    <t>X321532768KGD2SI</t>
  </si>
  <si>
    <t>Manufacturer Part Number</t>
  </si>
  <si>
    <t>CC0603ZRY5V9BB104</t>
  </si>
  <si>
    <t>CC0603KRX5R8BB105</t>
  </si>
  <si>
    <t>CC0603KRX7R9BB471</t>
  </si>
  <si>
    <t>CC0603JRNPO9BN300</t>
  </si>
  <si>
    <t>CC0603KRX7R8BB103</t>
  </si>
  <si>
    <t>CC0603KRX7R0BB104</t>
  </si>
  <si>
    <t>CC0603JRNPO9BN200</t>
  </si>
  <si>
    <t>C0603C473K5RACAUTO</t>
  </si>
  <si>
    <t>UMK107B7474KA-TR</t>
  </si>
  <si>
    <t>CC0603CRNPO9BN1R2</t>
  </si>
  <si>
    <t>UMK107BBJ225MA-T</t>
  </si>
  <si>
    <t>CC0603CRNPO9BN1R5</t>
  </si>
  <si>
    <t>1SMA5930BT3G</t>
  </si>
  <si>
    <t>SMAJ5.0CA</t>
  </si>
  <si>
    <t>SMBT70A-13-F</t>
  </si>
  <si>
    <t>LQW15AN39NG80D</t>
  </si>
  <si>
    <t>HSC0603-33NJ-T</t>
  </si>
  <si>
    <t>XZMDK68W-2</t>
  </si>
  <si>
    <t>ALS-PT19-315C/L177/TR8</t>
  </si>
  <si>
    <t>PPTC082LFBN-RC</t>
  </si>
  <si>
    <t>DMN13H750S-7</t>
  </si>
  <si>
    <t>IRLML2502TRPBF</t>
  </si>
  <si>
    <t>IRF3205STRLPBF</t>
  </si>
  <si>
    <t>IRLML6402TRPBF</t>
  </si>
  <si>
    <t>BC847B,215</t>
  </si>
  <si>
    <t>BC857C,215</t>
  </si>
  <si>
    <t>MMBT5551LT1G</t>
  </si>
  <si>
    <t>AC0603FR-073K6L</t>
  </si>
  <si>
    <t>RC0603FR-071K2L</t>
  </si>
  <si>
    <t>AC0603JR-0710KL</t>
  </si>
  <si>
    <t>RC0603FR-07100KL</t>
  </si>
  <si>
    <t>AC0603JR-07470KL</t>
  </si>
  <si>
    <t>0603WAF2214T5E</t>
  </si>
  <si>
    <t>CRCW06036K80JNEA</t>
  </si>
  <si>
    <t>RC0603FR-073K3L</t>
  </si>
  <si>
    <t>RC0603FR-07680RL</t>
  </si>
  <si>
    <t>RC0603FR-072K2L</t>
  </si>
  <si>
    <t>RC0603FR-0747RL</t>
  </si>
  <si>
    <t>RC0603FR-071KL</t>
  </si>
  <si>
    <t>RMC060313.7K1%N</t>
  </si>
  <si>
    <t>AC0603FR-0769K8L</t>
  </si>
  <si>
    <t>AC0603FR-0749K9L</t>
  </si>
  <si>
    <t>RC0603FR-072KL</t>
  </si>
  <si>
    <t>CRCW040220K0FKEDHP</t>
  </si>
  <si>
    <t>RC0603FR-070RL</t>
  </si>
  <si>
    <t>RC0603FR-074K7L</t>
  </si>
  <si>
    <t>RC0603FR-07200KL</t>
  </si>
  <si>
    <t>RC0603FR-071ML</t>
  </si>
  <si>
    <t>RC0603FR-07150KL</t>
  </si>
  <si>
    <t>CRGH0603J100K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</si>
  <si>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</si>
  <si>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</si>
  <si>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</si>
  <si>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</si>
  <si>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</si>
  <si>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</si>
  <si>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</si>
  <si>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</si>
  <si>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Manufacturer</t>
  </si>
  <si>
    <t>ROQANG</t>
  </si>
  <si>
    <t>Yageo</t>
  </si>
  <si>
    <t>Changzhou Huawei Elec</t>
  </si>
  <si>
    <t>Nichicon</t>
  </si>
  <si>
    <t>Kyocera AVX</t>
  </si>
  <si>
    <t>KEMET</t>
  </si>
  <si>
    <t>Taiyo Yuden</t>
  </si>
  <si>
    <t>ON Semiconductor</t>
  </si>
  <si>
    <t>Diodes</t>
  </si>
  <si>
    <t>MDD</t>
  </si>
  <si>
    <t>Samtec</t>
  </si>
  <si>
    <t>CUI Devices</t>
  </si>
  <si>
    <t>HJ Tech</t>
  </si>
  <si>
    <t>DEALON</t>
  </si>
  <si>
    <t>Amphenol FCI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</si>
  <si>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</si>
  <si>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</si>
  <si>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</si>
  <si>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</si>
  <si>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</si>
  <si>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</si>
  <si>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</si>
  <si>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</si>
  <si>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Infineon</t>
  </si>
  <si>
    <t>Nexperia</t>
  </si>
  <si>
    <t>Shenzhen</t>
  </si>
  <si>
    <t>RALEC</t>
  </si>
  <si>
    <t>UNI-ROYAL</t>
  </si>
  <si>
    <t>Vishay Dale</t>
  </si>
  <si>
    <t>Yageo Phycomp</t>
  </si>
  <si>
    <t>TyoHM</t>
  </si>
  <si>
    <t>Viking Tech</t>
  </si>
  <si>
    <t>TE Connectivity</t>
  </si>
  <si>
    <t>E-Switch</t>
  </si>
  <si>
    <t>Allegro MicroSystems</t>
  </si>
  <si>
    <t>Texas Instruments</t>
  </si>
  <si>
    <t>STMicroelectronics</t>
  </si>
  <si>
    <t>Analog Devices / Linear Technology</t>
  </si>
  <si>
    <t>Microchip</t>
  </si>
  <si>
    <t>Senba</t>
  </si>
  <si>
    <t>Yangxing Tech</t>
  </si>
  <si>
    <t>10uF</t>
  </si>
  <si>
    <t>0.1uF</t>
  </si>
  <si>
    <t>1uF</t>
  </si>
  <si>
    <t>470uF</t>
  </si>
  <si>
    <t>100uF</t>
  </si>
  <si>
    <t>470pF</t>
  </si>
  <si>
    <t>30pF</t>
  </si>
  <si>
    <t>10nF</t>
  </si>
  <si>
    <t>20pF</t>
  </si>
  <si>
    <t>47nF</t>
  </si>
  <si>
    <t>0.47uF</t>
  </si>
  <si>
    <t>1.2pF</t>
  </si>
  <si>
    <t>2.2uF</t>
  </si>
  <si>
    <t>1.5pF</t>
  </si>
  <si>
    <t>SS24A</t>
  </si>
  <si>
    <t>10uH</t>
  </si>
  <si>
    <t>220uH</t>
  </si>
  <si>
    <t>39nH</t>
  </si>
  <si>
    <t>33nH</t>
  </si>
  <si>
    <t>Test Point</t>
  </si>
  <si>
    <t>3.6K</t>
  </si>
  <si>
    <t>1.2k</t>
  </si>
  <si>
    <t>0.33R</t>
  </si>
  <si>
    <t>10K</t>
  </si>
  <si>
    <t>100K</t>
  </si>
  <si>
    <t>470K</t>
  </si>
  <si>
    <t>2.21M</t>
  </si>
  <si>
    <t>6.8K</t>
  </si>
  <si>
    <t>3.3K</t>
  </si>
  <si>
    <t>680R</t>
  </si>
  <si>
    <t>2.2K</t>
  </si>
  <si>
    <t>47R</t>
  </si>
  <si>
    <t>1K</t>
  </si>
  <si>
    <t>13.7K</t>
  </si>
  <si>
    <t>69.8K</t>
  </si>
  <si>
    <t>49.9K</t>
  </si>
  <si>
    <t>2K</t>
  </si>
  <si>
    <t>20K</t>
  </si>
  <si>
    <t>0R</t>
  </si>
  <si>
    <t>4.7K</t>
  </si>
  <si>
    <t>200K</t>
  </si>
  <si>
    <t>1M</t>
  </si>
  <si>
    <t>50K</t>
  </si>
  <si>
    <t>150K</t>
  </si>
  <si>
    <t>13.52127MHz</t>
  </si>
  <si>
    <t>32.768kHz</t>
  </si>
  <si>
    <t>Quantity</t>
  </si>
  <si>
    <t>Capacitor</t>
  </si>
  <si>
    <t>Diode</t>
  </si>
  <si>
    <t>Connector</t>
  </si>
  <si>
    <t>Terminal Block</t>
  </si>
  <si>
    <t>Header</t>
  </si>
  <si>
    <t>Inductor</t>
  </si>
  <si>
    <t>LED</t>
  </si>
  <si>
    <t>Buzzer</t>
  </si>
  <si>
    <t>Mosfet</t>
  </si>
  <si>
    <t>Resistor</t>
  </si>
  <si>
    <t>Switch</t>
  </si>
  <si>
    <t>IC</t>
  </si>
  <si>
    <t>Crystal</t>
  </si>
  <si>
    <t>Item Type</t>
  </si>
  <si>
    <t>Alternate Part Number</t>
  </si>
  <si>
    <t>LCSC/Part Number</t>
  </si>
  <si>
    <t>Quantity/5 Boards</t>
  </si>
  <si>
    <t>LCSC/MOQ/5 Boards</t>
  </si>
  <si>
    <t>Links</t>
  </si>
  <si>
    <t>Unit Cost/5 Boards</t>
  </si>
  <si>
    <t>Total Cost/5 Boards</t>
  </si>
  <si>
    <t>Remarks</t>
  </si>
  <si>
    <t>Reviewer Remarks</t>
  </si>
  <si>
    <t>Custom</t>
  </si>
  <si>
    <t>8MSOP</t>
  </si>
  <si>
    <t>-</t>
  </si>
  <si>
    <t>--</t>
  </si>
  <si>
    <t>Value</t>
  </si>
  <si>
    <t>C72484</t>
  </si>
  <si>
    <t>LCSC</t>
  </si>
  <si>
    <t>C106221</t>
  </si>
  <si>
    <t>C14664</t>
  </si>
  <si>
    <t>C191227</t>
  </si>
  <si>
    <t>C125982</t>
  </si>
  <si>
    <t>C107092</t>
  </si>
  <si>
    <t>C113797</t>
  </si>
  <si>
    <t>C327204</t>
  </si>
  <si>
    <t>C113803</t>
  </si>
  <si>
    <t>C105621</t>
  </si>
  <si>
    <t>C129629</t>
  </si>
  <si>
    <t>C92847</t>
  </si>
  <si>
    <t>C281768</t>
  </si>
  <si>
    <t>C163551</t>
  </si>
  <si>
    <t>C128848</t>
  </si>
  <si>
    <t>C552777</t>
  </si>
  <si>
    <t>C1509209</t>
  </si>
  <si>
    <t>C2935994</t>
  </si>
  <si>
    <t>C132563</t>
  </si>
  <si>
    <t>C93225</t>
  </si>
  <si>
    <t>C269823</t>
  </si>
  <si>
    <t>C251779</t>
  </si>
  <si>
    <t>C146233</t>
  </si>
  <si>
    <t>C409828</t>
  </si>
  <si>
    <t>C156273</t>
  </si>
  <si>
    <t>C2613</t>
  </si>
  <si>
    <t>C57668</t>
  </si>
  <si>
    <t>C8666</t>
  </si>
  <si>
    <t>C41095</t>
  </si>
  <si>
    <t>C181990</t>
  </si>
  <si>
    <t>C144660</t>
  </si>
  <si>
    <t>C114605</t>
  </si>
  <si>
    <t>C140867</t>
  </si>
  <si>
    <t>C14675</t>
  </si>
  <si>
    <t>C144601</t>
  </si>
  <si>
    <t>C422956</t>
  </si>
  <si>
    <t>C108078</t>
  </si>
  <si>
    <t>C112310</t>
  </si>
  <si>
    <t>C114662</t>
  </si>
  <si>
    <t>C114623</t>
  </si>
  <si>
    <t>C22548</t>
  </si>
  <si>
    <t>C325658</t>
  </si>
  <si>
    <t>C228019</t>
  </si>
  <si>
    <t>C144654</t>
  </si>
  <si>
    <t>C105576</t>
  </si>
  <si>
    <t>C100044</t>
  </si>
  <si>
    <t>C99782</t>
  </si>
  <si>
    <t>C105574</t>
  </si>
  <si>
    <t>C105578</t>
  </si>
  <si>
    <t>C114660</t>
  </si>
  <si>
    <t>C273516</t>
  </si>
  <si>
    <t>C201952</t>
  </si>
  <si>
    <t>C713240</t>
  </si>
  <si>
    <t>C100024</t>
  </si>
  <si>
    <t>C33002</t>
  </si>
  <si>
    <t>C219772</t>
  </si>
  <si>
    <t>C90465</t>
  </si>
  <si>
    <t>C2901658</t>
  </si>
  <si>
    <t>C620155</t>
  </si>
  <si>
    <t>RTT03R330FTP</t>
  </si>
  <si>
    <t>C103893</t>
  </si>
  <si>
    <t>UMK107BBJ225KA-T</t>
  </si>
  <si>
    <t>C268016</t>
  </si>
  <si>
    <t>C3035843</t>
  </si>
  <si>
    <t xml:space="preserve">PAKER </t>
  </si>
  <si>
    <t xml:space="preserve">GOODWORK </t>
  </si>
  <si>
    <t>C908809</t>
  </si>
  <si>
    <t xml:space="preserve">Nexperia </t>
  </si>
  <si>
    <t>C3011128</t>
  </si>
  <si>
    <t>MGFL2012F100MT-LF</t>
  </si>
  <si>
    <t>C281113</t>
  </si>
  <si>
    <t>PZ254V-11-06P</t>
  </si>
  <si>
    <t>C492405</t>
  </si>
  <si>
    <t>A2541WV-3P</t>
  </si>
  <si>
    <t>C225478</t>
  </si>
  <si>
    <t>PH-00013</t>
  </si>
  <si>
    <t>C2829889</t>
  </si>
  <si>
    <t>DZ254R-11-04-63</t>
  </si>
  <si>
    <t>C2935910</t>
  </si>
  <si>
    <t>VBsemi Elec</t>
  </si>
  <si>
    <t>C558174</t>
  </si>
  <si>
    <t>C558180</t>
  </si>
  <si>
    <t>TC0325B6801T5F</t>
  </si>
  <si>
    <t>C2982989</t>
  </si>
  <si>
    <t>ARG05DTC5002</t>
  </si>
  <si>
    <t>C2828840</t>
  </si>
  <si>
    <t>RT0603BRD07100KL</t>
  </si>
  <si>
    <t>C122538</t>
  </si>
  <si>
    <t>NCD0402R1</t>
  </si>
  <si>
    <t>C130719</t>
  </si>
  <si>
    <t>C30734</t>
  </si>
  <si>
    <t>BOOMELE</t>
  </si>
  <si>
    <t>1.5K</t>
  </si>
  <si>
    <t>RC0603FR-071K5L</t>
  </si>
  <si>
    <t xml:space="preserve">YAGEO </t>
  </si>
  <si>
    <t>C114668</t>
  </si>
  <si>
    <t>ERJ2RKF2002X</t>
  </si>
  <si>
    <t>C413099</t>
  </si>
  <si>
    <t>C100023</t>
  </si>
  <si>
    <t>C67112</t>
  </si>
  <si>
    <t xml:space="preserve">RENESAS </t>
  </si>
  <si>
    <t xml:space="preserve">Ye Part Obsolete ha Design me change hoga </t>
  </si>
  <si>
    <t>KF2EDGRC-5.08-2P</t>
  </si>
  <si>
    <t>C441236</t>
  </si>
  <si>
    <t>KF2EDGRC-5.08-3P</t>
  </si>
  <si>
    <t>C441237</t>
  </si>
  <si>
    <t>KF2EDGRC-5.08-4P</t>
  </si>
  <si>
    <t>C441238</t>
  </si>
  <si>
    <t>Aliexpress</t>
  </si>
  <si>
    <t xml:space="preserve">Is part ki Shipping Cost Add ni ha price me </t>
  </si>
  <si>
    <t xml:space="preserve">Is part ka alternate ni mila mjhe </t>
  </si>
  <si>
    <t xml:space="preserve">Total Component Cost </t>
  </si>
  <si>
    <t>Single Board Cost</t>
  </si>
  <si>
    <t>Aliexpress Shipping</t>
  </si>
  <si>
    <t>DO NOT MOUNT</t>
  </si>
  <si>
    <t>Bill of Materials for Project  (GTV3)</t>
  </si>
  <si>
    <t xml:space="preserve"> (GTV3)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</si>
</sst>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01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1" xfId="0" applyFont="1" applyFill="1" applyBorder="1" applyAlignment="1">
      <alignment horizontal="center" vertical="center" wrapText="1"/>
    </xf>
    <xf numFmtId="0" fontId="18" fillId="4" borderId="17" xfId="0" quotePrefix="1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20" fillId="2" borderId="16" xfId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20" fillId="4" borderId="17" xfId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165" fontId="18" fillId="6" borderId="17" xfId="0" applyNumberFormat="1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20" fillId="6" borderId="17" xfId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165" fontId="18" fillId="6" borderId="16" xfId="0" applyNumberFormat="1" applyFont="1" applyFill="1" applyBorder="1" applyAlignment="1">
      <alignment horizontal="center" vertical="center" wrapText="1"/>
    </xf>
    <xf numFmtId="0" fontId="18" fillId="6" borderId="18" xfId="0" applyFont="1" applyFill="1" applyBorder="1" applyAlignment="1">
      <alignment horizontal="center" vertical="center" wrapText="1"/>
    </xf>
    <xf numFmtId="165" fontId="0" fillId="0" borderId="0" xfId="0" applyNumberFormat="1"/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3" fillId="6" borderId="16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 applyProtection="1">
      <alignment horizontal="center" vertical="top"/>
      <protection locked="0"/>
    </xf>
    <xf numFmtId="0" fontId="24" fillId="3" borderId="12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Bipolar-Transistors-BJT_Nexperia-BC847B-215_C57668.html" TargetMode="External"/><Relationship Id="rId21" Type="http://schemas.openxmlformats.org/officeDocument/2006/relationships/hyperlink" Target="https://www.lcsc.com/product-detail/Inductors-SMD_EMTEK-HSC0603-33NJ-T_C251779.html" TargetMode="External"/><Relationship Id="rId42" Type="http://schemas.openxmlformats.org/officeDocument/2006/relationships/hyperlink" Target="https://www.lcsc.com/product-detail/Chip-Resistor-Surface-Mount_TyoHM-RMC060313-7K1-N_C325658.html" TargetMode="External"/><Relationship Id="rId47" Type="http://schemas.openxmlformats.org/officeDocument/2006/relationships/hyperlink" Target="https://www.lcsc.com/product-detail/Chip-Resistor-Surface-Mount_YAGEO-RC0603FR-074K7L_C99782.html" TargetMode="External"/><Relationship Id="rId63" Type="http://schemas.openxmlformats.org/officeDocument/2006/relationships/hyperlink" Target="https://www.lcsc.com/product-detail/Schottky-Barrier-Diodes-SBD_Nexperia-PMEG045V100EPD_C552777.html" TargetMode="External"/><Relationship Id="rId68" Type="http://schemas.openxmlformats.org/officeDocument/2006/relationships/hyperlink" Target="https://www.lcsc.com/product-detail/span-style-background-color-ff0-Pin-span-Headers_Liansheng-PH-00013_C2829889.html" TargetMode="External"/><Relationship Id="rId84" Type="http://schemas.openxmlformats.org/officeDocument/2006/relationships/hyperlink" Target="https://www.aliexpress.com/item/1005004267587938.html?spm=a2g0o.productlist.0.0.46ce3e10YuD4M4&amp;algo_pvid=002d0a9a-dd08-4e5b-ab29-773c123ca157&amp;algo_exp_id=002d0a9a-dd08-4e5b-ab29-773c123ca157-1&amp;pdp_ext_f=%7B%22sku_id%22%3A%2212000028574208615%22%7D&amp;pdp_npi=2%40dis%21USD%2180.0%2180.0%21%21%21%21%21%40213f990916608970058298549e6064%2112000028574208615%21sea&amp;curPageLogUid=YW72UpYqBL9o" TargetMode="External"/><Relationship Id="rId16" Type="http://schemas.openxmlformats.org/officeDocument/2006/relationships/hyperlink" Target="https://www.lcsc.com/product-detail/RF-Connectors-Coaxial-Connectors_HJ-Tech-HJ-SMA508_C1509209.html" TargetMode="External"/><Relationship Id="rId11" Type="http://schemas.openxmlformats.org/officeDocument/2006/relationships/hyperlink" Target="https://www.lcsc.com/product-detail/Multilayer-Ceramic-Capacitors-MLCC-SMD-SMT_KEMET-C0603C473K5RACAUTO_C129629.html" TargetMode="External"/><Relationship Id="rId32" Type="http://schemas.openxmlformats.org/officeDocument/2006/relationships/hyperlink" Target="https://www.lcsc.com/product-detail/Chip-Resistor-Surface-Mount_RALEC-RTT03R330FTP_C103893.html" TargetMode="External"/><Relationship Id="rId37" Type="http://schemas.openxmlformats.org/officeDocument/2006/relationships/hyperlink" Target="https://www.lcsc.com/product-detail/Chip-Resistor-Surface-Mount_YAGEO-RC0603FR-073K3L_C108078.html" TargetMode="External"/><Relationship Id="rId53" Type="http://schemas.openxmlformats.org/officeDocument/2006/relationships/hyperlink" Target="https://www.lcsc.com/product-detail/Microcontroller-Units-MCUs-MPUs-SOCs_STMicroelectronics-STM32F072VBT6_C713240.html" TargetMode="External"/><Relationship Id="rId58" Type="http://schemas.openxmlformats.org/officeDocument/2006/relationships/hyperlink" Target="https://www.lcsc.com/product-detail/Crystals_Shenzhen-SCTF-Elec-SX3B13-52127F2010F30_C2901658.html" TargetMode="External"/><Relationship Id="rId74" Type="http://schemas.openxmlformats.org/officeDocument/2006/relationships/hyperlink" Target="https://www.lcsc.com/product-detail/Chip-span-style-background-color-ff0-Resistor-span-Surface-Mount_YAGEO-RT0603BRD07100KL_C122538.html" TargetMode="External"/><Relationship Id="rId79" Type="http://schemas.openxmlformats.org/officeDocument/2006/relationships/hyperlink" Target="https://www.lcsc.com/product-detail/DC-DC-Converters_Texas-Instruments-MC34063ADR_C100023.html" TargetMode="External"/><Relationship Id="rId5" Type="http://schemas.openxmlformats.org/officeDocument/2006/relationships/hyperlink" Target="https://www.lcsc.com/product-detail/Aluminum-Electrolytic-Capacitors-SMD_Nichicon-UWX1E101MCL1GB_C125982.html" TargetMode="External"/><Relationship Id="rId19" Type="http://schemas.openxmlformats.org/officeDocument/2006/relationships/hyperlink" Target="https://www.lcsc.com/product-detail/Power-Inductors_TDK-SLF12575T-221M1R3-PF_C93225.html" TargetMode="External"/><Relationship Id="rId14" Type="http://schemas.openxmlformats.org/officeDocument/2006/relationships/hyperlink" Target="https://www.lcsc.com/product-detail/Multilayer-Ceramic-Capacitors-MLCC-SMD-SMT_YAGEO-CC0603CRNPO9BN1R5_C163551.html" TargetMode="External"/><Relationship Id="rId22" Type="http://schemas.openxmlformats.org/officeDocument/2006/relationships/hyperlink" Target="https://www.lcsc.com/product-detail/Ambient-Light-Sensors_Everlight-Elec-ALS-PT19-315C-L177-TR8_C146233.html" TargetMode="External"/><Relationship Id="rId27" Type="http://schemas.openxmlformats.org/officeDocument/2006/relationships/hyperlink" Target="https://www.lcsc.com/product-detail/Bipolar-Transistors-BJT_Nexperia-BC857C-215_C8666.html" TargetMode="External"/><Relationship Id="rId30" Type="http://schemas.openxmlformats.org/officeDocument/2006/relationships/hyperlink" Target="https://www.lcsc.com/product-detail/Chip-Resistor-Surface-Mount_YAGEO-AC0603FR-073K6L_C144660.html" TargetMode="External"/><Relationship Id="rId35" Type="http://schemas.openxmlformats.org/officeDocument/2006/relationships/hyperlink" Target="https://www.lcsc.com/product-detail/Chip-Resistor-Surface-Mount_YAGEO-AC0603JR-07470KL_C144601.html" TargetMode="External"/><Relationship Id="rId43" Type="http://schemas.openxmlformats.org/officeDocument/2006/relationships/hyperlink" Target="https://www.lcsc.com/product-detail/Chip-Resistor-Surface-Mount_YAGEO-AC0603FR-0769K8L_C228019.html" TargetMode="External"/><Relationship Id="rId48" Type="http://schemas.openxmlformats.org/officeDocument/2006/relationships/hyperlink" Target="https://www.lcsc.com/product-detail/Chip-Resistor-Surface-Mount_YAGEO-RC0603FR-07200KL_C105574.html" TargetMode="External"/><Relationship Id="rId56" Type="http://schemas.openxmlformats.org/officeDocument/2006/relationships/hyperlink" Target="https://www.lcsc.com/product-detail/RF-Transceiver-ICs_Microchip-Tech-MICRF220AYQS_C219772.html" TargetMode="External"/><Relationship Id="rId64" Type="http://schemas.openxmlformats.org/officeDocument/2006/relationships/hyperlink" Target="https://www.lcsc.com/product-detail/Schottky-Barrier-Diodes-SBD_JUXING-SS510B_C3011128.html" TargetMode="External"/><Relationship Id="rId69" Type="http://schemas.openxmlformats.org/officeDocument/2006/relationships/hyperlink" Target="https://www.lcsc.com/product-detail/span-style-background-color-ff0-Pin-span-Headers_DEALON-DZ254R-11-04-63_C2935910.html" TargetMode="External"/><Relationship Id="rId77" Type="http://schemas.openxmlformats.org/officeDocument/2006/relationships/hyperlink" Target="https://www.lcsc.com/product-detail/Chip-Resistor-Surface-Mount_YAGEO-RC0603FR-071K5L_C114668.html" TargetMode="External"/><Relationship Id="rId8" Type="http://schemas.openxmlformats.org/officeDocument/2006/relationships/hyperlink" Target="https://www.lcsc.com/product-detail/Multilayer-Ceramic-Capacitors-MLCC-SMD-SMT_YAGEO-CC0603KRX7R8BB103_C327204.html" TargetMode="External"/><Relationship Id="rId51" Type="http://schemas.openxmlformats.org/officeDocument/2006/relationships/hyperlink" Target="https://www.lcsc.com/product-detail/Tactile-Switches_E-Switch-TL3300CF160Q_C273516.html" TargetMode="External"/><Relationship Id="rId72" Type="http://schemas.openxmlformats.org/officeDocument/2006/relationships/hyperlink" Target="https://www.lcsc.com/product-detail/Chip-span-style-background-color-ff0-Resistor-span-Surface-Mount_UNI-ROYAL-Uniroyal-Elec-TC0325B6801T5F_C2982989.html" TargetMode="External"/><Relationship Id="rId80" Type="http://schemas.openxmlformats.org/officeDocument/2006/relationships/hyperlink" Target="https://www.lcsc.com/product-detail/Optocouplers-Phototransistor-Output_RENESAS-PS2801C-1-F3-A_C67112.html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Multilayer-Ceramic-Capacitors-MLCC-SMD-SMT_YAGEO-CC0603KRX5R8BB105_C14664.html" TargetMode="External"/><Relationship Id="rId12" Type="http://schemas.openxmlformats.org/officeDocument/2006/relationships/hyperlink" Target="https://www.lcsc.com/product-detail/Multilayer-Ceramic-Capacitors-MLCC-SMD-SMT_Taiyo-Yuden-UMK107B7474KA-TR_C92847.html" TargetMode="External"/><Relationship Id="rId17" Type="http://schemas.openxmlformats.org/officeDocument/2006/relationships/hyperlink" Target="https://www.lcsc.com/product-detail/Female-Headers_DEALON-DW254W-11-04-85_C2935994.html" TargetMode="External"/><Relationship Id="rId25" Type="http://schemas.openxmlformats.org/officeDocument/2006/relationships/hyperlink" Target="https://www.lcsc.com/product-detail/MOSFETs_Infineon-Technologies-IRF3205STRLPBF_C2613.html" TargetMode="External"/><Relationship Id="rId33" Type="http://schemas.openxmlformats.org/officeDocument/2006/relationships/hyperlink" Target="https://www.lcsc.com/product-detail/Chip-Resistor-Surface-Mount_YAGEO-AC0603JR-0710KL_C140867.html" TargetMode="External"/><Relationship Id="rId38" Type="http://schemas.openxmlformats.org/officeDocument/2006/relationships/hyperlink" Target="https://www.lcsc.com/product-detail/Chip-Resistor-Surface-Mount_YAGEO-RC0603FR-07680RL_C112310.html" TargetMode="External"/><Relationship Id="rId46" Type="http://schemas.openxmlformats.org/officeDocument/2006/relationships/hyperlink" Target="https://www.lcsc.com/product-detail/Chip-Resistor-Surface-Mount_YAGEO-RC0603FR-070RL_C100044.html" TargetMode="External"/><Relationship Id="rId59" Type="http://schemas.openxmlformats.org/officeDocument/2006/relationships/hyperlink" Target="https://www.lcsc.com/product-detail/Crystals_Yangxing-Tech-X321532768KGD2SI_C620155.html" TargetMode="External"/><Relationship Id="rId67" Type="http://schemas.openxmlformats.org/officeDocument/2006/relationships/hyperlink" Target="https://www.lcsc.com/product-detail/span-style-background-color-ff0-Pin-span-Headers_CJT-Changjiang-Connectors-A2541WV-3P_C225478.html" TargetMode="External"/><Relationship Id="rId20" Type="http://schemas.openxmlformats.org/officeDocument/2006/relationships/hyperlink" Target="https://www.lcsc.com/product-detail/Inductors-SMD_Murata-Electronics-LQW15AN39NG80D_C269823.html" TargetMode="External"/><Relationship Id="rId41" Type="http://schemas.openxmlformats.org/officeDocument/2006/relationships/hyperlink" Target="https://www.lcsc.com/product-detail/Chip-Resistor-Surface-Mount_YAGEO-RC0603FR-071KL_C22548.html" TargetMode="External"/><Relationship Id="rId54" Type="http://schemas.openxmlformats.org/officeDocument/2006/relationships/hyperlink" Target="https://www.lcsc.com/product-detail/Buffers-Drivers_Texas-Instruments-SN74LV1T34DBVR_C100024.html" TargetMode="External"/><Relationship Id="rId62" Type="http://schemas.openxmlformats.org/officeDocument/2006/relationships/hyperlink" Target="https://www.lcsc.com/product-detail/TVS_GOODWORK-SMAJ5-0CA_C908809.html" TargetMode="External"/><Relationship Id="rId70" Type="http://schemas.openxmlformats.org/officeDocument/2006/relationships/hyperlink" Target="https://www.lcsc.com/product-detail/MOSFETs_VBsemi-Elec-IRLML2502TRPBF_C558174.html" TargetMode="External"/><Relationship Id="rId75" Type="http://schemas.openxmlformats.org/officeDocument/2006/relationships/hyperlink" Target="https://www.lcsc.com/product-detail/Light-Emitting-Diodes-span-style-background-color-ff0-LED-span_Foshan-NationStar-Optoelectronics-NCD0402R1_C130719.html" TargetMode="External"/><Relationship Id="rId83" Type="http://schemas.openxmlformats.org/officeDocument/2006/relationships/hyperlink" Target="https://www.lcsc.com/product-detail/Pluggable-System-Terminal-Block_Cixi-Kefa-Elec-KF2EDGRC-5-08-4P_C441238.html" TargetMode="External"/><Relationship Id="rId1" Type="http://schemas.openxmlformats.org/officeDocument/2006/relationships/hyperlink" Target="https://www.lcsc.com/product-detail/Aluminum-Electrolytic-Capacitors-SMD_ROQANG-RVT1E100M0405_C72484.html" TargetMode="External"/><Relationship Id="rId6" Type="http://schemas.openxmlformats.org/officeDocument/2006/relationships/hyperlink" Target="https://www.lcsc.com/product-detail/Multilayer-Ceramic-Capacitors-MLCC-SMD-SMT_YAGEO-CC0603KRX7R9BB471_C107092.html" TargetMode="External"/><Relationship Id="rId15" Type="http://schemas.openxmlformats.org/officeDocument/2006/relationships/hyperlink" Target="https://www.lcsc.com/product-detail/Zener-Diodes_onsemi-1SMA5930BT3G_C128848.html" TargetMode="External"/><Relationship Id="rId23" Type="http://schemas.openxmlformats.org/officeDocument/2006/relationships/hyperlink" Target="https://www.lcsc.com/product-detail/Buzzers_Fengming-YS-SBZ9032C03R16_C409828.html" TargetMode="External"/><Relationship Id="rId28" Type="http://schemas.openxmlformats.org/officeDocument/2006/relationships/hyperlink" Target="https://www.lcsc.com/product-detail/Bipolar-Transistors-BJT_onsemi-MMBT5551LT1G_C41095.html" TargetMode="External"/><Relationship Id="rId36" Type="http://schemas.openxmlformats.org/officeDocument/2006/relationships/hyperlink" Target="https://www.lcsc.com/product-detail/Chip-Resistor-Surface-Mount_UNI-ROYAL-Uniroyal-Elec-0603WAF2214T5E_C422956.html" TargetMode="External"/><Relationship Id="rId49" Type="http://schemas.openxmlformats.org/officeDocument/2006/relationships/hyperlink" Target="https://www.lcsc.com/product-detail/Chip-Resistor-Surface-Mount_YAGEO-RC0603FR-071ML_C105578.html" TargetMode="External"/><Relationship Id="rId57" Type="http://schemas.openxmlformats.org/officeDocument/2006/relationships/hyperlink" Target="https://www.lcsc.com/product-detail/Human-Body-Sensing-Sensor_Senba-Sensing-Tech-AS312_C90465.html" TargetMode="External"/><Relationship Id="rId10" Type="http://schemas.openxmlformats.org/officeDocument/2006/relationships/hyperlink" Target="https://www.lcsc.com/product-detail/Multilayer-Ceramic-Capacitors-MLCC-SMD-SMT_YAGEO-CC0603JRNPO9BN200_C105621.html" TargetMode="External"/><Relationship Id="rId31" Type="http://schemas.openxmlformats.org/officeDocument/2006/relationships/hyperlink" Target="https://www.lcsc.com/product-detail/Chip-Resistor-Surface-Mount_YAGEO-RC0603FR-071K2L_C114605.html" TargetMode="External"/><Relationship Id="rId44" Type="http://schemas.openxmlformats.org/officeDocument/2006/relationships/hyperlink" Target="https://www.lcsc.com/product-detail/Chip-Resistor-Surface-Mount_YAGEO-AC0603FR-0749K9L_C144654.html" TargetMode="External"/><Relationship Id="rId52" Type="http://schemas.openxmlformats.org/officeDocument/2006/relationships/hyperlink" Target="https://www.lcsc.com/product-detail/Linear-Voltage-Regulators-LDO_Texas-Instruments-LMS8117AMP-3-3-NOPB_C201952.html" TargetMode="External"/><Relationship Id="rId60" Type="http://schemas.openxmlformats.org/officeDocument/2006/relationships/hyperlink" Target="https://www.lcsc.com/product-detail/Multilayer-Ceramic-Capacitors-MLCC-SMD-SMT_Taiyo-Yuden-UMK107BBJ225KA-T_C268016.html" TargetMode="External"/><Relationship Id="rId65" Type="http://schemas.openxmlformats.org/officeDocument/2006/relationships/hyperlink" Target="https://www.lcsc.com/product-detail/Inductors-SMD_microgate-MGFL2012F100MT-LF_C281113.html" TargetMode="External"/><Relationship Id="rId73" Type="http://schemas.openxmlformats.org/officeDocument/2006/relationships/hyperlink" Target="https://www.lcsc.com/product-detail/Chip-Resistor-Surface-Mount_Viking-Tech-ARG05DTC5002_C2828840.html" TargetMode="External"/><Relationship Id="rId78" Type="http://schemas.openxmlformats.org/officeDocument/2006/relationships/hyperlink" Target="https://www.lcsc.com/product-detail/Chip-Resistor-Surface-Mount_PANASONIC-ERJ2RKF2002X_C413099.html" TargetMode="External"/><Relationship Id="rId81" Type="http://schemas.openxmlformats.org/officeDocument/2006/relationships/hyperlink" Target="https://www.lcsc.com/product-detail/span-style-background-color-ff0-Pluggable-span-System-span-style-background-color-ff0-Terminal-span-span-style-background-color-ff0-Block-span_Cixi-Kefa-Elec-KF2EDGRC-5-08-2P_C441236.html" TargetMode="External"/><Relationship Id="rId86" Type="http://schemas.openxmlformats.org/officeDocument/2006/relationships/drawing" Target="../drawings/drawing1.xml"/><Relationship Id="rId4" Type="http://schemas.openxmlformats.org/officeDocument/2006/relationships/hyperlink" Target="https://www.lcsc.com/product-detail/Aluminum-Electrolytic-Capacitors-SMD_Changzhou-Huawei-Elec-VT1H471MI135000CE0_C191227.html" TargetMode="External"/><Relationship Id="rId9" Type="http://schemas.openxmlformats.org/officeDocument/2006/relationships/hyperlink" Target="https://www.lcsc.com/product-detail/Multilayer-Ceramic-Capacitors-MLCC-SMD-SMT_YAGEO-CC0603KRX7R0BB104_C113803.html" TargetMode="External"/><Relationship Id="rId13" Type="http://schemas.openxmlformats.org/officeDocument/2006/relationships/hyperlink" Target="https://www.lcsc.com/product-detail/Multilayer-Ceramic-Capacitors-MLCC-SMD-SMT_YAGEO-CC0603CRNPO9BN1R2_C281768.html" TargetMode="External"/><Relationship Id="rId18" Type="http://schemas.openxmlformats.org/officeDocument/2006/relationships/hyperlink" Target="https://www.lcsc.com/product-detail/USB-Connectors_Amphenol-ICC-10118194-0001LF_C132563.html" TargetMode="External"/><Relationship Id="rId39" Type="http://schemas.openxmlformats.org/officeDocument/2006/relationships/hyperlink" Target="https://www.lcsc.com/product-detail/Chip-Resistor-Surface-Mount_YAGEO-RC0603FR-072K2L_C114662.html" TargetMode="External"/><Relationship Id="rId34" Type="http://schemas.openxmlformats.org/officeDocument/2006/relationships/hyperlink" Target="https://www.lcsc.com/product-detail/Chip-Resistor-Surface-Mount_YAGEO-RC0603FR-07100KL_C14675.html" TargetMode="External"/><Relationship Id="rId50" Type="http://schemas.openxmlformats.org/officeDocument/2006/relationships/hyperlink" Target="https://www.lcsc.com/product-detail/Chip-Resistor-Surface-Mount_YAGEO-RC0603FR-07150KL_C114660.html" TargetMode="External"/><Relationship Id="rId55" Type="http://schemas.openxmlformats.org/officeDocument/2006/relationships/hyperlink" Target="https://www.lcsc.com/product-detail/Comparators_Texas-Instruments-TPS3700DDCR_C33002.html" TargetMode="External"/><Relationship Id="rId76" Type="http://schemas.openxmlformats.org/officeDocument/2006/relationships/hyperlink" Target="https://www.lcsc.com/product-detail/Female-Headers_BOOMELE-Boom-Precision-Elec-C30734_C30734.html" TargetMode="External"/><Relationship Id="rId7" Type="http://schemas.openxmlformats.org/officeDocument/2006/relationships/hyperlink" Target="https://www.lcsc.com/product-detail/Multilayer-Ceramic-Capacitors-MLCC-SMD-SMT_YAGEO-CC0603JRNPO9BN300_C113797.html" TargetMode="External"/><Relationship Id="rId71" Type="http://schemas.openxmlformats.org/officeDocument/2006/relationships/hyperlink" Target="https://www.lcsc.com/product-detail/MOSFETs_VBsemi-Elec-IRLML6402TRPBF_C558180.html" TargetMode="External"/><Relationship Id="rId2" Type="http://schemas.openxmlformats.org/officeDocument/2006/relationships/hyperlink" Target="https://www.lcsc.com/product-detail/Multilayer-Ceramic-Capacitors-MLCC-SMD-SMT_YAGEO-CC0603ZRY5V9BB104_C106221.html" TargetMode="External"/><Relationship Id="rId29" Type="http://schemas.openxmlformats.org/officeDocument/2006/relationships/hyperlink" Target="https://www.lcsc.com/product-detail/MOSFETs_Shenzhen-ruichips-Semicon-RU6085H_C181990.html" TargetMode="External"/><Relationship Id="rId24" Type="http://schemas.openxmlformats.org/officeDocument/2006/relationships/hyperlink" Target="https://www.lcsc.com/product-detail/MOSFETs_Diodes-Incorporated-DMN13H750S-7_C156273.html" TargetMode="External"/><Relationship Id="rId40" Type="http://schemas.openxmlformats.org/officeDocument/2006/relationships/hyperlink" Target="https://www.lcsc.com/product-detail/Chip-Resistor-Surface-Mount_YAGEO-RC0603FR-0747RL_C114623.html" TargetMode="External"/><Relationship Id="rId45" Type="http://schemas.openxmlformats.org/officeDocument/2006/relationships/hyperlink" Target="https://www.lcsc.com/product-detail/Chip-Resistor-Surface-Mount_YAGEO-RC0603FR-072KL_C105576.html" TargetMode="External"/><Relationship Id="rId66" Type="http://schemas.openxmlformats.org/officeDocument/2006/relationships/hyperlink" Target="https://www.lcsc.com/product-detail/span-style-background-color-ff0-Pin-span-Headers_XFCN-PZ254V-11-06P_C492405.html" TargetMode="External"/><Relationship Id="rId61" Type="http://schemas.openxmlformats.org/officeDocument/2006/relationships/hyperlink" Target="https://www.lcsc.com/product-detail/Schottky-Barrier-Diodes-SBD_PAKER-SS24A_C3035843.html" TargetMode="External"/><Relationship Id="rId82" Type="http://schemas.openxmlformats.org/officeDocument/2006/relationships/hyperlink" Target="https://www.lcsc.com/product-detail/Pluggable-System-Terminal-Block_Cixi-Kefa-Elec-KF2EDGRC-5-08-3P_C44123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04"/>
  <sheetViews>
    <sheetView tabSelected="1" topLeftCell="F100" workbookViewId="0">
      <selection activeCell="N120" sqref="N120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5703125" bestFit="1" customWidth="1"/>
    <col min="9" max="9" width="19.7109375" bestFit="1" customWidth="1"/>
    <col min="10" max="10" width="17.5703125" bestFit="1" customWidth="1"/>
    <col min="11" max="11" width="10.7109375" bestFit="1" customWidth="1"/>
    <col min="12" max="12" width="8.7109375" bestFit="1" customWidth="1"/>
    <col min="13" max="13" width="17.28515625" bestFit="1" customWidth="1"/>
    <col min="14" max="14" width="19.28515625" bestFit="1" customWidth="1"/>
    <col min="15" max="15" width="10.28515625" bestFit="1" customWidth="1"/>
    <col min="16" max="16" width="17.7109375" bestFit="1" customWidth="1"/>
    <col min="17" max="17" width="18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3"/>
      <c r="L1" s="93"/>
      <c r="M1" s="93"/>
      <c r="N1" s="93"/>
      <c r="O1" s="93"/>
      <c r="P1" s="93"/>
      <c r="Q1" s="93"/>
      <c r="R1" s="93"/>
      <c r="S1" s="94"/>
    </row>
    <row r="2" spans="1:19" ht="32.25" thickBot="1" x14ac:dyDescent="0.3">
      <c r="A2" s="1"/>
      <c r="B2" s="21"/>
      <c r="C2" s="39"/>
      <c r="D2" s="11" t="s">
        <v>0</v>
      </c>
      <c r="E2" s="11"/>
      <c r="F2" s="54" t="s">
        <v>532</v>
      </c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5" t="s">
        <v>533</v>
      </c>
      <c r="G3" s="13"/>
      <c r="H3" s="13"/>
      <c r="I3" s="5"/>
      <c r="J3" s="5"/>
      <c r="K3" s="5"/>
      <c r="L3" s="5"/>
      <c r="M3" s="5"/>
      <c r="N3" s="5"/>
      <c r="O3" s="5"/>
      <c r="P3" s="5"/>
      <c r="Q3" s="5"/>
      <c r="R3" s="5"/>
      <c r="S3" s="95"/>
    </row>
    <row r="4" spans="1:19" x14ac:dyDescent="0.25">
      <c r="A4" s="1"/>
      <c r="B4" s="22"/>
      <c r="C4" s="40"/>
      <c r="D4" s="13" t="s">
        <v>2</v>
      </c>
      <c r="E4" s="13"/>
      <c r="F4" s="56" t="s">
        <v>533</v>
      </c>
      <c r="G4" s="14"/>
      <c r="H4" s="14"/>
      <c r="I4" s="7"/>
      <c r="J4" s="7"/>
      <c r="K4" s="7"/>
      <c r="L4" s="6"/>
      <c r="M4" s="6"/>
      <c r="N4" s="6"/>
      <c r="O4" s="6"/>
      <c r="P4" s="6"/>
      <c r="Q4" s="6"/>
      <c r="R4" s="6"/>
      <c r="S4" s="96"/>
    </row>
    <row r="5" spans="1:19" x14ac:dyDescent="0.25">
      <c r="A5" s="1"/>
      <c r="B5" s="22"/>
      <c r="C5" s="40"/>
      <c r="D5" s="13" t="s">
        <v>3</v>
      </c>
      <c r="E5" s="13"/>
      <c r="F5" s="57" t="s">
        <v>5</v>
      </c>
      <c r="G5" s="15"/>
      <c r="H5" s="15"/>
      <c r="I5" s="6"/>
      <c r="J5" s="6"/>
      <c r="K5" s="6"/>
      <c r="L5" s="6"/>
      <c r="M5" s="6"/>
      <c r="N5" s="6"/>
      <c r="O5" s="6"/>
      <c r="P5" s="6"/>
      <c r="Q5" s="6"/>
      <c r="R5" s="6"/>
      <c r="S5" s="96"/>
    </row>
    <row r="6" spans="1:19" x14ac:dyDescent="0.25">
      <c r="A6" s="1"/>
      <c r="B6" s="23"/>
      <c r="C6" s="41"/>
      <c r="D6" s="16"/>
      <c r="E6" s="16"/>
      <c r="F6" s="17"/>
      <c r="G6" s="15"/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96"/>
    </row>
    <row r="7" spans="1:19" x14ac:dyDescent="0.25">
      <c r="A7" s="1"/>
      <c r="B7" s="24"/>
      <c r="C7" s="42"/>
      <c r="D7" s="18"/>
      <c r="E7" s="18"/>
      <c r="F7" s="19"/>
      <c r="G7" s="18"/>
      <c r="H7" s="18"/>
      <c r="I7" s="8"/>
      <c r="J7" s="8"/>
      <c r="K7" s="8"/>
      <c r="L7" s="8"/>
      <c r="M7" s="8"/>
      <c r="N7" s="8"/>
      <c r="O7" s="8"/>
      <c r="P7" s="8"/>
      <c r="Q7" s="8"/>
      <c r="R7" s="8"/>
      <c r="S7" s="96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18"/>
      <c r="I8" s="8"/>
      <c r="J8" s="8"/>
      <c r="K8" s="8"/>
      <c r="L8" s="8"/>
      <c r="M8" s="8"/>
      <c r="N8" s="8"/>
      <c r="O8" s="8"/>
      <c r="P8" s="8"/>
      <c r="Q8" s="8"/>
      <c r="R8" s="8"/>
      <c r="S8" s="96"/>
    </row>
    <row r="9" spans="1:19" ht="15.75" thickBot="1" x14ac:dyDescent="0.3">
      <c r="A9" s="1"/>
      <c r="B9" s="30" t="s">
        <v>4</v>
      </c>
      <c r="C9" s="30" t="s">
        <v>401</v>
      </c>
      <c r="D9" s="30" t="s">
        <v>6</v>
      </c>
      <c r="E9" s="31" t="s">
        <v>99</v>
      </c>
      <c r="F9" s="30" t="s">
        <v>190</v>
      </c>
      <c r="G9" s="31" t="s">
        <v>240</v>
      </c>
      <c r="H9" s="30" t="s">
        <v>402</v>
      </c>
      <c r="I9" s="30" t="s">
        <v>299</v>
      </c>
      <c r="J9" s="30" t="s">
        <v>403</v>
      </c>
      <c r="K9" s="30" t="s">
        <v>415</v>
      </c>
      <c r="L9" s="31" t="s">
        <v>387</v>
      </c>
      <c r="M9" s="30" t="s">
        <v>404</v>
      </c>
      <c r="N9" s="30" t="s">
        <v>405</v>
      </c>
      <c r="O9" s="30" t="s">
        <v>406</v>
      </c>
      <c r="P9" s="30" t="s">
        <v>407</v>
      </c>
      <c r="Q9" s="30" t="s">
        <v>408</v>
      </c>
      <c r="R9" s="32" t="s">
        <v>409</v>
      </c>
      <c r="S9" s="32" t="s">
        <v>410</v>
      </c>
    </row>
    <row r="10" spans="1:19" ht="24.75" thickBot="1" x14ac:dyDescent="0.3">
      <c r="A10" s="1"/>
      <c r="B10" s="38">
        <f t="shared" ref="B10:B41" si="0">ROW(B10) - ROW($B$9)</f>
        <v>1</v>
      </c>
      <c r="C10" s="84" t="s">
        <v>388</v>
      </c>
      <c r="D10" s="46" t="s">
        <v>7</v>
      </c>
      <c r="E10" s="47" t="s">
        <v>100</v>
      </c>
      <c r="F10" s="46" t="s">
        <v>411</v>
      </c>
      <c r="G10" s="46" t="s">
        <v>191</v>
      </c>
      <c r="H10" s="46" t="s">
        <v>413</v>
      </c>
      <c r="I10" s="46" t="s">
        <v>300</v>
      </c>
      <c r="J10" s="46" t="s">
        <v>416</v>
      </c>
      <c r="K10" s="58" t="s">
        <v>341</v>
      </c>
      <c r="L10" s="47">
        <v>13</v>
      </c>
      <c r="M10" s="46">
        <f>L10*5</f>
        <v>65</v>
      </c>
      <c r="N10" s="46">
        <v>80</v>
      </c>
      <c r="O10" s="61" t="s">
        <v>417</v>
      </c>
      <c r="P10" s="62">
        <v>2.47E-2</v>
      </c>
      <c r="Q10" s="62">
        <f>P10*N10</f>
        <v>1.976</v>
      </c>
      <c r="R10" s="48"/>
      <c r="S10" s="49"/>
    </row>
    <row r="11" spans="1:19" ht="60.75" thickBot="1" x14ac:dyDescent="0.3">
      <c r="A11" s="1"/>
      <c r="B11" s="38">
        <f t="shared" si="0"/>
        <v>2</v>
      </c>
      <c r="C11" s="85" t="s">
        <v>388</v>
      </c>
      <c r="D11" s="50" t="s">
        <v>8</v>
      </c>
      <c r="E11" s="51" t="s">
        <v>101</v>
      </c>
      <c r="F11" s="50" t="s">
        <v>192</v>
      </c>
      <c r="G11" s="51" t="s">
        <v>241</v>
      </c>
      <c r="H11" s="50" t="s">
        <v>413</v>
      </c>
      <c r="I11" s="50" t="s">
        <v>301</v>
      </c>
      <c r="J11" s="50" t="s">
        <v>418</v>
      </c>
      <c r="K11" s="50" t="s">
        <v>342</v>
      </c>
      <c r="L11" s="51">
        <v>36</v>
      </c>
      <c r="M11" s="50">
        <f t="shared" ref="M11:M74" si="1">L11*5</f>
        <v>180</v>
      </c>
      <c r="N11" s="50">
        <v>200</v>
      </c>
      <c r="O11" s="64" t="s">
        <v>417</v>
      </c>
      <c r="P11" s="63">
        <v>3.3999999999999998E-3</v>
      </c>
      <c r="Q11" s="63">
        <f t="shared" ref="Q11:Q74" si="2">P11*N11</f>
        <v>0.67999999999999994</v>
      </c>
      <c r="R11" s="52"/>
      <c r="S11" s="53"/>
    </row>
    <row r="12" spans="1:19" ht="15.75" thickBot="1" x14ac:dyDescent="0.3">
      <c r="A12" s="1"/>
      <c r="B12" s="38">
        <f t="shared" si="0"/>
        <v>3</v>
      </c>
      <c r="C12" s="84" t="s">
        <v>388</v>
      </c>
      <c r="D12" s="46" t="s">
        <v>9</v>
      </c>
      <c r="E12" s="47" t="s">
        <v>102</v>
      </c>
      <c r="F12" s="46" t="s">
        <v>192</v>
      </c>
      <c r="G12" s="47" t="s">
        <v>242</v>
      </c>
      <c r="H12" s="46" t="s">
        <v>413</v>
      </c>
      <c r="I12" s="46" t="s">
        <v>301</v>
      </c>
      <c r="J12" s="46" t="s">
        <v>419</v>
      </c>
      <c r="K12" s="46" t="s">
        <v>343</v>
      </c>
      <c r="L12" s="47">
        <v>7</v>
      </c>
      <c r="M12" s="46">
        <f t="shared" si="1"/>
        <v>35</v>
      </c>
      <c r="N12" s="46">
        <v>50</v>
      </c>
      <c r="O12" s="61" t="s">
        <v>417</v>
      </c>
      <c r="P12" s="62">
        <v>5.8999999999999999E-3</v>
      </c>
      <c r="Q12" s="62">
        <f t="shared" si="2"/>
        <v>0.29499999999999998</v>
      </c>
      <c r="R12" s="48"/>
      <c r="S12" s="48"/>
    </row>
    <row r="13" spans="1:19" ht="48.75" thickBot="1" x14ac:dyDescent="0.3">
      <c r="A13" s="1"/>
      <c r="B13" s="38">
        <f t="shared" si="0"/>
        <v>4</v>
      </c>
      <c r="C13" s="85" t="s">
        <v>388</v>
      </c>
      <c r="D13" s="50" t="s">
        <v>10</v>
      </c>
      <c r="E13" s="51" t="s">
        <v>103</v>
      </c>
      <c r="F13" s="50" t="s">
        <v>411</v>
      </c>
      <c r="G13" s="50" t="s">
        <v>193</v>
      </c>
      <c r="H13" s="50" t="s">
        <v>413</v>
      </c>
      <c r="I13" s="50" t="s">
        <v>302</v>
      </c>
      <c r="J13" s="50" t="s">
        <v>420</v>
      </c>
      <c r="K13" s="50" t="s">
        <v>344</v>
      </c>
      <c r="L13" s="51">
        <v>5</v>
      </c>
      <c r="M13" s="50">
        <f t="shared" si="1"/>
        <v>25</v>
      </c>
      <c r="N13" s="50">
        <v>27</v>
      </c>
      <c r="O13" s="64" t="s">
        <v>417</v>
      </c>
      <c r="P13" s="63">
        <v>0.43640000000000001</v>
      </c>
      <c r="Q13" s="63">
        <f t="shared" si="2"/>
        <v>11.7828</v>
      </c>
      <c r="R13" s="52"/>
      <c r="S13" s="52"/>
    </row>
    <row r="14" spans="1:19" ht="15.75" thickBot="1" x14ac:dyDescent="0.3">
      <c r="A14" s="1"/>
      <c r="B14" s="38">
        <f t="shared" si="0"/>
        <v>5</v>
      </c>
      <c r="C14" s="84" t="s">
        <v>388</v>
      </c>
      <c r="D14" s="46" t="s">
        <v>11</v>
      </c>
      <c r="E14" s="47" t="s">
        <v>104</v>
      </c>
      <c r="F14" s="46" t="s">
        <v>411</v>
      </c>
      <c r="G14" s="47" t="s">
        <v>194</v>
      </c>
      <c r="H14" s="46" t="s">
        <v>413</v>
      </c>
      <c r="I14" s="46" t="s">
        <v>303</v>
      </c>
      <c r="J14" s="46" t="s">
        <v>421</v>
      </c>
      <c r="K14" s="46" t="s">
        <v>345</v>
      </c>
      <c r="L14" s="47">
        <v>1</v>
      </c>
      <c r="M14" s="46">
        <f t="shared" si="1"/>
        <v>5</v>
      </c>
      <c r="N14" s="46">
        <v>10</v>
      </c>
      <c r="O14" s="61" t="s">
        <v>417</v>
      </c>
      <c r="P14" s="62">
        <v>0.1376</v>
      </c>
      <c r="Q14" s="62">
        <f t="shared" si="2"/>
        <v>1.3759999999999999</v>
      </c>
      <c r="R14" s="48"/>
      <c r="S14" s="48"/>
    </row>
    <row r="15" spans="1:19" ht="15.75" thickBot="1" x14ac:dyDescent="0.3">
      <c r="A15" s="1"/>
      <c r="B15" s="38">
        <f t="shared" si="0"/>
        <v>6</v>
      </c>
      <c r="C15" s="85" t="s">
        <v>388</v>
      </c>
      <c r="D15" s="50" t="s">
        <v>12</v>
      </c>
      <c r="E15" s="51" t="s">
        <v>105</v>
      </c>
      <c r="F15" s="50" t="s">
        <v>192</v>
      </c>
      <c r="G15" s="51" t="s">
        <v>243</v>
      </c>
      <c r="H15" s="50" t="s">
        <v>413</v>
      </c>
      <c r="I15" s="50" t="s">
        <v>301</v>
      </c>
      <c r="J15" s="50" t="s">
        <v>422</v>
      </c>
      <c r="K15" s="50" t="s">
        <v>346</v>
      </c>
      <c r="L15" s="51">
        <v>1</v>
      </c>
      <c r="M15" s="50">
        <f t="shared" si="1"/>
        <v>5</v>
      </c>
      <c r="N15" s="50">
        <v>100</v>
      </c>
      <c r="O15" s="64" t="s">
        <v>417</v>
      </c>
      <c r="P15" s="63">
        <v>3.0999999999999999E-3</v>
      </c>
      <c r="Q15" s="63">
        <f t="shared" si="2"/>
        <v>0.31</v>
      </c>
      <c r="R15" s="52"/>
      <c r="S15" s="52"/>
    </row>
    <row r="16" spans="1:19" ht="24.75" thickBot="1" x14ac:dyDescent="0.3">
      <c r="A16" s="1"/>
      <c r="B16" s="38">
        <f t="shared" si="0"/>
        <v>7</v>
      </c>
      <c r="C16" s="86" t="s">
        <v>388</v>
      </c>
      <c r="D16" s="75" t="s">
        <v>13</v>
      </c>
      <c r="E16" s="76" t="s">
        <v>106</v>
      </c>
      <c r="F16" s="75" t="s">
        <v>411</v>
      </c>
      <c r="G16" s="76" t="s">
        <v>195</v>
      </c>
      <c r="H16" s="75"/>
      <c r="I16" s="75" t="s">
        <v>304</v>
      </c>
      <c r="J16" s="75"/>
      <c r="K16" s="75" t="s">
        <v>343</v>
      </c>
      <c r="L16" s="76">
        <v>1</v>
      </c>
      <c r="M16" s="75">
        <f t="shared" si="1"/>
        <v>5</v>
      </c>
      <c r="N16" s="75"/>
      <c r="O16" s="75"/>
      <c r="P16" s="77"/>
      <c r="Q16" s="77">
        <f t="shared" si="2"/>
        <v>0</v>
      </c>
      <c r="R16" s="83" t="s">
        <v>527</v>
      </c>
      <c r="S16" s="78"/>
    </row>
    <row r="17" spans="1:19" ht="15.75" thickBot="1" x14ac:dyDescent="0.3">
      <c r="A17" s="1"/>
      <c r="B17" s="38">
        <f t="shared" si="0"/>
        <v>8</v>
      </c>
      <c r="C17" s="85" t="s">
        <v>388</v>
      </c>
      <c r="D17" s="50" t="s">
        <v>14</v>
      </c>
      <c r="E17" s="51" t="s">
        <v>107</v>
      </c>
      <c r="F17" s="50" t="s">
        <v>192</v>
      </c>
      <c r="G17" s="51" t="s">
        <v>244</v>
      </c>
      <c r="H17" s="50" t="s">
        <v>413</v>
      </c>
      <c r="I17" s="50" t="s">
        <v>301</v>
      </c>
      <c r="J17" s="50" t="s">
        <v>423</v>
      </c>
      <c r="K17" s="50" t="s">
        <v>347</v>
      </c>
      <c r="L17" s="51">
        <v>4</v>
      </c>
      <c r="M17" s="50">
        <f t="shared" si="1"/>
        <v>20</v>
      </c>
      <c r="N17" s="50">
        <v>100</v>
      </c>
      <c r="O17" s="64" t="s">
        <v>417</v>
      </c>
      <c r="P17" s="63">
        <v>3.3999999999999998E-3</v>
      </c>
      <c r="Q17" s="63">
        <f t="shared" si="2"/>
        <v>0.33999999999999997</v>
      </c>
      <c r="R17" s="52"/>
      <c r="S17" s="52"/>
    </row>
    <row r="18" spans="1:19" ht="24.75" thickBot="1" x14ac:dyDescent="0.3">
      <c r="A18" s="1"/>
      <c r="B18" s="38">
        <f t="shared" si="0"/>
        <v>9</v>
      </c>
      <c r="C18" s="84" t="s">
        <v>388</v>
      </c>
      <c r="D18" s="46" t="s">
        <v>15</v>
      </c>
      <c r="E18" s="47" t="s">
        <v>108</v>
      </c>
      <c r="F18" s="46" t="s">
        <v>192</v>
      </c>
      <c r="G18" s="47" t="s">
        <v>245</v>
      </c>
      <c r="H18" s="46" t="s">
        <v>413</v>
      </c>
      <c r="I18" s="46" t="s">
        <v>301</v>
      </c>
      <c r="J18" s="46" t="s">
        <v>424</v>
      </c>
      <c r="K18" s="46" t="s">
        <v>348</v>
      </c>
      <c r="L18" s="47">
        <v>1</v>
      </c>
      <c r="M18" s="46">
        <f t="shared" si="1"/>
        <v>5</v>
      </c>
      <c r="N18" s="46">
        <v>100</v>
      </c>
      <c r="O18" s="61" t="s">
        <v>417</v>
      </c>
      <c r="P18" s="62">
        <v>3.3999999999999998E-3</v>
      </c>
      <c r="Q18" s="62">
        <f t="shared" si="2"/>
        <v>0.33999999999999997</v>
      </c>
      <c r="R18" s="48"/>
      <c r="S18" s="48"/>
    </row>
    <row r="19" spans="1:19" ht="15.75" thickBot="1" x14ac:dyDescent="0.3">
      <c r="A19" s="1"/>
      <c r="B19" s="38">
        <f t="shared" si="0"/>
        <v>10</v>
      </c>
      <c r="C19" s="85" t="s">
        <v>388</v>
      </c>
      <c r="D19" s="50" t="s">
        <v>16</v>
      </c>
      <c r="E19" s="51" t="s">
        <v>109</v>
      </c>
      <c r="F19" s="50" t="s">
        <v>192</v>
      </c>
      <c r="G19" s="51" t="s">
        <v>246</v>
      </c>
      <c r="H19" s="50" t="s">
        <v>413</v>
      </c>
      <c r="I19" s="50" t="s">
        <v>301</v>
      </c>
      <c r="J19" s="50" t="s">
        <v>425</v>
      </c>
      <c r="K19" s="50" t="s">
        <v>342</v>
      </c>
      <c r="L19" s="51">
        <v>2</v>
      </c>
      <c r="M19" s="50">
        <f t="shared" si="1"/>
        <v>10</v>
      </c>
      <c r="N19" s="50">
        <v>50</v>
      </c>
      <c r="O19" s="64" t="s">
        <v>417</v>
      </c>
      <c r="P19" s="63">
        <v>8.0999999999999996E-3</v>
      </c>
      <c r="Q19" s="63">
        <f t="shared" si="2"/>
        <v>0.40499999999999997</v>
      </c>
      <c r="R19" s="52"/>
      <c r="S19" s="52"/>
    </row>
    <row r="20" spans="1:19" ht="15.75" thickBot="1" x14ac:dyDescent="0.3">
      <c r="A20" s="1"/>
      <c r="B20" s="38">
        <f t="shared" si="0"/>
        <v>11</v>
      </c>
      <c r="C20" s="84" t="s">
        <v>388</v>
      </c>
      <c r="D20" s="46" t="s">
        <v>17</v>
      </c>
      <c r="E20" s="47" t="s">
        <v>110</v>
      </c>
      <c r="F20" s="46" t="s">
        <v>192</v>
      </c>
      <c r="G20" s="47" t="s">
        <v>247</v>
      </c>
      <c r="H20" s="46" t="s">
        <v>413</v>
      </c>
      <c r="I20" s="46" t="s">
        <v>301</v>
      </c>
      <c r="J20" s="46" t="s">
        <v>426</v>
      </c>
      <c r="K20" s="46" t="s">
        <v>349</v>
      </c>
      <c r="L20" s="47">
        <v>2</v>
      </c>
      <c r="M20" s="46">
        <f t="shared" si="1"/>
        <v>10</v>
      </c>
      <c r="N20" s="46">
        <v>100</v>
      </c>
      <c r="O20" s="61" t="s">
        <v>417</v>
      </c>
      <c r="P20" s="62">
        <v>3.5999999999999999E-3</v>
      </c>
      <c r="Q20" s="62">
        <f t="shared" si="2"/>
        <v>0.36</v>
      </c>
      <c r="R20" s="48"/>
      <c r="S20" s="48"/>
    </row>
    <row r="21" spans="1:19" ht="15.75" thickBot="1" x14ac:dyDescent="0.3">
      <c r="A21" s="1"/>
      <c r="B21" s="38">
        <f t="shared" si="0"/>
        <v>12</v>
      </c>
      <c r="C21" s="85" t="s">
        <v>388</v>
      </c>
      <c r="D21" s="50" t="s">
        <v>18</v>
      </c>
      <c r="E21" s="51" t="s">
        <v>111</v>
      </c>
      <c r="F21" s="50" t="s">
        <v>192</v>
      </c>
      <c r="G21" s="51" t="s">
        <v>248</v>
      </c>
      <c r="H21" s="50" t="s">
        <v>413</v>
      </c>
      <c r="I21" s="50" t="s">
        <v>305</v>
      </c>
      <c r="J21" s="50" t="s">
        <v>427</v>
      </c>
      <c r="K21" s="50" t="s">
        <v>350</v>
      </c>
      <c r="L21" s="51">
        <v>1</v>
      </c>
      <c r="M21" s="50">
        <f t="shared" si="1"/>
        <v>5</v>
      </c>
      <c r="N21" s="50">
        <v>50</v>
      </c>
      <c r="O21" s="64" t="s">
        <v>417</v>
      </c>
      <c r="P21" s="63">
        <v>1.1900000000000001E-2</v>
      </c>
      <c r="Q21" s="63">
        <f t="shared" si="2"/>
        <v>0.59500000000000008</v>
      </c>
      <c r="R21" s="52"/>
      <c r="S21" s="52"/>
    </row>
    <row r="22" spans="1:19" ht="15.75" thickBot="1" x14ac:dyDescent="0.3">
      <c r="A22" s="1"/>
      <c r="B22" s="38">
        <f t="shared" si="0"/>
        <v>13</v>
      </c>
      <c r="C22" s="84" t="s">
        <v>388</v>
      </c>
      <c r="D22" s="46" t="s">
        <v>19</v>
      </c>
      <c r="E22" s="47" t="s">
        <v>112</v>
      </c>
      <c r="F22" s="46" t="s">
        <v>192</v>
      </c>
      <c r="G22" s="47" t="s">
        <v>249</v>
      </c>
      <c r="H22" s="46" t="s">
        <v>413</v>
      </c>
      <c r="I22" s="46" t="s">
        <v>306</v>
      </c>
      <c r="J22" s="46" t="s">
        <v>428</v>
      </c>
      <c r="K22" s="46" t="s">
        <v>351</v>
      </c>
      <c r="L22" s="47">
        <v>1</v>
      </c>
      <c r="M22" s="46">
        <f t="shared" si="1"/>
        <v>5</v>
      </c>
      <c r="N22" s="46">
        <v>20</v>
      </c>
      <c r="O22" s="61" t="s">
        <v>417</v>
      </c>
      <c r="P22" s="62">
        <v>3.49E-2</v>
      </c>
      <c r="Q22" s="62">
        <f t="shared" si="2"/>
        <v>0.69799999999999995</v>
      </c>
      <c r="R22" s="48"/>
      <c r="S22" s="48"/>
    </row>
    <row r="23" spans="1:19" ht="15.75" thickBot="1" x14ac:dyDescent="0.3">
      <c r="A23" s="1"/>
      <c r="B23" s="38">
        <f t="shared" si="0"/>
        <v>14</v>
      </c>
      <c r="C23" s="85" t="s">
        <v>388</v>
      </c>
      <c r="D23" s="50" t="s">
        <v>20</v>
      </c>
      <c r="E23" s="51" t="s">
        <v>113</v>
      </c>
      <c r="F23" s="50" t="s">
        <v>192</v>
      </c>
      <c r="G23" s="51" t="s">
        <v>250</v>
      </c>
      <c r="H23" s="50" t="s">
        <v>413</v>
      </c>
      <c r="I23" s="50" t="s">
        <v>301</v>
      </c>
      <c r="J23" s="50" t="s">
        <v>429</v>
      </c>
      <c r="K23" s="50" t="s">
        <v>352</v>
      </c>
      <c r="L23" s="51">
        <v>1</v>
      </c>
      <c r="M23" s="50">
        <f t="shared" si="1"/>
        <v>5</v>
      </c>
      <c r="N23" s="50">
        <v>100</v>
      </c>
      <c r="O23" s="64" t="s">
        <v>417</v>
      </c>
      <c r="P23" s="63">
        <v>3.7000000000000002E-3</v>
      </c>
      <c r="Q23" s="63">
        <f t="shared" si="2"/>
        <v>0.37</v>
      </c>
      <c r="R23" s="52"/>
      <c r="S23" s="52"/>
    </row>
    <row r="24" spans="1:19" ht="15.75" thickBot="1" x14ac:dyDescent="0.3">
      <c r="A24" s="1"/>
      <c r="B24" s="38">
        <f t="shared" si="0"/>
        <v>15</v>
      </c>
      <c r="C24" s="84" t="s">
        <v>388</v>
      </c>
      <c r="D24" s="46" t="s">
        <v>21</v>
      </c>
      <c r="E24" s="47" t="s">
        <v>114</v>
      </c>
      <c r="F24" s="46" t="s">
        <v>192</v>
      </c>
      <c r="G24" s="70" t="s">
        <v>251</v>
      </c>
      <c r="H24" s="46" t="s">
        <v>478</v>
      </c>
      <c r="I24" s="46" t="s">
        <v>306</v>
      </c>
      <c r="J24" s="46" t="s">
        <v>479</v>
      </c>
      <c r="K24" s="46" t="s">
        <v>353</v>
      </c>
      <c r="L24" s="47">
        <v>1</v>
      </c>
      <c r="M24" s="46">
        <f t="shared" si="1"/>
        <v>5</v>
      </c>
      <c r="N24" s="46">
        <v>20</v>
      </c>
      <c r="O24" s="61" t="s">
        <v>417</v>
      </c>
      <c r="P24" s="62">
        <v>3.5999999999999997E-2</v>
      </c>
      <c r="Q24" s="62">
        <f t="shared" si="2"/>
        <v>0.72</v>
      </c>
      <c r="R24" s="48"/>
      <c r="S24" s="48"/>
    </row>
    <row r="25" spans="1:19" ht="15.75" thickBot="1" x14ac:dyDescent="0.3">
      <c r="A25" s="1"/>
      <c r="B25" s="38">
        <f t="shared" si="0"/>
        <v>16</v>
      </c>
      <c r="C25" s="85" t="s">
        <v>388</v>
      </c>
      <c r="D25" s="50" t="s">
        <v>22</v>
      </c>
      <c r="E25" s="51" t="s">
        <v>115</v>
      </c>
      <c r="F25" s="50" t="s">
        <v>192</v>
      </c>
      <c r="G25" s="51" t="s">
        <v>252</v>
      </c>
      <c r="H25" s="50" t="s">
        <v>413</v>
      </c>
      <c r="I25" s="50" t="s">
        <v>301</v>
      </c>
      <c r="J25" s="50" t="s">
        <v>430</v>
      </c>
      <c r="K25" s="50" t="s">
        <v>354</v>
      </c>
      <c r="L25" s="51">
        <v>1</v>
      </c>
      <c r="M25" s="50">
        <f t="shared" si="1"/>
        <v>5</v>
      </c>
      <c r="N25" s="50">
        <v>100</v>
      </c>
      <c r="O25" s="64" t="s">
        <v>417</v>
      </c>
      <c r="P25" s="63">
        <v>4.0000000000000001E-3</v>
      </c>
      <c r="Q25" s="63">
        <f t="shared" si="2"/>
        <v>0.4</v>
      </c>
      <c r="R25" s="52"/>
      <c r="S25" s="52"/>
    </row>
    <row r="26" spans="1:19" ht="24.75" thickBot="1" x14ac:dyDescent="0.3">
      <c r="A26" s="1"/>
      <c r="B26" s="38">
        <f t="shared" si="0"/>
        <v>17</v>
      </c>
      <c r="C26" s="84" t="s">
        <v>389</v>
      </c>
      <c r="D26" s="46" t="s">
        <v>23</v>
      </c>
      <c r="E26" s="47" t="s">
        <v>116</v>
      </c>
      <c r="F26" s="46" t="s">
        <v>196</v>
      </c>
      <c r="G26" s="46" t="s">
        <v>355</v>
      </c>
      <c r="H26" s="46" t="s">
        <v>413</v>
      </c>
      <c r="I26" s="46" t="s">
        <v>481</v>
      </c>
      <c r="J26" s="46" t="s">
        <v>480</v>
      </c>
      <c r="K26" s="46" t="s">
        <v>413</v>
      </c>
      <c r="L26" s="47">
        <v>1</v>
      </c>
      <c r="M26" s="46">
        <f t="shared" si="1"/>
        <v>5</v>
      </c>
      <c r="N26" s="46">
        <v>20</v>
      </c>
      <c r="O26" s="61" t="s">
        <v>417</v>
      </c>
      <c r="P26" s="62">
        <v>2.98E-2</v>
      </c>
      <c r="Q26" s="62">
        <f t="shared" si="2"/>
        <v>0.59599999999999997</v>
      </c>
      <c r="R26" s="48"/>
      <c r="S26" s="48"/>
    </row>
    <row r="27" spans="1:19" ht="15.75" thickBot="1" x14ac:dyDescent="0.3">
      <c r="A27" s="1"/>
      <c r="B27" s="38">
        <f t="shared" si="0"/>
        <v>18</v>
      </c>
      <c r="C27" s="85" t="s">
        <v>389</v>
      </c>
      <c r="D27" s="50" t="s">
        <v>24</v>
      </c>
      <c r="E27" s="51" t="s">
        <v>117</v>
      </c>
      <c r="F27" s="50" t="s">
        <v>196</v>
      </c>
      <c r="G27" s="51" t="s">
        <v>253</v>
      </c>
      <c r="H27" s="50" t="s">
        <v>413</v>
      </c>
      <c r="I27" s="50" t="s">
        <v>307</v>
      </c>
      <c r="J27" s="50" t="s">
        <v>431</v>
      </c>
      <c r="K27" s="50" t="s">
        <v>413</v>
      </c>
      <c r="L27" s="51">
        <v>1</v>
      </c>
      <c r="M27" s="50">
        <f t="shared" si="1"/>
        <v>5</v>
      </c>
      <c r="N27" s="50">
        <v>6</v>
      </c>
      <c r="O27" s="64" t="s">
        <v>417</v>
      </c>
      <c r="P27" s="63">
        <v>0.84399999999999997</v>
      </c>
      <c r="Q27" s="63">
        <f t="shared" si="2"/>
        <v>5.0640000000000001</v>
      </c>
      <c r="R27" s="52"/>
      <c r="S27" s="52"/>
    </row>
    <row r="28" spans="1:19" ht="15.75" thickBot="1" x14ac:dyDescent="0.3">
      <c r="A28" s="1"/>
      <c r="B28" s="38">
        <f t="shared" si="0"/>
        <v>19</v>
      </c>
      <c r="C28" s="84" t="s">
        <v>389</v>
      </c>
      <c r="D28" s="46" t="s">
        <v>25</v>
      </c>
      <c r="E28" s="47" t="s">
        <v>118</v>
      </c>
      <c r="F28" s="46" t="s">
        <v>196</v>
      </c>
      <c r="G28" s="47" t="s">
        <v>254</v>
      </c>
      <c r="H28" s="46"/>
      <c r="I28" s="46" t="s">
        <v>482</v>
      </c>
      <c r="J28" s="46" t="s">
        <v>483</v>
      </c>
      <c r="K28" s="46" t="s">
        <v>413</v>
      </c>
      <c r="L28" s="47">
        <v>1</v>
      </c>
      <c r="M28" s="46">
        <f t="shared" si="1"/>
        <v>5</v>
      </c>
      <c r="N28" s="46">
        <v>20</v>
      </c>
      <c r="O28" s="61" t="s">
        <v>417</v>
      </c>
      <c r="P28" s="62">
        <v>3.5000000000000003E-2</v>
      </c>
      <c r="Q28" s="62">
        <f t="shared" si="2"/>
        <v>0.70000000000000007</v>
      </c>
      <c r="R28" s="48"/>
      <c r="S28" s="48"/>
    </row>
    <row r="29" spans="1:19" ht="15.75" thickBot="1" x14ac:dyDescent="0.3">
      <c r="A29" s="1"/>
      <c r="B29" s="38">
        <f t="shared" si="0"/>
        <v>20</v>
      </c>
      <c r="C29" s="85" t="s">
        <v>389</v>
      </c>
      <c r="D29" s="50" t="s">
        <v>26</v>
      </c>
      <c r="E29" s="51" t="s">
        <v>119</v>
      </c>
      <c r="F29" s="50" t="s">
        <v>411</v>
      </c>
      <c r="G29" s="50" t="s">
        <v>197</v>
      </c>
      <c r="H29" s="50" t="s">
        <v>413</v>
      </c>
      <c r="I29" s="50" t="s">
        <v>484</v>
      </c>
      <c r="J29" s="50" t="s">
        <v>432</v>
      </c>
      <c r="K29" s="50" t="s">
        <v>413</v>
      </c>
      <c r="L29" s="51">
        <v>2</v>
      </c>
      <c r="M29" s="50">
        <f t="shared" si="1"/>
        <v>10</v>
      </c>
      <c r="N29" s="50">
        <v>12</v>
      </c>
      <c r="O29" s="64" t="s">
        <v>417</v>
      </c>
      <c r="P29" s="63">
        <v>0.69610000000000005</v>
      </c>
      <c r="Q29" s="63">
        <f t="shared" si="2"/>
        <v>8.3532000000000011</v>
      </c>
      <c r="R29" s="52"/>
      <c r="S29" s="52"/>
    </row>
    <row r="30" spans="1:19" ht="36.75" thickBot="1" x14ac:dyDescent="0.3">
      <c r="A30" s="1"/>
      <c r="B30" s="38">
        <f t="shared" si="0"/>
        <v>21</v>
      </c>
      <c r="C30" s="86" t="s">
        <v>389</v>
      </c>
      <c r="D30" s="75" t="s">
        <v>27</v>
      </c>
      <c r="E30" s="76" t="s">
        <v>120</v>
      </c>
      <c r="F30" s="75" t="s">
        <v>198</v>
      </c>
      <c r="G30" s="76" t="s">
        <v>255</v>
      </c>
      <c r="H30" s="75"/>
      <c r="I30" s="75" t="s">
        <v>308</v>
      </c>
      <c r="J30" s="75"/>
      <c r="K30" s="75" t="s">
        <v>413</v>
      </c>
      <c r="L30" s="76">
        <v>1</v>
      </c>
      <c r="M30" s="75">
        <f t="shared" si="1"/>
        <v>5</v>
      </c>
      <c r="N30" s="75"/>
      <c r="O30" s="75"/>
      <c r="P30" s="77"/>
      <c r="Q30" s="77">
        <f t="shared" si="2"/>
        <v>0</v>
      </c>
      <c r="R30" s="83" t="s">
        <v>527</v>
      </c>
      <c r="S30" s="78"/>
    </row>
    <row r="31" spans="1:19" ht="15.75" thickBot="1" x14ac:dyDescent="0.3">
      <c r="A31" s="1"/>
      <c r="B31" s="38">
        <f t="shared" si="0"/>
        <v>22</v>
      </c>
      <c r="C31" s="85" t="s">
        <v>389</v>
      </c>
      <c r="D31" s="50" t="s">
        <v>28</v>
      </c>
      <c r="E31" s="51" t="s">
        <v>121</v>
      </c>
      <c r="F31" s="50" t="s">
        <v>198</v>
      </c>
      <c r="G31" s="50" t="s">
        <v>199</v>
      </c>
      <c r="H31" s="50" t="s">
        <v>413</v>
      </c>
      <c r="I31" s="50" t="s">
        <v>309</v>
      </c>
      <c r="J31" s="50" t="s">
        <v>485</v>
      </c>
      <c r="K31" s="50" t="s">
        <v>413</v>
      </c>
      <c r="L31" s="51">
        <v>1</v>
      </c>
      <c r="M31" s="50">
        <f t="shared" si="1"/>
        <v>5</v>
      </c>
      <c r="N31" s="50">
        <v>10</v>
      </c>
      <c r="O31" s="64" t="s">
        <v>417</v>
      </c>
      <c r="P31" s="63">
        <v>6.2399999999999997E-2</v>
      </c>
      <c r="Q31" s="63">
        <f t="shared" si="2"/>
        <v>0.624</v>
      </c>
      <c r="R31" s="52"/>
      <c r="S31" s="52"/>
    </row>
    <row r="32" spans="1:19" ht="15.75" thickBot="1" x14ac:dyDescent="0.3">
      <c r="A32" s="1"/>
      <c r="B32" s="38">
        <f t="shared" si="0"/>
        <v>23</v>
      </c>
      <c r="C32" s="84" t="s">
        <v>390</v>
      </c>
      <c r="D32" s="46" t="s">
        <v>29</v>
      </c>
      <c r="E32" s="47" t="s">
        <v>122</v>
      </c>
      <c r="F32" s="46" t="s">
        <v>411</v>
      </c>
      <c r="G32" s="47" t="s">
        <v>200</v>
      </c>
      <c r="H32" s="46"/>
      <c r="I32" s="46" t="s">
        <v>310</v>
      </c>
      <c r="J32" s="46"/>
      <c r="K32" s="46" t="s">
        <v>413</v>
      </c>
      <c r="L32" s="47">
        <v>1</v>
      </c>
      <c r="M32" s="46">
        <f t="shared" si="1"/>
        <v>5</v>
      </c>
      <c r="N32" s="46"/>
      <c r="O32" s="46"/>
      <c r="P32" s="62"/>
      <c r="Q32" s="62">
        <f t="shared" si="2"/>
        <v>0</v>
      </c>
      <c r="R32" s="48"/>
      <c r="S32" s="48"/>
    </row>
    <row r="33" spans="1:19" ht="15.75" thickBot="1" x14ac:dyDescent="0.3">
      <c r="A33" s="1"/>
      <c r="B33" s="38">
        <f t="shared" si="0"/>
        <v>24</v>
      </c>
      <c r="C33" s="85" t="s">
        <v>391</v>
      </c>
      <c r="D33" s="50" t="s">
        <v>30</v>
      </c>
      <c r="E33" s="51" t="s">
        <v>123</v>
      </c>
      <c r="F33" s="50" t="s">
        <v>411</v>
      </c>
      <c r="G33" s="71" t="s">
        <v>201</v>
      </c>
      <c r="H33" s="50" t="s">
        <v>519</v>
      </c>
      <c r="I33" s="50" t="s">
        <v>311</v>
      </c>
      <c r="J33" s="50" t="s">
        <v>520</v>
      </c>
      <c r="K33" s="50" t="s">
        <v>413</v>
      </c>
      <c r="L33" s="51">
        <v>9</v>
      </c>
      <c r="M33" s="50">
        <f t="shared" si="1"/>
        <v>45</v>
      </c>
      <c r="N33" s="50">
        <v>50</v>
      </c>
      <c r="O33" s="64" t="s">
        <v>417</v>
      </c>
      <c r="P33" s="63">
        <v>7.0999999999999994E-2</v>
      </c>
      <c r="Q33" s="63">
        <f t="shared" si="2"/>
        <v>3.55</v>
      </c>
      <c r="R33" s="52"/>
      <c r="S33" s="52"/>
    </row>
    <row r="34" spans="1:19" ht="15.75" thickBot="1" x14ac:dyDescent="0.3">
      <c r="A34" s="1"/>
      <c r="B34" s="38">
        <f t="shared" si="0"/>
        <v>25</v>
      </c>
      <c r="C34" s="84" t="s">
        <v>391</v>
      </c>
      <c r="D34" s="46" t="s">
        <v>31</v>
      </c>
      <c r="E34" s="47" t="s">
        <v>123</v>
      </c>
      <c r="F34" s="46" t="s">
        <v>411</v>
      </c>
      <c r="G34" s="70" t="s">
        <v>202</v>
      </c>
      <c r="H34" s="46" t="s">
        <v>521</v>
      </c>
      <c r="I34" s="46" t="s">
        <v>311</v>
      </c>
      <c r="J34" s="46" t="s">
        <v>522</v>
      </c>
      <c r="K34" s="46" t="s">
        <v>413</v>
      </c>
      <c r="L34" s="47">
        <v>5</v>
      </c>
      <c r="M34" s="46">
        <f t="shared" si="1"/>
        <v>25</v>
      </c>
      <c r="N34" s="46">
        <v>30</v>
      </c>
      <c r="O34" s="61" t="s">
        <v>417</v>
      </c>
      <c r="P34" s="62">
        <v>0.1221</v>
      </c>
      <c r="Q34" s="62">
        <f t="shared" si="2"/>
        <v>3.6629999999999998</v>
      </c>
      <c r="R34" s="48"/>
      <c r="S34" s="48"/>
    </row>
    <row r="35" spans="1:19" ht="15.75" thickBot="1" x14ac:dyDescent="0.3">
      <c r="A35" s="1"/>
      <c r="B35" s="38">
        <f t="shared" si="0"/>
        <v>26</v>
      </c>
      <c r="C35" s="85" t="s">
        <v>391</v>
      </c>
      <c r="D35" s="50" t="s">
        <v>32</v>
      </c>
      <c r="E35" s="51" t="s">
        <v>123</v>
      </c>
      <c r="F35" s="50" t="s">
        <v>411</v>
      </c>
      <c r="G35" s="71" t="s">
        <v>203</v>
      </c>
      <c r="H35" s="50" t="s">
        <v>523</v>
      </c>
      <c r="I35" s="50" t="s">
        <v>311</v>
      </c>
      <c r="J35" s="50" t="s">
        <v>524</v>
      </c>
      <c r="K35" s="59" t="s">
        <v>414</v>
      </c>
      <c r="L35" s="51">
        <v>1</v>
      </c>
      <c r="M35" s="50">
        <f t="shared" si="1"/>
        <v>5</v>
      </c>
      <c r="N35" s="50">
        <v>10</v>
      </c>
      <c r="O35" s="64" t="s">
        <v>417</v>
      </c>
      <c r="P35" s="63">
        <v>0.1225</v>
      </c>
      <c r="Q35" s="63">
        <f t="shared" si="2"/>
        <v>1.2250000000000001</v>
      </c>
      <c r="R35" s="52"/>
      <c r="S35" s="52"/>
    </row>
    <row r="36" spans="1:19" ht="36.75" thickBot="1" x14ac:dyDescent="0.3">
      <c r="A36" s="1"/>
      <c r="B36" s="38">
        <f t="shared" si="0"/>
        <v>27</v>
      </c>
      <c r="C36" s="84" t="s">
        <v>390</v>
      </c>
      <c r="D36" s="46" t="s">
        <v>33</v>
      </c>
      <c r="E36" s="47" t="s">
        <v>124</v>
      </c>
      <c r="F36" s="46" t="s">
        <v>411</v>
      </c>
      <c r="G36" s="47" t="s">
        <v>204</v>
      </c>
      <c r="H36" s="46" t="s">
        <v>413</v>
      </c>
      <c r="I36" s="46" t="s">
        <v>312</v>
      </c>
      <c r="J36" s="46" t="s">
        <v>433</v>
      </c>
      <c r="K36" s="46" t="s">
        <v>413</v>
      </c>
      <c r="L36" s="47">
        <v>1</v>
      </c>
      <c r="M36" s="46">
        <f t="shared" si="1"/>
        <v>5</v>
      </c>
      <c r="N36" s="46">
        <v>6</v>
      </c>
      <c r="O36" s="61" t="s">
        <v>417</v>
      </c>
      <c r="P36" s="62">
        <v>0.83430000000000004</v>
      </c>
      <c r="Q36" s="62">
        <f t="shared" si="2"/>
        <v>5.0058000000000007</v>
      </c>
      <c r="R36" s="48"/>
      <c r="S36" s="48"/>
    </row>
    <row r="37" spans="1:19" ht="15.75" thickBot="1" x14ac:dyDescent="0.3">
      <c r="A37" s="1"/>
      <c r="B37" s="38">
        <f t="shared" si="0"/>
        <v>28</v>
      </c>
      <c r="C37" s="85" t="s">
        <v>392</v>
      </c>
      <c r="D37" s="50" t="s">
        <v>34</v>
      </c>
      <c r="E37" s="51" t="s">
        <v>125</v>
      </c>
      <c r="F37" s="50" t="s">
        <v>411</v>
      </c>
      <c r="G37" s="50" t="s">
        <v>205</v>
      </c>
      <c r="H37" s="50" t="s">
        <v>413</v>
      </c>
      <c r="I37" s="50" t="s">
        <v>313</v>
      </c>
      <c r="J37" s="50" t="s">
        <v>434</v>
      </c>
      <c r="K37" s="50" t="s">
        <v>413</v>
      </c>
      <c r="L37" s="51">
        <v>1</v>
      </c>
      <c r="M37" s="50">
        <f t="shared" si="1"/>
        <v>5</v>
      </c>
      <c r="N37" s="50">
        <v>10</v>
      </c>
      <c r="O37" s="64" t="s">
        <v>417</v>
      </c>
      <c r="P37" s="63">
        <v>6.7199999999999996E-2</v>
      </c>
      <c r="Q37" s="63">
        <f t="shared" si="2"/>
        <v>0.67199999999999993</v>
      </c>
      <c r="R37" s="52"/>
      <c r="S37" s="52"/>
    </row>
    <row r="38" spans="1:19" ht="15.75" thickBot="1" x14ac:dyDescent="0.3">
      <c r="A38" s="1"/>
      <c r="B38" s="38">
        <f t="shared" si="0"/>
        <v>29</v>
      </c>
      <c r="C38" s="84" t="s">
        <v>390</v>
      </c>
      <c r="D38" s="46" t="s">
        <v>35</v>
      </c>
      <c r="E38" s="47" t="s">
        <v>126</v>
      </c>
      <c r="F38" s="46" t="s">
        <v>411</v>
      </c>
      <c r="G38" s="47" t="s">
        <v>206</v>
      </c>
      <c r="H38" s="46" t="s">
        <v>413</v>
      </c>
      <c r="I38" s="46" t="s">
        <v>314</v>
      </c>
      <c r="J38" s="46" t="s">
        <v>435</v>
      </c>
      <c r="K38" s="46" t="s">
        <v>413</v>
      </c>
      <c r="L38" s="47">
        <v>1</v>
      </c>
      <c r="M38" s="46">
        <f t="shared" si="1"/>
        <v>5</v>
      </c>
      <c r="N38" s="46">
        <v>6</v>
      </c>
      <c r="O38" s="61" t="s">
        <v>417</v>
      </c>
      <c r="P38" s="62">
        <v>0.2482</v>
      </c>
      <c r="Q38" s="62">
        <f t="shared" si="2"/>
        <v>1.4892000000000001</v>
      </c>
      <c r="R38" s="48"/>
      <c r="S38" s="48"/>
    </row>
    <row r="39" spans="1:19" ht="24.75" thickBot="1" x14ac:dyDescent="0.3">
      <c r="A39" s="1"/>
      <c r="B39" s="38">
        <f t="shared" si="0"/>
        <v>30</v>
      </c>
      <c r="C39" s="85" t="s">
        <v>393</v>
      </c>
      <c r="D39" s="50" t="s">
        <v>36</v>
      </c>
      <c r="E39" s="51" t="s">
        <v>127</v>
      </c>
      <c r="F39" s="50" t="s">
        <v>207</v>
      </c>
      <c r="G39" s="51" t="s">
        <v>486</v>
      </c>
      <c r="H39" s="50" t="s">
        <v>413</v>
      </c>
      <c r="I39" s="50" t="s">
        <v>315</v>
      </c>
      <c r="J39" s="50" t="s">
        <v>487</v>
      </c>
      <c r="K39" s="50" t="s">
        <v>356</v>
      </c>
      <c r="L39" s="51">
        <v>1</v>
      </c>
      <c r="M39" s="50">
        <f t="shared" si="1"/>
        <v>5</v>
      </c>
      <c r="N39" s="50">
        <v>10</v>
      </c>
      <c r="O39" s="64" t="s">
        <v>417</v>
      </c>
      <c r="P39" s="63">
        <v>4.4600000000000001E-2</v>
      </c>
      <c r="Q39" s="63">
        <f t="shared" si="2"/>
        <v>0.44600000000000001</v>
      </c>
      <c r="R39" s="52"/>
      <c r="S39" s="52"/>
    </row>
    <row r="40" spans="1:19" ht="36.75" thickBot="1" x14ac:dyDescent="0.3">
      <c r="A40" s="1"/>
      <c r="B40" s="38">
        <f t="shared" si="0"/>
        <v>31</v>
      </c>
      <c r="C40" s="84" t="s">
        <v>393</v>
      </c>
      <c r="D40" s="46" t="s">
        <v>37</v>
      </c>
      <c r="E40" s="47" t="s">
        <v>128</v>
      </c>
      <c r="F40" s="46" t="s">
        <v>411</v>
      </c>
      <c r="G40" s="47" t="s">
        <v>208</v>
      </c>
      <c r="H40" s="46" t="s">
        <v>413</v>
      </c>
      <c r="I40" s="46" t="s">
        <v>316</v>
      </c>
      <c r="J40" s="46" t="s">
        <v>436</v>
      </c>
      <c r="K40" s="46" t="s">
        <v>357</v>
      </c>
      <c r="L40" s="47">
        <v>1</v>
      </c>
      <c r="M40" s="46">
        <f t="shared" si="1"/>
        <v>5</v>
      </c>
      <c r="N40" s="46">
        <v>6</v>
      </c>
      <c r="O40" s="61" t="s">
        <v>417</v>
      </c>
      <c r="P40" s="62">
        <v>0.54279999999999995</v>
      </c>
      <c r="Q40" s="62">
        <f t="shared" si="2"/>
        <v>3.2567999999999997</v>
      </c>
      <c r="R40" s="48"/>
      <c r="S40" s="48"/>
    </row>
    <row r="41" spans="1:19" ht="24.75" thickBot="1" x14ac:dyDescent="0.3">
      <c r="A41" s="1"/>
      <c r="B41" s="38">
        <f t="shared" si="0"/>
        <v>32</v>
      </c>
      <c r="C41" s="85" t="s">
        <v>393</v>
      </c>
      <c r="D41" s="50" t="s">
        <v>38</v>
      </c>
      <c r="E41" s="51" t="s">
        <v>129</v>
      </c>
      <c r="F41" s="50" t="s">
        <v>209</v>
      </c>
      <c r="G41" s="51" t="s">
        <v>256</v>
      </c>
      <c r="H41" s="50" t="s">
        <v>413</v>
      </c>
      <c r="I41" s="50" t="s">
        <v>317</v>
      </c>
      <c r="J41" s="50" t="s">
        <v>437</v>
      </c>
      <c r="K41" s="50" t="s">
        <v>358</v>
      </c>
      <c r="L41" s="51">
        <v>1</v>
      </c>
      <c r="M41" s="50">
        <f t="shared" si="1"/>
        <v>5</v>
      </c>
      <c r="N41" s="50">
        <v>10</v>
      </c>
      <c r="O41" s="64" t="s">
        <v>417</v>
      </c>
      <c r="P41" s="63">
        <v>8.9399999999999993E-2</v>
      </c>
      <c r="Q41" s="63">
        <f t="shared" si="2"/>
        <v>0.89399999999999991</v>
      </c>
      <c r="R41" s="52"/>
      <c r="S41" s="52"/>
    </row>
    <row r="42" spans="1:19" ht="36.75" thickBot="1" x14ac:dyDescent="0.3">
      <c r="A42" s="1"/>
      <c r="B42" s="38">
        <f t="shared" ref="B42:B73" si="3">ROW(B42) - ROW($B$9)</f>
        <v>33</v>
      </c>
      <c r="C42" s="84" t="s">
        <v>393</v>
      </c>
      <c r="D42" s="46" t="s">
        <v>39</v>
      </c>
      <c r="E42" s="47" t="s">
        <v>130</v>
      </c>
      <c r="F42" s="46" t="s">
        <v>210</v>
      </c>
      <c r="G42" s="47" t="s">
        <v>257</v>
      </c>
      <c r="H42" s="46" t="s">
        <v>413</v>
      </c>
      <c r="I42" s="46" t="s">
        <v>318</v>
      </c>
      <c r="J42" s="46" t="s">
        <v>438</v>
      </c>
      <c r="K42" s="46" t="s">
        <v>359</v>
      </c>
      <c r="L42" s="47">
        <v>1</v>
      </c>
      <c r="M42" s="46">
        <f t="shared" si="1"/>
        <v>5</v>
      </c>
      <c r="N42" s="46">
        <v>10</v>
      </c>
      <c r="O42" s="61" t="s">
        <v>417</v>
      </c>
      <c r="P42" s="62">
        <v>1.01E-2</v>
      </c>
      <c r="Q42" s="62">
        <f t="shared" si="2"/>
        <v>0.10099999999999999</v>
      </c>
      <c r="R42" s="48"/>
      <c r="S42" s="48"/>
    </row>
    <row r="43" spans="1:19" ht="24.75" thickBot="1" x14ac:dyDescent="0.3">
      <c r="A43" s="1"/>
      <c r="B43" s="38">
        <f t="shared" si="3"/>
        <v>34</v>
      </c>
      <c r="C43" s="85" t="s">
        <v>394</v>
      </c>
      <c r="D43" s="50" t="s">
        <v>40</v>
      </c>
      <c r="E43" s="51" t="s">
        <v>131</v>
      </c>
      <c r="F43" s="50" t="s">
        <v>211</v>
      </c>
      <c r="G43" s="71" t="s">
        <v>258</v>
      </c>
      <c r="H43" s="50" t="s">
        <v>505</v>
      </c>
      <c r="I43" s="50" t="s">
        <v>319</v>
      </c>
      <c r="J43" s="50" t="s">
        <v>506</v>
      </c>
      <c r="K43" s="50" t="s">
        <v>413</v>
      </c>
      <c r="L43" s="51">
        <v>7</v>
      </c>
      <c r="M43" s="50">
        <f t="shared" si="1"/>
        <v>35</v>
      </c>
      <c r="N43" s="50">
        <v>40</v>
      </c>
      <c r="O43" s="64" t="s">
        <v>417</v>
      </c>
      <c r="P43" s="63">
        <v>3.6799999999999999E-2</v>
      </c>
      <c r="Q43" s="63">
        <f t="shared" si="2"/>
        <v>1.472</v>
      </c>
      <c r="R43" s="52"/>
      <c r="S43" s="52"/>
    </row>
    <row r="44" spans="1:19" ht="15.75" thickBot="1" x14ac:dyDescent="0.3">
      <c r="A44" s="1"/>
      <c r="B44" s="38">
        <f t="shared" si="3"/>
        <v>35</v>
      </c>
      <c r="C44" s="84" t="s">
        <v>394</v>
      </c>
      <c r="D44" s="46" t="s">
        <v>41</v>
      </c>
      <c r="E44" s="47" t="s">
        <v>132</v>
      </c>
      <c r="F44" s="46" t="s">
        <v>411</v>
      </c>
      <c r="G44" s="47" t="s">
        <v>259</v>
      </c>
      <c r="H44" s="46" t="s">
        <v>413</v>
      </c>
      <c r="I44" s="46" t="s">
        <v>320</v>
      </c>
      <c r="J44" s="46" t="s">
        <v>439</v>
      </c>
      <c r="K44" s="46" t="s">
        <v>413</v>
      </c>
      <c r="L44" s="47">
        <v>1</v>
      </c>
      <c r="M44" s="46">
        <f t="shared" si="1"/>
        <v>5</v>
      </c>
      <c r="N44" s="46">
        <v>10</v>
      </c>
      <c r="O44" s="61" t="s">
        <v>417</v>
      </c>
      <c r="P44" s="62">
        <v>0.1363</v>
      </c>
      <c r="Q44" s="62">
        <f t="shared" si="2"/>
        <v>1.363</v>
      </c>
      <c r="R44" s="48"/>
      <c r="S44" s="48"/>
    </row>
    <row r="45" spans="1:19" ht="24.75" thickBot="1" x14ac:dyDescent="0.3">
      <c r="A45" s="1"/>
      <c r="B45" s="38">
        <f t="shared" si="3"/>
        <v>36</v>
      </c>
      <c r="C45" s="85" t="s">
        <v>395</v>
      </c>
      <c r="D45" s="50" t="s">
        <v>42</v>
      </c>
      <c r="E45" s="51" t="s">
        <v>133</v>
      </c>
      <c r="F45" s="50" t="s">
        <v>411</v>
      </c>
      <c r="G45" s="50" t="s">
        <v>212</v>
      </c>
      <c r="H45" s="50" t="s">
        <v>413</v>
      </c>
      <c r="I45" s="50" t="s">
        <v>321</v>
      </c>
      <c r="J45" s="50" t="s">
        <v>440</v>
      </c>
      <c r="K45" s="50" t="s">
        <v>413</v>
      </c>
      <c r="L45" s="51">
        <v>1</v>
      </c>
      <c r="M45" s="50">
        <f t="shared" si="1"/>
        <v>5</v>
      </c>
      <c r="N45" s="50">
        <v>6</v>
      </c>
      <c r="O45" s="64" t="s">
        <v>417</v>
      </c>
      <c r="P45" s="63">
        <v>0.46300000000000002</v>
      </c>
      <c r="Q45" s="63">
        <f t="shared" si="2"/>
        <v>2.778</v>
      </c>
      <c r="R45" s="52"/>
      <c r="S45" s="52"/>
    </row>
    <row r="46" spans="1:19" ht="15.75" thickBot="1" x14ac:dyDescent="0.3">
      <c r="A46" s="1"/>
      <c r="B46" s="38">
        <f t="shared" si="3"/>
        <v>37</v>
      </c>
      <c r="C46" s="84" t="s">
        <v>360</v>
      </c>
      <c r="D46" s="46" t="s">
        <v>43</v>
      </c>
      <c r="E46" s="47" t="s">
        <v>134</v>
      </c>
      <c r="F46" s="46" t="s">
        <v>411</v>
      </c>
      <c r="G46" s="47" t="s">
        <v>413</v>
      </c>
      <c r="H46" s="46" t="s">
        <v>413</v>
      </c>
      <c r="I46" s="46" t="s">
        <v>413</v>
      </c>
      <c r="J46" s="46" t="s">
        <v>413</v>
      </c>
      <c r="K46" s="46" t="s">
        <v>413</v>
      </c>
      <c r="L46" s="47">
        <v>1</v>
      </c>
      <c r="M46" s="46">
        <f t="shared" si="1"/>
        <v>5</v>
      </c>
      <c r="N46" s="46" t="s">
        <v>413</v>
      </c>
      <c r="O46" s="46" t="s">
        <v>413</v>
      </c>
      <c r="P46" s="62" t="s">
        <v>413</v>
      </c>
      <c r="Q46" s="62" t="s">
        <v>413</v>
      </c>
      <c r="R46" s="89" t="s">
        <v>531</v>
      </c>
      <c r="S46" s="48" t="s">
        <v>413</v>
      </c>
    </row>
    <row r="47" spans="1:19" ht="15.75" thickBot="1" x14ac:dyDescent="0.3">
      <c r="A47" s="1"/>
      <c r="B47" s="38">
        <f t="shared" si="3"/>
        <v>38</v>
      </c>
      <c r="C47" s="85" t="s">
        <v>392</v>
      </c>
      <c r="D47" s="50" t="s">
        <v>44</v>
      </c>
      <c r="E47" s="51" t="s">
        <v>135</v>
      </c>
      <c r="F47" s="50" t="s">
        <v>213</v>
      </c>
      <c r="G47" s="71">
        <v>61300311121</v>
      </c>
      <c r="H47" s="50" t="s">
        <v>490</v>
      </c>
      <c r="I47" s="50" t="s">
        <v>322</v>
      </c>
      <c r="J47" s="50" t="s">
        <v>491</v>
      </c>
      <c r="K47" s="50" t="s">
        <v>413</v>
      </c>
      <c r="L47" s="51">
        <v>2</v>
      </c>
      <c r="M47" s="50">
        <f t="shared" si="1"/>
        <v>10</v>
      </c>
      <c r="N47" s="50">
        <v>20</v>
      </c>
      <c r="O47" s="64" t="s">
        <v>417</v>
      </c>
      <c r="P47" s="63">
        <v>6.0699999999999997E-2</v>
      </c>
      <c r="Q47" s="63">
        <f t="shared" si="2"/>
        <v>1.214</v>
      </c>
      <c r="R47" s="52"/>
      <c r="S47" s="52"/>
    </row>
    <row r="48" spans="1:19" ht="15.75" thickBot="1" x14ac:dyDescent="0.3">
      <c r="A48" s="1"/>
      <c r="B48" s="38">
        <f t="shared" si="3"/>
        <v>39</v>
      </c>
      <c r="C48" s="84" t="s">
        <v>392</v>
      </c>
      <c r="D48" s="46" t="s">
        <v>45</v>
      </c>
      <c r="E48" s="47" t="s">
        <v>136</v>
      </c>
      <c r="F48" s="46" t="s">
        <v>214</v>
      </c>
      <c r="G48" s="70">
        <v>61300611121</v>
      </c>
      <c r="H48" s="46" t="s">
        <v>488</v>
      </c>
      <c r="I48" s="46" t="s">
        <v>322</v>
      </c>
      <c r="J48" s="46" t="s">
        <v>489</v>
      </c>
      <c r="K48" s="46" t="s">
        <v>413</v>
      </c>
      <c r="L48" s="47">
        <v>4</v>
      </c>
      <c r="M48" s="46">
        <f t="shared" si="1"/>
        <v>20</v>
      </c>
      <c r="N48" s="46">
        <v>40</v>
      </c>
      <c r="O48" s="61" t="s">
        <v>417</v>
      </c>
      <c r="P48" s="62">
        <v>3.5499999999999997E-2</v>
      </c>
      <c r="Q48" s="62">
        <f t="shared" si="2"/>
        <v>1.42</v>
      </c>
      <c r="R48" s="48"/>
      <c r="S48" s="48"/>
    </row>
    <row r="49" spans="1:19" ht="15.75" thickBot="1" x14ac:dyDescent="0.3">
      <c r="A49" s="1"/>
      <c r="B49" s="38">
        <f t="shared" si="3"/>
        <v>40</v>
      </c>
      <c r="C49" s="85" t="s">
        <v>392</v>
      </c>
      <c r="D49" s="50" t="s">
        <v>46</v>
      </c>
      <c r="E49" s="51" t="s">
        <v>137</v>
      </c>
      <c r="F49" s="50" t="s">
        <v>215</v>
      </c>
      <c r="G49" s="71" t="s">
        <v>260</v>
      </c>
      <c r="H49" s="50" t="s">
        <v>507</v>
      </c>
      <c r="I49" s="50" t="s">
        <v>508</v>
      </c>
      <c r="J49" s="50" t="s">
        <v>507</v>
      </c>
      <c r="K49" s="50" t="s">
        <v>413</v>
      </c>
      <c r="L49" s="51">
        <v>1</v>
      </c>
      <c r="M49" s="50">
        <f t="shared" si="1"/>
        <v>5</v>
      </c>
      <c r="N49" s="50">
        <v>10</v>
      </c>
      <c r="O49" s="64" t="s">
        <v>417</v>
      </c>
      <c r="P49" s="63">
        <v>0.12429999999999999</v>
      </c>
      <c r="Q49" s="63">
        <f t="shared" si="2"/>
        <v>1.2429999999999999</v>
      </c>
      <c r="R49" s="52"/>
      <c r="S49" s="52"/>
    </row>
    <row r="50" spans="1:19" ht="15.75" thickBot="1" x14ac:dyDescent="0.3">
      <c r="A50" s="1"/>
      <c r="B50" s="38">
        <f t="shared" si="3"/>
        <v>41</v>
      </c>
      <c r="C50" s="84" t="s">
        <v>392</v>
      </c>
      <c r="D50" s="46" t="s">
        <v>47</v>
      </c>
      <c r="E50" s="47" t="s">
        <v>138</v>
      </c>
      <c r="F50" s="46" t="s">
        <v>216</v>
      </c>
      <c r="G50" s="70">
        <v>61300211121</v>
      </c>
      <c r="H50" s="46" t="s">
        <v>492</v>
      </c>
      <c r="I50" s="46" t="s">
        <v>322</v>
      </c>
      <c r="J50" s="46" t="s">
        <v>493</v>
      </c>
      <c r="K50" s="46" t="s">
        <v>413</v>
      </c>
      <c r="L50" s="47">
        <v>3</v>
      </c>
      <c r="M50" s="46">
        <f t="shared" si="1"/>
        <v>15</v>
      </c>
      <c r="N50" s="46">
        <v>50</v>
      </c>
      <c r="O50" s="61" t="s">
        <v>417</v>
      </c>
      <c r="P50" s="62">
        <v>1.89E-2</v>
      </c>
      <c r="Q50" s="62">
        <f t="shared" si="2"/>
        <v>0.94500000000000006</v>
      </c>
      <c r="R50" s="48"/>
      <c r="S50" s="48"/>
    </row>
    <row r="51" spans="1:19" ht="15.75" thickBot="1" x14ac:dyDescent="0.3">
      <c r="A51" s="1"/>
      <c r="B51" s="38">
        <f t="shared" si="3"/>
        <v>42</v>
      </c>
      <c r="C51" s="85" t="s">
        <v>392</v>
      </c>
      <c r="D51" s="50" t="s">
        <v>48</v>
      </c>
      <c r="E51" s="51" t="s">
        <v>139</v>
      </c>
      <c r="F51" s="50" t="s">
        <v>217</v>
      </c>
      <c r="G51" s="71">
        <v>61300411121</v>
      </c>
      <c r="H51" s="50" t="s">
        <v>494</v>
      </c>
      <c r="I51" s="50" t="s">
        <v>322</v>
      </c>
      <c r="J51" s="50" t="s">
        <v>495</v>
      </c>
      <c r="K51" s="50" t="s">
        <v>413</v>
      </c>
      <c r="L51" s="51">
        <v>1</v>
      </c>
      <c r="M51" s="50">
        <f t="shared" si="1"/>
        <v>5</v>
      </c>
      <c r="N51" s="50">
        <v>20</v>
      </c>
      <c r="O51" s="64" t="s">
        <v>417</v>
      </c>
      <c r="P51" s="63">
        <v>2.29E-2</v>
      </c>
      <c r="Q51" s="63">
        <f t="shared" si="2"/>
        <v>0.45800000000000002</v>
      </c>
      <c r="R51" s="52"/>
      <c r="S51" s="52"/>
    </row>
    <row r="52" spans="1:19" ht="24.75" thickBot="1" x14ac:dyDescent="0.3">
      <c r="A52" s="1"/>
      <c r="B52" s="38">
        <f t="shared" si="3"/>
        <v>43</v>
      </c>
      <c r="C52" s="84" t="s">
        <v>396</v>
      </c>
      <c r="D52" s="46" t="s">
        <v>49</v>
      </c>
      <c r="E52" s="47" t="s">
        <v>140</v>
      </c>
      <c r="F52" s="46" t="s">
        <v>218</v>
      </c>
      <c r="G52" s="47" t="s">
        <v>261</v>
      </c>
      <c r="H52" s="46" t="s">
        <v>413</v>
      </c>
      <c r="I52" s="46" t="s">
        <v>308</v>
      </c>
      <c r="J52" s="46" t="s">
        <v>441</v>
      </c>
      <c r="K52" s="46" t="s">
        <v>413</v>
      </c>
      <c r="L52" s="47">
        <v>9</v>
      </c>
      <c r="M52" s="46">
        <f t="shared" si="1"/>
        <v>45</v>
      </c>
      <c r="N52" s="46">
        <v>48</v>
      </c>
      <c r="O52" s="61" t="s">
        <v>417</v>
      </c>
      <c r="P52" s="62">
        <v>0.311</v>
      </c>
      <c r="Q52" s="62">
        <f t="shared" si="2"/>
        <v>14.928000000000001</v>
      </c>
      <c r="R52" s="48"/>
      <c r="S52" s="48"/>
    </row>
    <row r="53" spans="1:19" ht="15.75" thickBot="1" x14ac:dyDescent="0.3">
      <c r="A53" s="1"/>
      <c r="B53" s="38">
        <f t="shared" si="3"/>
        <v>44</v>
      </c>
      <c r="C53" s="85" t="s">
        <v>396</v>
      </c>
      <c r="D53" s="50" t="s">
        <v>50</v>
      </c>
      <c r="E53" s="51" t="s">
        <v>141</v>
      </c>
      <c r="F53" s="50" t="s">
        <v>219</v>
      </c>
      <c r="G53" s="51" t="s">
        <v>262</v>
      </c>
      <c r="H53" s="50" t="s">
        <v>413</v>
      </c>
      <c r="I53" s="50" t="s">
        <v>496</v>
      </c>
      <c r="J53" s="50" t="s">
        <v>497</v>
      </c>
      <c r="K53" s="50" t="s">
        <v>413</v>
      </c>
      <c r="L53" s="51">
        <v>1</v>
      </c>
      <c r="M53" s="50">
        <f t="shared" si="1"/>
        <v>5</v>
      </c>
      <c r="N53" s="50">
        <v>10</v>
      </c>
      <c r="O53" s="64" t="s">
        <v>417</v>
      </c>
      <c r="P53" s="63">
        <v>7.51E-2</v>
      </c>
      <c r="Q53" s="63">
        <f t="shared" si="2"/>
        <v>0.751</v>
      </c>
      <c r="R53" s="52"/>
      <c r="S53" s="52"/>
    </row>
    <row r="54" spans="1:19" ht="15.75" thickBot="1" x14ac:dyDescent="0.3">
      <c r="A54" s="1"/>
      <c r="B54" s="38">
        <f t="shared" si="3"/>
        <v>45</v>
      </c>
      <c r="C54" s="84" t="s">
        <v>396</v>
      </c>
      <c r="D54" s="46" t="s">
        <v>51</v>
      </c>
      <c r="E54" s="47" t="s">
        <v>142</v>
      </c>
      <c r="F54" s="46" t="s">
        <v>220</v>
      </c>
      <c r="G54" s="47" t="s">
        <v>263</v>
      </c>
      <c r="H54" s="46"/>
      <c r="I54" s="46" t="s">
        <v>323</v>
      </c>
      <c r="J54" s="46" t="s">
        <v>442</v>
      </c>
      <c r="K54" s="46" t="s">
        <v>413</v>
      </c>
      <c r="L54" s="47">
        <v>2</v>
      </c>
      <c r="M54" s="46">
        <f t="shared" si="1"/>
        <v>10</v>
      </c>
      <c r="N54" s="46">
        <v>12</v>
      </c>
      <c r="O54" s="61" t="s">
        <v>417</v>
      </c>
      <c r="P54" s="62">
        <v>3.6715</v>
      </c>
      <c r="Q54" s="62">
        <f t="shared" si="2"/>
        <v>44.058</v>
      </c>
      <c r="R54" s="48"/>
      <c r="S54" s="48"/>
    </row>
    <row r="55" spans="1:19" ht="15.75" thickBot="1" x14ac:dyDescent="0.3">
      <c r="A55" s="1"/>
      <c r="B55" s="38">
        <f t="shared" si="3"/>
        <v>46</v>
      </c>
      <c r="C55" s="85" t="s">
        <v>396</v>
      </c>
      <c r="D55" s="50" t="s">
        <v>52</v>
      </c>
      <c r="E55" s="51" t="s">
        <v>143</v>
      </c>
      <c r="F55" s="50" t="s">
        <v>219</v>
      </c>
      <c r="G55" s="72" t="s">
        <v>264</v>
      </c>
      <c r="H55" s="50" t="s">
        <v>413</v>
      </c>
      <c r="I55" s="50" t="s">
        <v>496</v>
      </c>
      <c r="J55" s="50" t="s">
        <v>498</v>
      </c>
      <c r="K55" s="50" t="s">
        <v>413</v>
      </c>
      <c r="L55" s="51">
        <v>2</v>
      </c>
      <c r="M55" s="50">
        <f t="shared" si="1"/>
        <v>10</v>
      </c>
      <c r="N55" s="50">
        <v>15</v>
      </c>
      <c r="O55" s="64" t="s">
        <v>417</v>
      </c>
      <c r="P55" s="63">
        <v>7.2599999999999998E-2</v>
      </c>
      <c r="Q55" s="63">
        <f t="shared" si="2"/>
        <v>1.089</v>
      </c>
      <c r="R55" s="52"/>
      <c r="S55" s="52"/>
    </row>
    <row r="56" spans="1:19" ht="24.75" thickBot="1" x14ac:dyDescent="0.3">
      <c r="A56" s="1"/>
      <c r="B56" s="38">
        <f t="shared" si="3"/>
        <v>47</v>
      </c>
      <c r="C56" s="84" t="s">
        <v>396</v>
      </c>
      <c r="D56" s="46" t="s">
        <v>53</v>
      </c>
      <c r="E56" s="47" t="s">
        <v>144</v>
      </c>
      <c r="F56" s="46" t="s">
        <v>219</v>
      </c>
      <c r="G56" s="47" t="s">
        <v>265</v>
      </c>
      <c r="H56" s="46"/>
      <c r="I56" s="46" t="s">
        <v>324</v>
      </c>
      <c r="J56" s="46" t="s">
        <v>443</v>
      </c>
      <c r="K56" s="46" t="s">
        <v>413</v>
      </c>
      <c r="L56" s="47">
        <v>10</v>
      </c>
      <c r="M56" s="46">
        <f t="shared" si="1"/>
        <v>50</v>
      </c>
      <c r="N56" s="46">
        <v>60</v>
      </c>
      <c r="O56" s="61" t="s">
        <v>417</v>
      </c>
      <c r="P56" s="62">
        <v>2.1000000000000001E-2</v>
      </c>
      <c r="Q56" s="62">
        <f t="shared" si="2"/>
        <v>1.26</v>
      </c>
      <c r="R56" s="48"/>
      <c r="S56" s="48"/>
    </row>
    <row r="57" spans="1:19" ht="24.75" thickBot="1" x14ac:dyDescent="0.3">
      <c r="A57" s="1"/>
      <c r="B57" s="38">
        <f t="shared" si="3"/>
        <v>48</v>
      </c>
      <c r="C57" s="85" t="s">
        <v>396</v>
      </c>
      <c r="D57" s="50" t="s">
        <v>54</v>
      </c>
      <c r="E57" s="51" t="s">
        <v>145</v>
      </c>
      <c r="F57" s="50" t="s">
        <v>219</v>
      </c>
      <c r="G57" s="51" t="s">
        <v>266</v>
      </c>
      <c r="H57" s="50" t="s">
        <v>413</v>
      </c>
      <c r="I57" s="50" t="s">
        <v>324</v>
      </c>
      <c r="J57" s="50" t="s">
        <v>444</v>
      </c>
      <c r="K57" s="50" t="s">
        <v>413</v>
      </c>
      <c r="L57" s="51">
        <v>2</v>
      </c>
      <c r="M57" s="50">
        <f t="shared" si="1"/>
        <v>10</v>
      </c>
      <c r="N57" s="50">
        <v>20</v>
      </c>
      <c r="O57" s="64" t="s">
        <v>417</v>
      </c>
      <c r="P57" s="63">
        <v>2.29E-2</v>
      </c>
      <c r="Q57" s="63">
        <f t="shared" si="2"/>
        <v>0.45800000000000002</v>
      </c>
      <c r="R57" s="52"/>
      <c r="S57" s="52"/>
    </row>
    <row r="58" spans="1:19" ht="15.75" thickBot="1" x14ac:dyDescent="0.3">
      <c r="A58" s="1"/>
      <c r="B58" s="38">
        <f t="shared" si="3"/>
        <v>49</v>
      </c>
      <c r="C58" s="84" t="s">
        <v>396</v>
      </c>
      <c r="D58" s="46" t="s">
        <v>55</v>
      </c>
      <c r="E58" s="47" t="s">
        <v>146</v>
      </c>
      <c r="F58" s="46" t="s">
        <v>219</v>
      </c>
      <c r="G58" s="47" t="s">
        <v>267</v>
      </c>
      <c r="H58" s="46" t="s">
        <v>413</v>
      </c>
      <c r="I58" s="46" t="s">
        <v>307</v>
      </c>
      <c r="J58" s="46" t="s">
        <v>445</v>
      </c>
      <c r="K58" s="46" t="s">
        <v>413</v>
      </c>
      <c r="L58" s="47">
        <v>1</v>
      </c>
      <c r="M58" s="46">
        <f t="shared" si="1"/>
        <v>5</v>
      </c>
      <c r="N58" s="46">
        <v>20</v>
      </c>
      <c r="O58" s="61" t="s">
        <v>417</v>
      </c>
      <c r="P58" s="62">
        <v>3.3399999999999999E-2</v>
      </c>
      <c r="Q58" s="62">
        <f t="shared" si="2"/>
        <v>0.66799999999999993</v>
      </c>
      <c r="R58" s="48"/>
      <c r="S58" s="48"/>
    </row>
    <row r="59" spans="1:19" ht="36.75" thickBot="1" x14ac:dyDescent="0.3">
      <c r="A59" s="1"/>
      <c r="B59" s="38">
        <f t="shared" si="3"/>
        <v>50</v>
      </c>
      <c r="C59" s="85" t="s">
        <v>396</v>
      </c>
      <c r="D59" s="50" t="s">
        <v>56</v>
      </c>
      <c r="E59" s="51" t="s">
        <v>147</v>
      </c>
      <c r="F59" s="50" t="s">
        <v>411</v>
      </c>
      <c r="G59" s="50" t="s">
        <v>221</v>
      </c>
      <c r="H59" s="50" t="s">
        <v>413</v>
      </c>
      <c r="I59" s="50" t="s">
        <v>325</v>
      </c>
      <c r="J59" s="50" t="s">
        <v>446</v>
      </c>
      <c r="K59" s="50" t="s">
        <v>413</v>
      </c>
      <c r="L59" s="51">
        <v>1</v>
      </c>
      <c r="M59" s="50">
        <f t="shared" si="1"/>
        <v>5</v>
      </c>
      <c r="N59" s="50">
        <v>6</v>
      </c>
      <c r="O59" s="64" t="s">
        <v>417</v>
      </c>
      <c r="P59" s="63">
        <v>0.40760000000000002</v>
      </c>
      <c r="Q59" s="63">
        <f t="shared" si="2"/>
        <v>2.4456000000000002</v>
      </c>
      <c r="R59" s="52"/>
      <c r="S59" s="52"/>
    </row>
    <row r="60" spans="1:19" ht="36.75" thickBot="1" x14ac:dyDescent="0.3">
      <c r="A60" s="1"/>
      <c r="B60" s="38">
        <f t="shared" si="3"/>
        <v>51</v>
      </c>
      <c r="C60" s="84" t="s">
        <v>397</v>
      </c>
      <c r="D60" s="46" t="s">
        <v>57</v>
      </c>
      <c r="E60" s="47" t="s">
        <v>148</v>
      </c>
      <c r="F60" s="46" t="s">
        <v>222</v>
      </c>
      <c r="G60" s="47" t="s">
        <v>268</v>
      </c>
      <c r="H60" s="46" t="s">
        <v>413</v>
      </c>
      <c r="I60" s="46" t="s">
        <v>301</v>
      </c>
      <c r="J60" s="46" t="s">
        <v>447</v>
      </c>
      <c r="K60" s="46" t="s">
        <v>361</v>
      </c>
      <c r="L60" s="47">
        <v>1</v>
      </c>
      <c r="M60" s="46">
        <f t="shared" si="1"/>
        <v>5</v>
      </c>
      <c r="N60" s="46">
        <v>100</v>
      </c>
      <c r="O60" s="61" t="s">
        <v>417</v>
      </c>
      <c r="P60" s="62">
        <v>2.3999999999999998E-3</v>
      </c>
      <c r="Q60" s="62">
        <f t="shared" si="2"/>
        <v>0.24</v>
      </c>
      <c r="R60" s="48"/>
      <c r="S60" s="48"/>
    </row>
    <row r="61" spans="1:19" ht="15.75" thickBot="1" x14ac:dyDescent="0.3">
      <c r="A61" s="1"/>
      <c r="B61" s="38">
        <f t="shared" si="3"/>
        <v>52</v>
      </c>
      <c r="C61" s="85" t="s">
        <v>397</v>
      </c>
      <c r="D61" s="50" t="s">
        <v>58</v>
      </c>
      <c r="E61" s="51" t="s">
        <v>149</v>
      </c>
      <c r="F61" s="50" t="s">
        <v>222</v>
      </c>
      <c r="G61" s="51" t="s">
        <v>269</v>
      </c>
      <c r="H61" s="50"/>
      <c r="I61" s="50" t="s">
        <v>301</v>
      </c>
      <c r="J61" s="50" t="s">
        <v>448</v>
      </c>
      <c r="K61" s="50" t="s">
        <v>362</v>
      </c>
      <c r="L61" s="51">
        <v>1</v>
      </c>
      <c r="M61" s="50">
        <f t="shared" si="1"/>
        <v>5</v>
      </c>
      <c r="N61" s="50">
        <v>100</v>
      </c>
      <c r="O61" s="64" t="s">
        <v>417</v>
      </c>
      <c r="P61" s="63">
        <v>1.2999999999999999E-3</v>
      </c>
      <c r="Q61" s="63">
        <f t="shared" si="2"/>
        <v>0.13</v>
      </c>
      <c r="R61" s="52"/>
      <c r="S61" s="52"/>
    </row>
    <row r="62" spans="1:19" ht="36.75" thickBot="1" x14ac:dyDescent="0.3">
      <c r="A62" s="1"/>
      <c r="B62" s="38">
        <f t="shared" si="3"/>
        <v>53</v>
      </c>
      <c r="C62" s="84" t="s">
        <v>397</v>
      </c>
      <c r="D62" s="46" t="s">
        <v>59</v>
      </c>
      <c r="E62" s="47" t="s">
        <v>150</v>
      </c>
      <c r="F62" s="46" t="s">
        <v>222</v>
      </c>
      <c r="G62" s="47" t="s">
        <v>476</v>
      </c>
      <c r="H62" s="46" t="s">
        <v>413</v>
      </c>
      <c r="I62" s="46" t="s">
        <v>326</v>
      </c>
      <c r="J62" s="46" t="s">
        <v>477</v>
      </c>
      <c r="K62" s="46" t="s">
        <v>363</v>
      </c>
      <c r="L62" s="47">
        <v>1</v>
      </c>
      <c r="M62" s="46">
        <f t="shared" si="1"/>
        <v>5</v>
      </c>
      <c r="N62" s="46">
        <v>50</v>
      </c>
      <c r="O62" s="61" t="s">
        <v>417</v>
      </c>
      <c r="P62" s="62">
        <v>4.3E-3</v>
      </c>
      <c r="Q62" s="62">
        <f t="shared" si="2"/>
        <v>0.215</v>
      </c>
      <c r="R62" s="48"/>
      <c r="S62" s="48"/>
    </row>
    <row r="63" spans="1:19" ht="60.75" thickBot="1" x14ac:dyDescent="0.3">
      <c r="A63" s="1"/>
      <c r="B63" s="38">
        <f t="shared" si="3"/>
        <v>54</v>
      </c>
      <c r="C63" s="85" t="s">
        <v>397</v>
      </c>
      <c r="D63" s="50" t="s">
        <v>60</v>
      </c>
      <c r="E63" s="51" t="s">
        <v>151</v>
      </c>
      <c r="F63" s="50" t="s">
        <v>222</v>
      </c>
      <c r="G63" s="51" t="s">
        <v>270</v>
      </c>
      <c r="H63" s="50" t="s">
        <v>413</v>
      </c>
      <c r="I63" s="50" t="s">
        <v>301</v>
      </c>
      <c r="J63" s="50" t="s">
        <v>449</v>
      </c>
      <c r="K63" s="50" t="s">
        <v>364</v>
      </c>
      <c r="L63" s="51">
        <v>32</v>
      </c>
      <c r="M63" s="50">
        <f t="shared" si="1"/>
        <v>160</v>
      </c>
      <c r="N63" s="50">
        <v>200</v>
      </c>
      <c r="O63" s="64" t="s">
        <v>417</v>
      </c>
      <c r="P63" s="63">
        <v>2E-3</v>
      </c>
      <c r="Q63" s="63">
        <f t="shared" si="2"/>
        <v>0.4</v>
      </c>
      <c r="R63" s="52"/>
      <c r="S63" s="52"/>
    </row>
    <row r="64" spans="1:19" ht="15.75" thickBot="1" x14ac:dyDescent="0.3">
      <c r="A64" s="1"/>
      <c r="B64" s="38">
        <f t="shared" si="3"/>
        <v>55</v>
      </c>
      <c r="C64" s="84" t="s">
        <v>397</v>
      </c>
      <c r="D64" s="46" t="s">
        <v>61</v>
      </c>
      <c r="E64" s="47" t="s">
        <v>152</v>
      </c>
      <c r="F64" s="46" t="s">
        <v>222</v>
      </c>
      <c r="G64" s="47" t="s">
        <v>271</v>
      </c>
      <c r="H64" s="46" t="s">
        <v>413</v>
      </c>
      <c r="I64" s="46" t="s">
        <v>301</v>
      </c>
      <c r="J64" s="46" t="s">
        <v>450</v>
      </c>
      <c r="K64" s="46" t="s">
        <v>365</v>
      </c>
      <c r="L64" s="47">
        <v>7</v>
      </c>
      <c r="M64" s="46">
        <f t="shared" si="1"/>
        <v>35</v>
      </c>
      <c r="N64" s="46">
        <v>100</v>
      </c>
      <c r="O64" s="61" t="s">
        <v>417</v>
      </c>
      <c r="P64" s="62">
        <v>1.1999999999999999E-3</v>
      </c>
      <c r="Q64" s="62">
        <f t="shared" si="2"/>
        <v>0.12</v>
      </c>
      <c r="R64" s="48"/>
      <c r="S64" s="48"/>
    </row>
    <row r="65" spans="1:19" ht="15.75" thickBot="1" x14ac:dyDescent="0.3">
      <c r="A65" s="1"/>
      <c r="B65" s="38">
        <f t="shared" si="3"/>
        <v>56</v>
      </c>
      <c r="C65" s="85" t="s">
        <v>397</v>
      </c>
      <c r="D65" s="50" t="s">
        <v>62</v>
      </c>
      <c r="E65" s="51" t="s">
        <v>153</v>
      </c>
      <c r="F65" s="50" t="s">
        <v>222</v>
      </c>
      <c r="G65" s="51" t="s">
        <v>272</v>
      </c>
      <c r="H65" s="50"/>
      <c r="I65" s="50" t="s">
        <v>301</v>
      </c>
      <c r="J65" s="50" t="s">
        <v>451</v>
      </c>
      <c r="K65" s="50" t="s">
        <v>366</v>
      </c>
      <c r="L65" s="51">
        <v>2</v>
      </c>
      <c r="M65" s="50">
        <f t="shared" si="1"/>
        <v>10</v>
      </c>
      <c r="N65" s="50">
        <v>100</v>
      </c>
      <c r="O65" s="64" t="s">
        <v>417</v>
      </c>
      <c r="P65" s="63">
        <v>1.9E-3</v>
      </c>
      <c r="Q65" s="63">
        <f t="shared" si="2"/>
        <v>0.19</v>
      </c>
      <c r="R65" s="52"/>
      <c r="S65" s="52"/>
    </row>
    <row r="66" spans="1:19" ht="36.75" thickBot="1" x14ac:dyDescent="0.3">
      <c r="A66" s="1"/>
      <c r="B66" s="38">
        <f t="shared" si="3"/>
        <v>57</v>
      </c>
      <c r="C66" s="84" t="s">
        <v>397</v>
      </c>
      <c r="D66" s="46" t="s">
        <v>63</v>
      </c>
      <c r="E66" s="47" t="s">
        <v>154</v>
      </c>
      <c r="F66" s="46" t="s">
        <v>222</v>
      </c>
      <c r="G66" s="47" t="s">
        <v>273</v>
      </c>
      <c r="H66" s="46" t="s">
        <v>413</v>
      </c>
      <c r="I66" s="46" t="s">
        <v>327</v>
      </c>
      <c r="J66" s="46" t="s">
        <v>452</v>
      </c>
      <c r="K66" s="46" t="s">
        <v>367</v>
      </c>
      <c r="L66" s="47">
        <v>1</v>
      </c>
      <c r="M66" s="46">
        <f t="shared" si="1"/>
        <v>5</v>
      </c>
      <c r="N66" s="46">
        <v>100</v>
      </c>
      <c r="O66" s="61" t="s">
        <v>417</v>
      </c>
      <c r="P66" s="62">
        <v>1.6999999999999999E-3</v>
      </c>
      <c r="Q66" s="62">
        <f t="shared" si="2"/>
        <v>0.16999999999999998</v>
      </c>
      <c r="R66" s="48"/>
      <c r="S66" s="48"/>
    </row>
    <row r="67" spans="1:19" ht="15.75" thickBot="1" x14ac:dyDescent="0.3">
      <c r="A67" s="1"/>
      <c r="B67" s="38">
        <f t="shared" si="3"/>
        <v>58</v>
      </c>
      <c r="C67" s="85" t="s">
        <v>397</v>
      </c>
      <c r="D67" s="50" t="s">
        <v>64</v>
      </c>
      <c r="E67" s="51" t="s">
        <v>155</v>
      </c>
      <c r="F67" s="50" t="s">
        <v>222</v>
      </c>
      <c r="G67" s="71" t="s">
        <v>274</v>
      </c>
      <c r="H67" s="50" t="s">
        <v>499</v>
      </c>
      <c r="I67" s="50" t="s">
        <v>328</v>
      </c>
      <c r="J67" s="50" t="s">
        <v>500</v>
      </c>
      <c r="K67" s="50" t="s">
        <v>368</v>
      </c>
      <c r="L67" s="51">
        <v>1</v>
      </c>
      <c r="M67" s="50">
        <f t="shared" si="1"/>
        <v>5</v>
      </c>
      <c r="N67" s="50">
        <v>20</v>
      </c>
      <c r="O67" s="64" t="s">
        <v>417</v>
      </c>
      <c r="P67" s="63">
        <v>2.93E-2</v>
      </c>
      <c r="Q67" s="63">
        <f t="shared" si="2"/>
        <v>0.58599999999999997</v>
      </c>
      <c r="R67" s="52"/>
      <c r="S67" s="52"/>
    </row>
    <row r="68" spans="1:19" ht="24.75" thickBot="1" x14ac:dyDescent="0.3">
      <c r="A68" s="1"/>
      <c r="B68" s="38">
        <f t="shared" si="3"/>
        <v>59</v>
      </c>
      <c r="C68" s="84" t="s">
        <v>397</v>
      </c>
      <c r="D68" s="46" t="s">
        <v>65</v>
      </c>
      <c r="E68" s="47" t="s">
        <v>156</v>
      </c>
      <c r="F68" s="46" t="s">
        <v>222</v>
      </c>
      <c r="G68" s="47" t="s">
        <v>275</v>
      </c>
      <c r="H68" s="46" t="s">
        <v>413</v>
      </c>
      <c r="I68" s="46" t="s">
        <v>329</v>
      </c>
      <c r="J68" s="46" t="s">
        <v>453</v>
      </c>
      <c r="K68" s="46" t="s">
        <v>369</v>
      </c>
      <c r="L68" s="47">
        <v>8</v>
      </c>
      <c r="M68" s="46">
        <f t="shared" si="1"/>
        <v>40</v>
      </c>
      <c r="N68" s="46">
        <v>100</v>
      </c>
      <c r="O68" s="61" t="s">
        <v>417</v>
      </c>
      <c r="P68" s="62">
        <v>1.4E-3</v>
      </c>
      <c r="Q68" s="62">
        <f t="shared" si="2"/>
        <v>0.13999999999999999</v>
      </c>
      <c r="R68" s="48"/>
      <c r="S68" s="48"/>
    </row>
    <row r="69" spans="1:19" ht="15.75" thickBot="1" x14ac:dyDescent="0.3">
      <c r="A69" s="1"/>
      <c r="B69" s="38">
        <f t="shared" si="3"/>
        <v>60</v>
      </c>
      <c r="C69" s="85" t="s">
        <v>397</v>
      </c>
      <c r="D69" s="50" t="s">
        <v>66</v>
      </c>
      <c r="E69" s="51" t="s">
        <v>157</v>
      </c>
      <c r="F69" s="50" t="s">
        <v>222</v>
      </c>
      <c r="G69" s="51" t="s">
        <v>276</v>
      </c>
      <c r="H69" s="50" t="s">
        <v>413</v>
      </c>
      <c r="I69" s="50" t="s">
        <v>301</v>
      </c>
      <c r="J69" s="50" t="s">
        <v>454</v>
      </c>
      <c r="K69" s="50" t="s">
        <v>370</v>
      </c>
      <c r="L69" s="51">
        <v>3</v>
      </c>
      <c r="M69" s="50">
        <f t="shared" si="1"/>
        <v>15</v>
      </c>
      <c r="N69" s="50">
        <v>100</v>
      </c>
      <c r="O69" s="64" t="s">
        <v>417</v>
      </c>
      <c r="P69" s="63">
        <v>1.5E-3</v>
      </c>
      <c r="Q69" s="63">
        <f t="shared" si="2"/>
        <v>0.15</v>
      </c>
      <c r="R69" s="52"/>
      <c r="S69" s="52"/>
    </row>
    <row r="70" spans="1:19" ht="15.75" thickBot="1" x14ac:dyDescent="0.3">
      <c r="A70" s="1"/>
      <c r="B70" s="38">
        <f t="shared" si="3"/>
        <v>61</v>
      </c>
      <c r="C70" s="84" t="s">
        <v>397</v>
      </c>
      <c r="D70" s="46" t="s">
        <v>67</v>
      </c>
      <c r="E70" s="47" t="s">
        <v>158</v>
      </c>
      <c r="F70" s="46" t="s">
        <v>222</v>
      </c>
      <c r="G70" s="47" t="s">
        <v>277</v>
      </c>
      <c r="H70" s="46" t="s">
        <v>413</v>
      </c>
      <c r="I70" s="46" t="s">
        <v>329</v>
      </c>
      <c r="J70" s="46" t="s">
        <v>455</v>
      </c>
      <c r="K70" s="46" t="s">
        <v>371</v>
      </c>
      <c r="L70" s="47">
        <v>7</v>
      </c>
      <c r="M70" s="46">
        <f t="shared" si="1"/>
        <v>35</v>
      </c>
      <c r="N70" s="46">
        <v>100</v>
      </c>
      <c r="O70" s="61" t="s">
        <v>417</v>
      </c>
      <c r="P70" s="62">
        <v>1.4E-3</v>
      </c>
      <c r="Q70" s="62">
        <f t="shared" si="2"/>
        <v>0.13999999999999999</v>
      </c>
      <c r="R70" s="48"/>
      <c r="S70" s="48"/>
    </row>
    <row r="71" spans="1:19" ht="15.75" thickBot="1" x14ac:dyDescent="0.3">
      <c r="A71" s="1"/>
      <c r="B71" s="38">
        <f t="shared" si="3"/>
        <v>62</v>
      </c>
      <c r="C71" s="85" t="s">
        <v>397</v>
      </c>
      <c r="D71" s="50" t="s">
        <v>68</v>
      </c>
      <c r="E71" s="51" t="s">
        <v>159</v>
      </c>
      <c r="F71" s="50" t="s">
        <v>222</v>
      </c>
      <c r="G71" s="51" t="s">
        <v>278</v>
      </c>
      <c r="H71" s="50" t="s">
        <v>413</v>
      </c>
      <c r="I71" s="50" t="s">
        <v>301</v>
      </c>
      <c r="J71" s="50" t="s">
        <v>456</v>
      </c>
      <c r="K71" s="50" t="s">
        <v>372</v>
      </c>
      <c r="L71" s="51">
        <v>2</v>
      </c>
      <c r="M71" s="50">
        <f t="shared" si="1"/>
        <v>10</v>
      </c>
      <c r="N71" s="50">
        <v>100</v>
      </c>
      <c r="O71" s="64" t="s">
        <v>417</v>
      </c>
      <c r="P71" s="63">
        <v>1.2999999999999999E-3</v>
      </c>
      <c r="Q71" s="63">
        <f t="shared" si="2"/>
        <v>0.13</v>
      </c>
      <c r="R71" s="52"/>
      <c r="S71" s="52"/>
    </row>
    <row r="72" spans="1:19" ht="24.75" thickBot="1" x14ac:dyDescent="0.3">
      <c r="A72" s="1"/>
      <c r="B72" s="38">
        <f t="shared" si="3"/>
        <v>63</v>
      </c>
      <c r="C72" s="84" t="s">
        <v>397</v>
      </c>
      <c r="D72" s="46" t="s">
        <v>69</v>
      </c>
      <c r="E72" s="47" t="s">
        <v>160</v>
      </c>
      <c r="F72" s="46" t="s">
        <v>222</v>
      </c>
      <c r="G72" s="47" t="s">
        <v>279</v>
      </c>
      <c r="H72" s="46" t="s">
        <v>413</v>
      </c>
      <c r="I72" s="46" t="s">
        <v>301</v>
      </c>
      <c r="J72" s="46" t="s">
        <v>457</v>
      </c>
      <c r="K72" s="46" t="s">
        <v>373</v>
      </c>
      <c r="L72" s="47">
        <v>13</v>
      </c>
      <c r="M72" s="46">
        <f t="shared" si="1"/>
        <v>65</v>
      </c>
      <c r="N72" s="46">
        <v>100</v>
      </c>
      <c r="O72" s="61" t="s">
        <v>417</v>
      </c>
      <c r="P72" s="62">
        <v>1.1999999999999999E-3</v>
      </c>
      <c r="Q72" s="62">
        <f t="shared" si="2"/>
        <v>0.12</v>
      </c>
      <c r="R72" s="48"/>
      <c r="S72" s="48"/>
    </row>
    <row r="73" spans="1:19" ht="24.75" thickBot="1" x14ac:dyDescent="0.3">
      <c r="A73" s="1"/>
      <c r="B73" s="38">
        <f t="shared" si="3"/>
        <v>64</v>
      </c>
      <c r="C73" s="85" t="s">
        <v>397</v>
      </c>
      <c r="D73" s="50" t="s">
        <v>70</v>
      </c>
      <c r="E73" s="51" t="s">
        <v>161</v>
      </c>
      <c r="F73" s="50" t="s">
        <v>222</v>
      </c>
      <c r="G73" s="51" t="s">
        <v>280</v>
      </c>
      <c r="H73" s="50" t="s">
        <v>413</v>
      </c>
      <c r="I73" s="50" t="s">
        <v>330</v>
      </c>
      <c r="J73" s="50" t="s">
        <v>458</v>
      </c>
      <c r="K73" s="50" t="s">
        <v>374</v>
      </c>
      <c r="L73" s="51">
        <v>1</v>
      </c>
      <c r="M73" s="50">
        <f t="shared" si="1"/>
        <v>5</v>
      </c>
      <c r="N73" s="50">
        <v>100</v>
      </c>
      <c r="O73" s="64" t="s">
        <v>417</v>
      </c>
      <c r="P73" s="63">
        <v>4.0000000000000001E-3</v>
      </c>
      <c r="Q73" s="63">
        <f t="shared" si="2"/>
        <v>0.4</v>
      </c>
      <c r="R73" s="52"/>
      <c r="S73" s="52"/>
    </row>
    <row r="74" spans="1:19" ht="15.75" thickBot="1" x14ac:dyDescent="0.3">
      <c r="A74" s="1"/>
      <c r="B74" s="38">
        <f t="shared" ref="B74:B101" si="4">ROW(B74) - ROW($B$9)</f>
        <v>65</v>
      </c>
      <c r="C74" s="84" t="s">
        <v>397</v>
      </c>
      <c r="D74" s="46" t="s">
        <v>71</v>
      </c>
      <c r="E74" s="47" t="s">
        <v>162</v>
      </c>
      <c r="F74" s="46" t="s">
        <v>222</v>
      </c>
      <c r="G74" s="47" t="s">
        <v>510</v>
      </c>
      <c r="H74" s="46" t="s">
        <v>413</v>
      </c>
      <c r="I74" s="46" t="s">
        <v>511</v>
      </c>
      <c r="J74" s="46" t="s">
        <v>512</v>
      </c>
      <c r="K74" s="46" t="s">
        <v>509</v>
      </c>
      <c r="L74" s="47">
        <v>1</v>
      </c>
      <c r="M74" s="46">
        <f t="shared" si="1"/>
        <v>5</v>
      </c>
      <c r="N74" s="46">
        <v>100</v>
      </c>
      <c r="O74" s="61" t="s">
        <v>417</v>
      </c>
      <c r="P74" s="62">
        <v>1.6000000000000001E-3</v>
      </c>
      <c r="Q74" s="62">
        <f t="shared" si="2"/>
        <v>0.16</v>
      </c>
      <c r="R74" s="90"/>
      <c r="S74" s="48"/>
    </row>
    <row r="75" spans="1:19" ht="36.75" thickBot="1" x14ac:dyDescent="0.3">
      <c r="A75" s="1"/>
      <c r="B75" s="38">
        <f t="shared" si="4"/>
        <v>66</v>
      </c>
      <c r="C75" s="85" t="s">
        <v>397</v>
      </c>
      <c r="D75" s="50" t="s">
        <v>72</v>
      </c>
      <c r="E75" s="51" t="s">
        <v>163</v>
      </c>
      <c r="F75" s="50" t="s">
        <v>222</v>
      </c>
      <c r="G75" s="51" t="s">
        <v>281</v>
      </c>
      <c r="H75" s="50" t="s">
        <v>413</v>
      </c>
      <c r="I75" s="50" t="s">
        <v>301</v>
      </c>
      <c r="J75" s="50" t="s">
        <v>459</v>
      </c>
      <c r="K75" s="50" t="s">
        <v>375</v>
      </c>
      <c r="L75" s="51">
        <v>1</v>
      </c>
      <c r="M75" s="50">
        <f t="shared" ref="M75:M101" si="5">L75*5</f>
        <v>5</v>
      </c>
      <c r="N75" s="50">
        <v>100</v>
      </c>
      <c r="O75" s="64" t="s">
        <v>417</v>
      </c>
      <c r="P75" s="63">
        <v>2.5999999999999999E-3</v>
      </c>
      <c r="Q75" s="63">
        <f t="shared" ref="Q75:Q101" si="6">P75*N75</f>
        <v>0.26</v>
      </c>
      <c r="R75" s="52"/>
      <c r="S75" s="52"/>
    </row>
    <row r="76" spans="1:19" ht="15.75" thickBot="1" x14ac:dyDescent="0.3">
      <c r="A76" s="1"/>
      <c r="B76" s="38">
        <f t="shared" si="4"/>
        <v>67</v>
      </c>
      <c r="C76" s="84" t="s">
        <v>397</v>
      </c>
      <c r="D76" s="46" t="s">
        <v>73</v>
      </c>
      <c r="E76" s="47" t="s">
        <v>164</v>
      </c>
      <c r="F76" s="46" t="s">
        <v>222</v>
      </c>
      <c r="G76" s="47" t="s">
        <v>282</v>
      </c>
      <c r="H76" s="46" t="s">
        <v>413</v>
      </c>
      <c r="I76" s="46" t="s">
        <v>301</v>
      </c>
      <c r="J76" s="46" t="s">
        <v>460</v>
      </c>
      <c r="K76" s="46" t="s">
        <v>376</v>
      </c>
      <c r="L76" s="47">
        <v>2</v>
      </c>
      <c r="M76" s="46">
        <f t="shared" si="5"/>
        <v>10</v>
      </c>
      <c r="N76" s="46">
        <v>100</v>
      </c>
      <c r="O76" s="61" t="s">
        <v>417</v>
      </c>
      <c r="P76" s="62">
        <v>2.2000000000000001E-3</v>
      </c>
      <c r="Q76" s="62">
        <f t="shared" si="6"/>
        <v>0.22</v>
      </c>
      <c r="R76" s="48"/>
      <c r="S76" s="48"/>
    </row>
    <row r="77" spans="1:19" ht="15.75" thickBot="1" x14ac:dyDescent="0.3">
      <c r="A77" s="1"/>
      <c r="B77" s="38">
        <f t="shared" si="4"/>
        <v>68</v>
      </c>
      <c r="C77" s="85" t="s">
        <v>397</v>
      </c>
      <c r="D77" s="50" t="s">
        <v>74</v>
      </c>
      <c r="E77" s="51" t="s">
        <v>165</v>
      </c>
      <c r="F77" s="50" t="s">
        <v>222</v>
      </c>
      <c r="G77" s="51" t="s">
        <v>283</v>
      </c>
      <c r="H77" s="50" t="s">
        <v>413</v>
      </c>
      <c r="I77" s="50" t="s">
        <v>301</v>
      </c>
      <c r="J77" s="50" t="s">
        <v>461</v>
      </c>
      <c r="K77" s="50" t="s">
        <v>377</v>
      </c>
      <c r="L77" s="51">
        <v>4</v>
      </c>
      <c r="M77" s="50">
        <f t="shared" si="5"/>
        <v>20</v>
      </c>
      <c r="N77" s="50">
        <v>100</v>
      </c>
      <c r="O77" s="64" t="s">
        <v>417</v>
      </c>
      <c r="P77" s="63">
        <v>1.5E-3</v>
      </c>
      <c r="Q77" s="63">
        <f t="shared" si="6"/>
        <v>0.15</v>
      </c>
      <c r="R77" s="52"/>
      <c r="S77" s="52"/>
    </row>
    <row r="78" spans="1:19" ht="15.75" thickBot="1" x14ac:dyDescent="0.3">
      <c r="A78" s="1"/>
      <c r="B78" s="38">
        <f t="shared" si="4"/>
        <v>69</v>
      </c>
      <c r="C78" s="84" t="s">
        <v>397</v>
      </c>
      <c r="D78" s="46" t="s">
        <v>75</v>
      </c>
      <c r="E78" s="47" t="s">
        <v>166</v>
      </c>
      <c r="F78" s="46" t="s">
        <v>223</v>
      </c>
      <c r="G78" s="70" t="s">
        <v>284</v>
      </c>
      <c r="H78" s="46" t="s">
        <v>513</v>
      </c>
      <c r="I78" s="46" t="s">
        <v>328</v>
      </c>
      <c r="J78" s="46" t="s">
        <v>514</v>
      </c>
      <c r="K78" s="46" t="s">
        <v>378</v>
      </c>
      <c r="L78" s="47">
        <v>1</v>
      </c>
      <c r="M78" s="46">
        <f t="shared" si="5"/>
        <v>5</v>
      </c>
      <c r="N78" s="46">
        <v>50</v>
      </c>
      <c r="O78" s="61" t="s">
        <v>417</v>
      </c>
      <c r="P78" s="62">
        <v>6.4000000000000003E-3</v>
      </c>
      <c r="Q78" s="62">
        <f t="shared" si="6"/>
        <v>0.32</v>
      </c>
      <c r="R78" s="48"/>
      <c r="S78" s="48"/>
    </row>
    <row r="79" spans="1:19" ht="15.75" thickBot="1" x14ac:dyDescent="0.3">
      <c r="A79" s="1"/>
      <c r="B79" s="38">
        <f t="shared" si="4"/>
        <v>70</v>
      </c>
      <c r="C79" s="85" t="s">
        <v>397</v>
      </c>
      <c r="D79" s="50" t="s">
        <v>76</v>
      </c>
      <c r="E79" s="51" t="s">
        <v>167</v>
      </c>
      <c r="F79" s="50" t="s">
        <v>222</v>
      </c>
      <c r="G79" s="51" t="s">
        <v>285</v>
      </c>
      <c r="H79" s="50" t="s">
        <v>413</v>
      </c>
      <c r="I79" s="50" t="s">
        <v>301</v>
      </c>
      <c r="J79" s="50" t="s">
        <v>462</v>
      </c>
      <c r="K79" s="50" t="s">
        <v>379</v>
      </c>
      <c r="L79" s="51">
        <v>1</v>
      </c>
      <c r="M79" s="50">
        <f t="shared" si="5"/>
        <v>5</v>
      </c>
      <c r="N79" s="50">
        <v>100</v>
      </c>
      <c r="O79" s="64" t="s">
        <v>417</v>
      </c>
      <c r="P79" s="63">
        <v>1.4E-3</v>
      </c>
      <c r="Q79" s="63">
        <f t="shared" si="6"/>
        <v>0.13999999999999999</v>
      </c>
      <c r="R79" s="52"/>
      <c r="S79" s="52"/>
    </row>
    <row r="80" spans="1:19" ht="15.75" thickBot="1" x14ac:dyDescent="0.3">
      <c r="A80" s="1"/>
      <c r="B80" s="38">
        <f t="shared" si="4"/>
        <v>71</v>
      </c>
      <c r="C80" s="84" t="s">
        <v>397</v>
      </c>
      <c r="D80" s="46" t="s">
        <v>77</v>
      </c>
      <c r="E80" s="47" t="s">
        <v>168</v>
      </c>
      <c r="F80" s="46" t="s">
        <v>222</v>
      </c>
      <c r="G80" s="47" t="s">
        <v>286</v>
      </c>
      <c r="H80" s="46" t="s">
        <v>413</v>
      </c>
      <c r="I80" s="46" t="s">
        <v>301</v>
      </c>
      <c r="J80" s="46" t="s">
        <v>463</v>
      </c>
      <c r="K80" s="46" t="s">
        <v>380</v>
      </c>
      <c r="L80" s="47">
        <v>3</v>
      </c>
      <c r="M80" s="46">
        <f t="shared" si="5"/>
        <v>15</v>
      </c>
      <c r="N80" s="46">
        <v>100</v>
      </c>
      <c r="O80" s="61" t="s">
        <v>417</v>
      </c>
      <c r="P80" s="62">
        <v>1.5E-3</v>
      </c>
      <c r="Q80" s="62">
        <f t="shared" si="6"/>
        <v>0.15</v>
      </c>
      <c r="R80" s="48"/>
      <c r="S80" s="48"/>
    </row>
    <row r="81" spans="1:20" ht="15.75" thickBot="1" x14ac:dyDescent="0.3">
      <c r="A81" s="1"/>
      <c r="B81" s="38">
        <f t="shared" si="4"/>
        <v>72</v>
      </c>
      <c r="C81" s="84" t="s">
        <v>397</v>
      </c>
      <c r="D81" s="46" t="s">
        <v>78</v>
      </c>
      <c r="E81" s="47" t="s">
        <v>169</v>
      </c>
      <c r="F81" s="46" t="s">
        <v>222</v>
      </c>
      <c r="G81" s="47" t="s">
        <v>287</v>
      </c>
      <c r="H81" s="46" t="s">
        <v>413</v>
      </c>
      <c r="I81" s="46" t="s">
        <v>301</v>
      </c>
      <c r="J81" s="46" t="s">
        <v>464</v>
      </c>
      <c r="K81" s="46" t="s">
        <v>381</v>
      </c>
      <c r="L81" s="47">
        <v>2</v>
      </c>
      <c r="M81" s="46">
        <f t="shared" si="5"/>
        <v>10</v>
      </c>
      <c r="N81" s="46">
        <v>100</v>
      </c>
      <c r="O81" s="61" t="s">
        <v>417</v>
      </c>
      <c r="P81" s="62">
        <v>1.4E-3</v>
      </c>
      <c r="Q81" s="62">
        <f t="shared" si="6"/>
        <v>0.13999999999999999</v>
      </c>
      <c r="R81" s="48"/>
      <c r="S81" s="48"/>
    </row>
    <row r="82" spans="1:20" ht="24.75" thickBot="1" x14ac:dyDescent="0.3">
      <c r="A82" s="1"/>
      <c r="B82" s="38">
        <f t="shared" si="4"/>
        <v>73</v>
      </c>
      <c r="C82" s="85" t="s">
        <v>397</v>
      </c>
      <c r="D82" s="50" t="s">
        <v>79</v>
      </c>
      <c r="E82" s="51" t="s">
        <v>170</v>
      </c>
      <c r="F82" s="50" t="s">
        <v>222</v>
      </c>
      <c r="G82" s="51" t="s">
        <v>288</v>
      </c>
      <c r="H82" s="50" t="s">
        <v>413</v>
      </c>
      <c r="I82" s="50" t="s">
        <v>301</v>
      </c>
      <c r="J82" s="50" t="s">
        <v>465</v>
      </c>
      <c r="K82" s="50" t="s">
        <v>382</v>
      </c>
      <c r="L82" s="51">
        <v>2</v>
      </c>
      <c r="M82" s="50">
        <f t="shared" si="5"/>
        <v>10</v>
      </c>
      <c r="N82" s="50">
        <v>100</v>
      </c>
      <c r="O82" s="64" t="s">
        <v>417</v>
      </c>
      <c r="P82" s="63">
        <v>1.5E-3</v>
      </c>
      <c r="Q82" s="63">
        <f t="shared" si="6"/>
        <v>0.15</v>
      </c>
      <c r="R82" s="52"/>
      <c r="S82" s="52"/>
    </row>
    <row r="83" spans="1:20" ht="15.75" thickBot="1" x14ac:dyDescent="0.3">
      <c r="A83" s="1"/>
      <c r="B83" s="38">
        <f t="shared" si="4"/>
        <v>74</v>
      </c>
      <c r="C83" s="84" t="s">
        <v>397</v>
      </c>
      <c r="D83" s="46" t="s">
        <v>80</v>
      </c>
      <c r="E83" s="47" t="s">
        <v>171</v>
      </c>
      <c r="F83" s="46" t="s">
        <v>224</v>
      </c>
      <c r="G83" s="47" t="s">
        <v>501</v>
      </c>
      <c r="H83" s="46" t="s">
        <v>413</v>
      </c>
      <c r="I83" s="46" t="s">
        <v>331</v>
      </c>
      <c r="J83" s="46" t="s">
        <v>502</v>
      </c>
      <c r="K83" s="46" t="s">
        <v>383</v>
      </c>
      <c r="L83" s="47">
        <v>2</v>
      </c>
      <c r="M83" s="46">
        <f t="shared" si="5"/>
        <v>10</v>
      </c>
      <c r="N83" s="46">
        <v>50</v>
      </c>
      <c r="O83" s="61" t="s">
        <v>417</v>
      </c>
      <c r="P83" s="62">
        <v>1.1299999999999999E-2</v>
      </c>
      <c r="Q83" s="62">
        <f t="shared" si="6"/>
        <v>0.56499999999999995</v>
      </c>
      <c r="R83" s="48"/>
      <c r="S83" s="48"/>
    </row>
    <row r="84" spans="1:20" ht="24.75" thickBot="1" x14ac:dyDescent="0.3">
      <c r="A84" s="1"/>
      <c r="B84" s="38">
        <f t="shared" si="4"/>
        <v>75</v>
      </c>
      <c r="C84" s="85" t="s">
        <v>397</v>
      </c>
      <c r="D84" s="50" t="s">
        <v>81</v>
      </c>
      <c r="E84" s="51" t="s">
        <v>172</v>
      </c>
      <c r="F84" s="50" t="s">
        <v>222</v>
      </c>
      <c r="G84" s="51" t="s">
        <v>289</v>
      </c>
      <c r="H84" s="50" t="s">
        <v>413</v>
      </c>
      <c r="I84" s="50" t="s">
        <v>301</v>
      </c>
      <c r="J84" s="50" t="s">
        <v>466</v>
      </c>
      <c r="K84" s="50" t="s">
        <v>384</v>
      </c>
      <c r="L84" s="51">
        <v>2</v>
      </c>
      <c r="M84" s="50">
        <f t="shared" si="5"/>
        <v>10</v>
      </c>
      <c r="N84" s="50">
        <v>100</v>
      </c>
      <c r="O84" s="64" t="s">
        <v>417</v>
      </c>
      <c r="P84" s="63">
        <v>1.2999999999999999E-3</v>
      </c>
      <c r="Q84" s="63">
        <f t="shared" si="6"/>
        <v>0.13</v>
      </c>
      <c r="R84" s="52"/>
      <c r="S84" s="52"/>
    </row>
    <row r="85" spans="1:20" ht="15.75" thickBot="1" x14ac:dyDescent="0.3">
      <c r="A85" s="1"/>
      <c r="B85" s="38">
        <f t="shared" si="4"/>
        <v>76</v>
      </c>
      <c r="C85" s="84" t="s">
        <v>397</v>
      </c>
      <c r="D85" s="46" t="s">
        <v>82</v>
      </c>
      <c r="E85" s="47" t="s">
        <v>173</v>
      </c>
      <c r="F85" s="46" t="s">
        <v>225</v>
      </c>
      <c r="G85" s="70" t="s">
        <v>290</v>
      </c>
      <c r="H85" s="46" t="s">
        <v>503</v>
      </c>
      <c r="I85" s="46" t="s">
        <v>332</v>
      </c>
      <c r="J85" s="46" t="s">
        <v>504</v>
      </c>
      <c r="K85" s="46" t="s">
        <v>365</v>
      </c>
      <c r="L85" s="47">
        <v>1</v>
      </c>
      <c r="M85" s="46">
        <f t="shared" si="5"/>
        <v>5</v>
      </c>
      <c r="N85" s="46">
        <v>20</v>
      </c>
      <c r="O85" s="61" t="s">
        <v>417</v>
      </c>
      <c r="P85" s="62">
        <v>3.2500000000000001E-2</v>
      </c>
      <c r="Q85" s="62">
        <f t="shared" si="6"/>
        <v>0.65</v>
      </c>
      <c r="R85" s="48"/>
      <c r="S85" s="48"/>
    </row>
    <row r="86" spans="1:20" ht="36.75" thickBot="1" x14ac:dyDescent="0.3">
      <c r="A86" s="1"/>
      <c r="B86" s="38">
        <f t="shared" si="4"/>
        <v>77</v>
      </c>
      <c r="C86" s="85" t="s">
        <v>226</v>
      </c>
      <c r="D86" s="50" t="s">
        <v>83</v>
      </c>
      <c r="E86" s="51" t="s">
        <v>174</v>
      </c>
      <c r="F86" s="50" t="s">
        <v>411</v>
      </c>
      <c r="G86" s="51" t="s">
        <v>413</v>
      </c>
      <c r="H86" s="50" t="s">
        <v>413</v>
      </c>
      <c r="I86" s="51" t="s">
        <v>413</v>
      </c>
      <c r="J86" s="50" t="s">
        <v>413</v>
      </c>
      <c r="K86" s="50" t="s">
        <v>413</v>
      </c>
      <c r="L86" s="51">
        <v>18</v>
      </c>
      <c r="M86" s="50">
        <f t="shared" si="5"/>
        <v>90</v>
      </c>
      <c r="N86" s="73" t="s">
        <v>413</v>
      </c>
      <c r="O86" s="74" t="s">
        <v>413</v>
      </c>
      <c r="P86" s="73" t="s">
        <v>413</v>
      </c>
      <c r="Q86" s="74" t="s">
        <v>413</v>
      </c>
      <c r="R86" s="88" t="s">
        <v>531</v>
      </c>
      <c r="S86" s="74" t="s">
        <v>413</v>
      </c>
    </row>
    <row r="87" spans="1:20" ht="24.75" thickBot="1" x14ac:dyDescent="0.3">
      <c r="A87" s="1"/>
      <c r="B87" s="38">
        <f t="shared" si="4"/>
        <v>78</v>
      </c>
      <c r="C87" s="84" t="s">
        <v>398</v>
      </c>
      <c r="D87" s="46" t="s">
        <v>84</v>
      </c>
      <c r="E87" s="47" t="s">
        <v>175</v>
      </c>
      <c r="F87" s="46" t="s">
        <v>411</v>
      </c>
      <c r="G87" s="47" t="s">
        <v>227</v>
      </c>
      <c r="H87" s="46" t="s">
        <v>413</v>
      </c>
      <c r="I87" s="46" t="s">
        <v>333</v>
      </c>
      <c r="J87" s="46" t="s">
        <v>467</v>
      </c>
      <c r="K87" s="46" t="s">
        <v>413</v>
      </c>
      <c r="L87" s="47">
        <v>7</v>
      </c>
      <c r="M87" s="46">
        <f t="shared" si="5"/>
        <v>35</v>
      </c>
      <c r="N87" s="46">
        <v>37</v>
      </c>
      <c r="O87" s="61" t="s">
        <v>417</v>
      </c>
      <c r="P87" s="62">
        <v>0.74480000000000002</v>
      </c>
      <c r="Q87" s="62">
        <f t="shared" si="6"/>
        <v>27.557600000000001</v>
      </c>
      <c r="R87" s="48"/>
      <c r="S87" s="48"/>
    </row>
    <row r="88" spans="1:20" ht="36.75" thickBot="1" x14ac:dyDescent="0.3">
      <c r="A88" s="1"/>
      <c r="B88" s="38">
        <f t="shared" si="4"/>
        <v>79</v>
      </c>
      <c r="C88" s="87" t="s">
        <v>399</v>
      </c>
      <c r="D88" s="65" t="s">
        <v>85</v>
      </c>
      <c r="E88" s="66" t="s">
        <v>176</v>
      </c>
      <c r="F88" s="65" t="s">
        <v>228</v>
      </c>
      <c r="G88" s="66" t="s">
        <v>291</v>
      </c>
      <c r="H88" s="65" t="s">
        <v>413</v>
      </c>
      <c r="I88" s="65" t="s">
        <v>334</v>
      </c>
      <c r="J88" s="65" t="s">
        <v>413</v>
      </c>
      <c r="K88" s="65" t="s">
        <v>413</v>
      </c>
      <c r="L88" s="66">
        <v>2</v>
      </c>
      <c r="M88" s="65">
        <f t="shared" si="5"/>
        <v>10</v>
      </c>
      <c r="N88" s="65">
        <v>10</v>
      </c>
      <c r="O88" s="69" t="s">
        <v>525</v>
      </c>
      <c r="P88" s="67">
        <v>8</v>
      </c>
      <c r="Q88" s="67">
        <f t="shared" si="6"/>
        <v>80</v>
      </c>
      <c r="R88" s="82" t="s">
        <v>526</v>
      </c>
      <c r="S88" s="68"/>
      <c r="T88" s="79"/>
    </row>
    <row r="89" spans="1:20" ht="36.75" thickBot="1" x14ac:dyDescent="0.3">
      <c r="A89" s="1"/>
      <c r="B89" s="38">
        <f t="shared" si="4"/>
        <v>80</v>
      </c>
      <c r="C89" s="84" t="s">
        <v>399</v>
      </c>
      <c r="D89" s="46" t="s">
        <v>86</v>
      </c>
      <c r="E89" s="47" t="s">
        <v>177</v>
      </c>
      <c r="F89" s="46" t="s">
        <v>228</v>
      </c>
      <c r="G89" s="47" t="s">
        <v>292</v>
      </c>
      <c r="H89" s="46" t="s">
        <v>413</v>
      </c>
      <c r="I89" s="46" t="s">
        <v>335</v>
      </c>
      <c r="J89" s="46" t="s">
        <v>515</v>
      </c>
      <c r="K89" s="46" t="s">
        <v>413</v>
      </c>
      <c r="L89" s="47">
        <v>1</v>
      </c>
      <c r="M89" s="46">
        <f t="shared" si="5"/>
        <v>5</v>
      </c>
      <c r="N89" s="46">
        <v>6</v>
      </c>
      <c r="O89" s="61" t="s">
        <v>417</v>
      </c>
      <c r="P89" s="62">
        <v>0.47070000000000001</v>
      </c>
      <c r="Q89" s="62">
        <f t="shared" si="6"/>
        <v>2.8242000000000003</v>
      </c>
      <c r="R89" s="48"/>
      <c r="S89" s="48"/>
    </row>
    <row r="90" spans="1:20" ht="15.75" thickBot="1" x14ac:dyDescent="0.3">
      <c r="A90" s="1"/>
      <c r="B90" s="38">
        <f t="shared" si="4"/>
        <v>81</v>
      </c>
      <c r="C90" s="85" t="s">
        <v>399</v>
      </c>
      <c r="D90" s="50" t="s">
        <v>87</v>
      </c>
      <c r="E90" s="51" t="s">
        <v>178</v>
      </c>
      <c r="F90" s="50" t="s">
        <v>229</v>
      </c>
      <c r="G90" s="51" t="s">
        <v>293</v>
      </c>
      <c r="H90" s="50" t="s">
        <v>413</v>
      </c>
      <c r="I90" s="50" t="s">
        <v>335</v>
      </c>
      <c r="J90" s="50" t="s">
        <v>468</v>
      </c>
      <c r="K90" s="50" t="s">
        <v>413</v>
      </c>
      <c r="L90" s="51">
        <v>1</v>
      </c>
      <c r="M90" s="50">
        <f t="shared" si="5"/>
        <v>5</v>
      </c>
      <c r="N90" s="50">
        <v>6</v>
      </c>
      <c r="O90" s="64" t="s">
        <v>417</v>
      </c>
      <c r="P90" s="63">
        <v>1.0368999999999999</v>
      </c>
      <c r="Q90" s="63">
        <f t="shared" si="6"/>
        <v>6.2213999999999992</v>
      </c>
      <c r="R90" s="52"/>
      <c r="S90" s="52"/>
    </row>
    <row r="91" spans="1:20" ht="15.75" thickBot="1" x14ac:dyDescent="0.3">
      <c r="A91" s="1"/>
      <c r="B91" s="38">
        <f t="shared" si="4"/>
        <v>82</v>
      </c>
      <c r="C91" s="84" t="s">
        <v>399</v>
      </c>
      <c r="D91" s="46" t="s">
        <v>88</v>
      </c>
      <c r="E91" s="47" t="s">
        <v>179</v>
      </c>
      <c r="F91" s="46" t="s">
        <v>230</v>
      </c>
      <c r="G91" s="47" t="s">
        <v>294</v>
      </c>
      <c r="H91" s="46" t="s">
        <v>413</v>
      </c>
      <c r="I91" s="46" t="s">
        <v>336</v>
      </c>
      <c r="J91" s="46" t="s">
        <v>469</v>
      </c>
      <c r="K91" s="46" t="s">
        <v>413</v>
      </c>
      <c r="L91" s="47">
        <v>1</v>
      </c>
      <c r="M91" s="46">
        <f t="shared" si="5"/>
        <v>5</v>
      </c>
      <c r="N91" s="46">
        <v>6</v>
      </c>
      <c r="O91" s="61" t="s">
        <v>417</v>
      </c>
      <c r="P91" s="62">
        <v>29.465599999999998</v>
      </c>
      <c r="Q91" s="62">
        <f t="shared" si="6"/>
        <v>176.7936</v>
      </c>
      <c r="R91" s="48"/>
      <c r="S91" s="48"/>
    </row>
    <row r="92" spans="1:20" ht="15.75" thickBot="1" x14ac:dyDescent="0.3">
      <c r="A92" s="1"/>
      <c r="B92" s="38">
        <f t="shared" si="4"/>
        <v>83</v>
      </c>
      <c r="C92" s="87" t="s">
        <v>399</v>
      </c>
      <c r="D92" s="65" t="s">
        <v>89</v>
      </c>
      <c r="E92" s="66" t="s">
        <v>180</v>
      </c>
      <c r="F92" s="65" t="s">
        <v>228</v>
      </c>
      <c r="G92" s="66" t="s">
        <v>295</v>
      </c>
      <c r="H92" s="65" t="s">
        <v>413</v>
      </c>
      <c r="I92" s="65" t="s">
        <v>307</v>
      </c>
      <c r="J92" s="65"/>
      <c r="K92" s="65" t="s">
        <v>413</v>
      </c>
      <c r="L92" s="66">
        <v>1</v>
      </c>
      <c r="M92" s="65">
        <f t="shared" si="5"/>
        <v>5</v>
      </c>
      <c r="N92" s="65">
        <v>6</v>
      </c>
      <c r="O92" s="69"/>
      <c r="P92" s="67"/>
      <c r="Q92" s="67">
        <f t="shared" si="6"/>
        <v>0</v>
      </c>
      <c r="R92" s="68"/>
      <c r="S92" s="68"/>
    </row>
    <row r="93" spans="1:20" ht="24.75" thickBot="1" x14ac:dyDescent="0.3">
      <c r="A93" s="1"/>
      <c r="B93" s="38">
        <f t="shared" si="4"/>
        <v>84</v>
      </c>
      <c r="C93" s="86" t="s">
        <v>399</v>
      </c>
      <c r="D93" s="75" t="s">
        <v>90</v>
      </c>
      <c r="E93" s="76" t="s">
        <v>181</v>
      </c>
      <c r="F93" s="75" t="s">
        <v>412</v>
      </c>
      <c r="G93" s="76" t="s">
        <v>231</v>
      </c>
      <c r="H93" s="75" t="s">
        <v>413</v>
      </c>
      <c r="I93" s="75" t="s">
        <v>337</v>
      </c>
      <c r="J93" s="75"/>
      <c r="K93" s="75" t="s">
        <v>413</v>
      </c>
      <c r="L93" s="76">
        <v>1</v>
      </c>
      <c r="M93" s="75">
        <f t="shared" si="5"/>
        <v>5</v>
      </c>
      <c r="N93" s="75"/>
      <c r="O93" s="75"/>
      <c r="P93" s="77"/>
      <c r="Q93" s="77">
        <f t="shared" si="6"/>
        <v>0</v>
      </c>
      <c r="R93" s="78"/>
      <c r="S93" s="78"/>
    </row>
    <row r="94" spans="1:20" ht="36.75" thickBot="1" x14ac:dyDescent="0.3">
      <c r="A94" s="1"/>
      <c r="B94" s="38">
        <f t="shared" si="4"/>
        <v>85</v>
      </c>
      <c r="C94" s="85" t="s">
        <v>399</v>
      </c>
      <c r="D94" s="50" t="s">
        <v>91</v>
      </c>
      <c r="E94" s="51" t="s">
        <v>182</v>
      </c>
      <c r="F94" s="50" t="s">
        <v>411</v>
      </c>
      <c r="G94" s="51" t="s">
        <v>232</v>
      </c>
      <c r="H94" s="50" t="s">
        <v>413</v>
      </c>
      <c r="I94" s="50" t="s">
        <v>517</v>
      </c>
      <c r="J94" s="50" t="s">
        <v>516</v>
      </c>
      <c r="K94" s="50" t="s">
        <v>413</v>
      </c>
      <c r="L94" s="51">
        <v>4</v>
      </c>
      <c r="M94" s="50">
        <f t="shared" si="5"/>
        <v>20</v>
      </c>
      <c r="N94" s="50">
        <v>22</v>
      </c>
      <c r="O94" s="64" t="s">
        <v>417</v>
      </c>
      <c r="P94" s="63">
        <v>0.51759999999999995</v>
      </c>
      <c r="Q94" s="63">
        <f t="shared" si="6"/>
        <v>11.387199999999998</v>
      </c>
      <c r="R94" s="52"/>
      <c r="S94" s="52"/>
    </row>
    <row r="95" spans="1:20" ht="15.75" thickBot="1" x14ac:dyDescent="0.3">
      <c r="A95" s="1"/>
      <c r="B95" s="38">
        <f t="shared" si="4"/>
        <v>86</v>
      </c>
      <c r="C95" s="84" t="s">
        <v>399</v>
      </c>
      <c r="D95" s="46" t="s">
        <v>92</v>
      </c>
      <c r="E95" s="47" t="s">
        <v>183</v>
      </c>
      <c r="F95" s="46" t="s">
        <v>233</v>
      </c>
      <c r="G95" s="47" t="s">
        <v>296</v>
      </c>
      <c r="H95" s="46" t="s">
        <v>413</v>
      </c>
      <c r="I95" s="46" t="s">
        <v>335</v>
      </c>
      <c r="J95" s="46" t="s">
        <v>470</v>
      </c>
      <c r="K95" s="46" t="s">
        <v>413</v>
      </c>
      <c r="L95" s="47">
        <v>3</v>
      </c>
      <c r="M95" s="46">
        <f t="shared" si="5"/>
        <v>15</v>
      </c>
      <c r="N95" s="46">
        <v>17</v>
      </c>
      <c r="O95" s="61" t="s">
        <v>417</v>
      </c>
      <c r="P95" s="62">
        <v>0.3337</v>
      </c>
      <c r="Q95" s="62">
        <f t="shared" si="6"/>
        <v>5.6729000000000003</v>
      </c>
      <c r="R95" s="48"/>
      <c r="S95" s="48"/>
    </row>
    <row r="96" spans="1:20" ht="15.75" thickBot="1" x14ac:dyDescent="0.3">
      <c r="A96" s="1"/>
      <c r="B96" s="38">
        <f t="shared" si="4"/>
        <v>87</v>
      </c>
      <c r="C96" s="85" t="s">
        <v>399</v>
      </c>
      <c r="D96" s="50" t="s">
        <v>93</v>
      </c>
      <c r="E96" s="51" t="s">
        <v>184</v>
      </c>
      <c r="F96" s="50" t="s">
        <v>234</v>
      </c>
      <c r="G96" s="51" t="s">
        <v>297</v>
      </c>
      <c r="H96" s="50" t="s">
        <v>413</v>
      </c>
      <c r="I96" s="50" t="s">
        <v>335</v>
      </c>
      <c r="J96" s="50" t="s">
        <v>471</v>
      </c>
      <c r="K96" s="50" t="s">
        <v>413</v>
      </c>
      <c r="L96" s="51">
        <v>1</v>
      </c>
      <c r="M96" s="50">
        <f t="shared" si="5"/>
        <v>5</v>
      </c>
      <c r="N96" s="50">
        <v>6</v>
      </c>
      <c r="O96" s="64" t="s">
        <v>417</v>
      </c>
      <c r="P96" s="63">
        <v>24.546299999999999</v>
      </c>
      <c r="Q96" s="63">
        <f t="shared" si="6"/>
        <v>147.27779999999998</v>
      </c>
      <c r="R96" s="52"/>
      <c r="S96" s="52"/>
    </row>
    <row r="97" spans="1:19" ht="15.75" thickBot="1" x14ac:dyDescent="0.3">
      <c r="A97" s="1"/>
      <c r="B97" s="38">
        <f t="shared" si="4"/>
        <v>88</v>
      </c>
      <c r="C97" s="84" t="s">
        <v>399</v>
      </c>
      <c r="D97" s="46" t="s">
        <v>94</v>
      </c>
      <c r="E97" s="47" t="s">
        <v>185</v>
      </c>
      <c r="F97" s="46" t="s">
        <v>235</v>
      </c>
      <c r="G97" s="47" t="s">
        <v>298</v>
      </c>
      <c r="H97" s="46" t="s">
        <v>413</v>
      </c>
      <c r="I97" s="46" t="s">
        <v>338</v>
      </c>
      <c r="J97" s="46" t="s">
        <v>472</v>
      </c>
      <c r="K97" s="46" t="s">
        <v>413</v>
      </c>
      <c r="L97" s="47">
        <v>1</v>
      </c>
      <c r="M97" s="46">
        <f t="shared" si="5"/>
        <v>5</v>
      </c>
      <c r="N97" s="46">
        <v>6</v>
      </c>
      <c r="O97" s="61" t="s">
        <v>417</v>
      </c>
      <c r="P97" s="62">
        <v>4.1904000000000003</v>
      </c>
      <c r="Q97" s="62">
        <f t="shared" si="6"/>
        <v>25.142400000000002</v>
      </c>
      <c r="R97" s="48"/>
      <c r="S97" s="48"/>
    </row>
    <row r="98" spans="1:19" ht="24.75" thickBot="1" x14ac:dyDescent="0.3">
      <c r="A98" s="1"/>
      <c r="B98" s="38">
        <f t="shared" si="4"/>
        <v>89</v>
      </c>
      <c r="C98" s="85" t="s">
        <v>399</v>
      </c>
      <c r="D98" s="50" t="s">
        <v>95</v>
      </c>
      <c r="E98" s="51" t="s">
        <v>186</v>
      </c>
      <c r="F98" s="50" t="s">
        <v>411</v>
      </c>
      <c r="G98" s="51" t="s">
        <v>236</v>
      </c>
      <c r="H98" s="50" t="s">
        <v>413</v>
      </c>
      <c r="I98" s="50" t="s">
        <v>339</v>
      </c>
      <c r="J98" s="50" t="s">
        <v>473</v>
      </c>
      <c r="K98" s="50" t="s">
        <v>413</v>
      </c>
      <c r="L98" s="51">
        <v>1</v>
      </c>
      <c r="M98" s="50">
        <f t="shared" si="5"/>
        <v>5</v>
      </c>
      <c r="N98" s="50">
        <v>6</v>
      </c>
      <c r="O98" s="64" t="s">
        <v>417</v>
      </c>
      <c r="P98" s="63">
        <v>1.1451</v>
      </c>
      <c r="Q98" s="63">
        <f t="shared" si="6"/>
        <v>6.8705999999999996</v>
      </c>
      <c r="R98" s="52"/>
      <c r="S98" s="52"/>
    </row>
    <row r="99" spans="1:19" ht="36.75" thickBot="1" x14ac:dyDescent="0.3">
      <c r="A99" s="1"/>
      <c r="B99" s="38">
        <f t="shared" si="4"/>
        <v>90</v>
      </c>
      <c r="C99" s="86" t="s">
        <v>400</v>
      </c>
      <c r="D99" s="75" t="s">
        <v>96</v>
      </c>
      <c r="E99" s="76" t="s">
        <v>187</v>
      </c>
      <c r="F99" s="75" t="s">
        <v>411</v>
      </c>
      <c r="G99" s="75" t="s">
        <v>237</v>
      </c>
      <c r="H99" s="75"/>
      <c r="I99" s="75"/>
      <c r="J99" s="75"/>
      <c r="K99" s="75" t="s">
        <v>413</v>
      </c>
      <c r="L99" s="76">
        <v>1</v>
      </c>
      <c r="M99" s="75">
        <f t="shared" si="5"/>
        <v>5</v>
      </c>
      <c r="N99" s="75"/>
      <c r="O99" s="75"/>
      <c r="P99" s="77"/>
      <c r="Q99" s="77">
        <f t="shared" si="6"/>
        <v>0</v>
      </c>
      <c r="R99" s="83" t="s">
        <v>518</v>
      </c>
      <c r="S99" s="78"/>
    </row>
    <row r="100" spans="1:19" ht="36.75" thickBot="1" x14ac:dyDescent="0.3">
      <c r="A100" s="1"/>
      <c r="B100" s="38">
        <f t="shared" si="4"/>
        <v>91</v>
      </c>
      <c r="C100" s="85" t="s">
        <v>400</v>
      </c>
      <c r="D100" s="50" t="s">
        <v>97</v>
      </c>
      <c r="E100" s="51" t="s">
        <v>188</v>
      </c>
      <c r="F100" s="50" t="s">
        <v>411</v>
      </c>
      <c r="G100" s="51" t="s">
        <v>238</v>
      </c>
      <c r="H100" s="50" t="s">
        <v>413</v>
      </c>
      <c r="I100" s="50" t="s">
        <v>325</v>
      </c>
      <c r="J100" s="50" t="s">
        <v>474</v>
      </c>
      <c r="K100" s="50" t="s">
        <v>385</v>
      </c>
      <c r="L100" s="51">
        <v>1</v>
      </c>
      <c r="M100" s="50">
        <f t="shared" si="5"/>
        <v>5</v>
      </c>
      <c r="N100" s="50">
        <v>6</v>
      </c>
      <c r="O100" s="64" t="s">
        <v>417</v>
      </c>
      <c r="P100" s="63">
        <v>0.107</v>
      </c>
      <c r="Q100" s="63">
        <f t="shared" si="6"/>
        <v>0.64200000000000002</v>
      </c>
      <c r="R100" s="52"/>
      <c r="S100" s="52"/>
    </row>
    <row r="101" spans="1:19" ht="36.75" thickBot="1" x14ac:dyDescent="0.3">
      <c r="A101" s="1"/>
      <c r="B101" s="38">
        <f t="shared" si="4"/>
        <v>92</v>
      </c>
      <c r="C101" s="84" t="s">
        <v>400</v>
      </c>
      <c r="D101" s="46" t="s">
        <v>98</v>
      </c>
      <c r="E101" s="47" t="s">
        <v>189</v>
      </c>
      <c r="F101" s="46" t="s">
        <v>411</v>
      </c>
      <c r="G101" s="47" t="s">
        <v>239</v>
      </c>
      <c r="H101" s="46" t="s">
        <v>413</v>
      </c>
      <c r="I101" s="46" t="s">
        <v>340</v>
      </c>
      <c r="J101" s="46" t="s">
        <v>475</v>
      </c>
      <c r="K101" s="60" t="s">
        <v>386</v>
      </c>
      <c r="L101" s="47">
        <v>1</v>
      </c>
      <c r="M101" s="46">
        <f t="shared" si="5"/>
        <v>5</v>
      </c>
      <c r="N101" s="46">
        <v>6</v>
      </c>
      <c r="O101" s="61" t="s">
        <v>417</v>
      </c>
      <c r="P101" s="62">
        <v>0.35220000000000001</v>
      </c>
      <c r="Q101" s="62">
        <f t="shared" si="6"/>
        <v>2.1132</v>
      </c>
      <c r="R101" s="48"/>
      <c r="S101" s="48"/>
    </row>
    <row r="102" spans="1:19" ht="19.5" thickBot="1" x14ac:dyDescent="0.3">
      <c r="A102" s="1"/>
      <c r="B102" s="33"/>
      <c r="C102" s="44"/>
      <c r="D102" s="34"/>
      <c r="E102" s="35"/>
      <c r="F102" s="36"/>
      <c r="G102" s="37"/>
      <c r="H102" s="37"/>
      <c r="I102" s="36"/>
      <c r="J102" s="36"/>
      <c r="K102" s="37"/>
      <c r="L102" s="37"/>
      <c r="M102" s="37"/>
      <c r="N102" s="91" t="s">
        <v>528</v>
      </c>
      <c r="O102" s="92"/>
      <c r="P102" s="92"/>
      <c r="Q102" s="80">
        <f>SUM(Q10:Q101)</f>
        <v>631.50729999999987</v>
      </c>
      <c r="R102" s="97"/>
      <c r="S102" s="98"/>
    </row>
    <row r="103" spans="1:19" ht="19.5" thickBot="1" x14ac:dyDescent="0.3">
      <c r="A103" s="1"/>
      <c r="B103" s="25"/>
      <c r="C103" s="45"/>
      <c r="D103" s="9"/>
      <c r="E103" s="10"/>
      <c r="F103" s="10"/>
      <c r="G103" s="10"/>
      <c r="H103" s="10"/>
      <c r="I103" s="10"/>
      <c r="J103" s="10"/>
      <c r="K103" s="10"/>
      <c r="L103" s="10"/>
      <c r="M103" s="10"/>
      <c r="N103" s="91" t="s">
        <v>529</v>
      </c>
      <c r="O103" s="92"/>
      <c r="P103" s="92"/>
      <c r="Q103" s="81">
        <f>Q102/5</f>
        <v>126.30145999999998</v>
      </c>
      <c r="R103" s="99"/>
      <c r="S103" s="100"/>
    </row>
    <row r="104" spans="1:19" ht="19.5" thickBot="1" x14ac:dyDescent="0.3">
      <c r="N104" s="91" t="s">
        <v>530</v>
      </c>
      <c r="O104" s="92"/>
      <c r="P104" s="92"/>
      <c r="Q104" s="81">
        <v>4</v>
      </c>
    </row>
  </sheetData>
  <mergeCells count="6">
    <mergeCell ref="N104:P104"/>
    <mergeCell ref="K1:S1"/>
    <mergeCell ref="S3:S8"/>
    <mergeCell ref="R102:S103"/>
    <mergeCell ref="N102:P102"/>
    <mergeCell ref="N103:P103"/>
  </mergeCells>
  <hyperlinks>
    <hyperlink ref="O10" r:id="rId1" xr:uid="{2E7196B7-17EB-4A3A-BBBE-F20142496754}"/>
    <hyperlink ref="O11" r:id="rId2" xr:uid="{24227A28-30E3-4A7D-ACC9-83A1D87F2814}"/>
    <hyperlink ref="O12" r:id="rId3" xr:uid="{FE1BDC2E-67C0-4AE9-81C8-6B7625F73009}"/>
    <hyperlink ref="O13" r:id="rId4" xr:uid="{D8DC4BD8-BB31-4475-87D9-77DFEAD6280B}"/>
    <hyperlink ref="O14" r:id="rId5" xr:uid="{246E2BF4-9826-45DD-ADA8-DF23CD0CC4F2}"/>
    <hyperlink ref="O15" r:id="rId6" xr:uid="{D5F16A6B-52BB-43D6-8702-EA0BF946361C}"/>
    <hyperlink ref="O17" r:id="rId7" xr:uid="{5C3ECBEF-9B20-4C72-85C5-B4210DC008FD}"/>
    <hyperlink ref="O18" r:id="rId8" xr:uid="{DF660B85-FEA9-4E78-AAB7-56C6430CEBC0}"/>
    <hyperlink ref="O19" r:id="rId9" xr:uid="{5D833557-62FB-4318-A648-FECDB3290C49}"/>
    <hyperlink ref="O20" r:id="rId10" xr:uid="{A77EE9E0-3F15-4656-8237-A38358068CB4}"/>
    <hyperlink ref="O21" r:id="rId11" xr:uid="{F5EBB4F2-5D4F-4F10-9A5D-BE0AC22B0A3F}"/>
    <hyperlink ref="O22" r:id="rId12" xr:uid="{B9728DA4-DACA-488C-9A7D-342492186C6F}"/>
    <hyperlink ref="O23" r:id="rId13" xr:uid="{0B123D99-8953-4429-A15F-E310BEC5E7FA}"/>
    <hyperlink ref="O25" r:id="rId14" xr:uid="{B834ADAC-D117-49B4-AD7D-D27ABB605326}"/>
    <hyperlink ref="O27" r:id="rId15" xr:uid="{A9100168-CD31-4482-9E96-2622C02A8427}"/>
    <hyperlink ref="O36" r:id="rId16" xr:uid="{E1F1180A-2EF4-48E2-BF4F-12BEB776CA80}"/>
    <hyperlink ref="O37" r:id="rId17" xr:uid="{C73A8BCC-86F8-4109-9AA9-B8D7DCE5EDCC}"/>
    <hyperlink ref="O38" r:id="rId18" xr:uid="{16ECCE03-F673-4B2F-AA89-98A78F1A010A}"/>
    <hyperlink ref="O40" r:id="rId19" xr:uid="{3D33F6C6-EBE5-436A-B4B0-9AA6044319D4}"/>
    <hyperlink ref="O41" r:id="rId20" xr:uid="{DB56F5A6-D7AA-4B76-8F79-4DAB313B8056}"/>
    <hyperlink ref="O42" r:id="rId21" xr:uid="{6EBA3756-8023-4DF9-8FB1-B45C9480F54D}"/>
    <hyperlink ref="O44" r:id="rId22" xr:uid="{6D9D8028-81E4-4B1C-86B4-78EE5E55E0EB}"/>
    <hyperlink ref="O45" r:id="rId23" xr:uid="{7D83DD86-CFE0-4253-8E76-35ABC5EA9FF9}"/>
    <hyperlink ref="O52" r:id="rId24" xr:uid="{24B8AC9E-A4A4-4B9C-95D4-DF0D6051993E}"/>
    <hyperlink ref="O54" r:id="rId25" xr:uid="{BE8193C0-1672-4B36-84FB-0231DA27A220}"/>
    <hyperlink ref="O56" r:id="rId26" xr:uid="{85D9A402-8D38-44F2-B1CF-1609D072A63F}"/>
    <hyperlink ref="O57" r:id="rId27" xr:uid="{40079AA9-5725-4514-9EE1-DE8FE129C438}"/>
    <hyperlink ref="O58" r:id="rId28" xr:uid="{E2D69BC1-8723-468A-ADB6-F830AADF30C1}"/>
    <hyperlink ref="O59" r:id="rId29" xr:uid="{CFE6F118-E798-4E0B-A0FA-D24BF1A27CF2}"/>
    <hyperlink ref="O60" r:id="rId30" xr:uid="{376CDFD1-8D98-4D6F-9D9A-4DE42C6E03FB}"/>
    <hyperlink ref="O61" r:id="rId31" xr:uid="{9DB40F78-1BDD-431D-95AE-C3066D199D75}"/>
    <hyperlink ref="O62" r:id="rId32" xr:uid="{E0245546-F21A-4E75-B510-20365CA0EAEB}"/>
    <hyperlink ref="O63" r:id="rId33" xr:uid="{808035A3-95B3-4248-983D-817557948EFB}"/>
    <hyperlink ref="O64" r:id="rId34" xr:uid="{8A6D7048-03EF-4773-85D1-8F679B58BDAB}"/>
    <hyperlink ref="O65" r:id="rId35" xr:uid="{614B8F76-BE4A-44CB-9C26-FF296675C3D7}"/>
    <hyperlink ref="O66" r:id="rId36" xr:uid="{C518E7DB-4F17-4335-AC87-6250C5BC9693}"/>
    <hyperlink ref="O68" r:id="rId37" xr:uid="{3043F893-14F3-4F75-A2C8-F9D922DC4D7B}"/>
    <hyperlink ref="O69" r:id="rId38" xr:uid="{7BB98244-A23C-43F1-A7BD-4270CB605E86}"/>
    <hyperlink ref="O70" r:id="rId39" xr:uid="{5950984E-7074-45F7-A52C-EDBB04B052A8}"/>
    <hyperlink ref="O71" r:id="rId40" xr:uid="{D384A66B-1AB5-4A86-B1C5-6C36C800FBA3}"/>
    <hyperlink ref="O72" r:id="rId41" xr:uid="{D416CA2F-3DBF-4BB5-91E4-50A4CCB83ABC}"/>
    <hyperlink ref="O73" r:id="rId42" xr:uid="{312B558E-0D5B-4126-B5AB-4B06E093259E}"/>
    <hyperlink ref="O75" r:id="rId43" xr:uid="{A83E4AFA-DC3C-4F6F-9BA8-8CCB97C53575}"/>
    <hyperlink ref="O76" r:id="rId44" xr:uid="{5B9E54E0-D624-4CC8-8CBE-30254539C315}"/>
    <hyperlink ref="O77" r:id="rId45" xr:uid="{6E1A2172-8A3F-4184-B677-FF40B43491AA}"/>
    <hyperlink ref="O79" r:id="rId46" xr:uid="{93508975-457A-495D-8C37-E21E004DA0FE}"/>
    <hyperlink ref="O80" r:id="rId47" xr:uid="{5214ED38-8616-4700-926D-3D34D13FEF40}"/>
    <hyperlink ref="O81" r:id="rId48" xr:uid="{E4237223-8C39-4258-81BA-1615D2399A7B}"/>
    <hyperlink ref="O82" r:id="rId49" xr:uid="{E11A4332-E6EA-43AB-B359-BCC6F3C401C4}"/>
    <hyperlink ref="O84" r:id="rId50" xr:uid="{885B123B-5528-4DCE-9DC8-6F335281E245}"/>
    <hyperlink ref="O87" r:id="rId51" xr:uid="{D2BCBDF9-A74C-4A3A-8625-58A6D16FA728}"/>
    <hyperlink ref="O90" r:id="rId52" xr:uid="{C1025EBE-2B9B-4F82-8913-94E8D4B70C8C}"/>
    <hyperlink ref="O91" r:id="rId53" xr:uid="{109E99DF-E179-48CA-A871-3FA35403FA40}"/>
    <hyperlink ref="O95" r:id="rId54" xr:uid="{63489A4D-1105-4254-8892-B747CA8BE6D3}"/>
    <hyperlink ref="O96" r:id="rId55" xr:uid="{205C45C9-5385-4B71-82F6-CB22EFEC03BC}"/>
    <hyperlink ref="O97" r:id="rId56" xr:uid="{A10C0B1A-0547-4AC0-AECA-204CEC50389E}"/>
    <hyperlink ref="O98" r:id="rId57" xr:uid="{35539995-C6B5-49E5-A00F-C4B539647ACB}"/>
    <hyperlink ref="O100" r:id="rId58" xr:uid="{7BEA1386-CA7B-4873-84C1-67E96EA97C79}"/>
    <hyperlink ref="O101" r:id="rId59" xr:uid="{13129D58-7A45-4DD5-AC01-7C42CB68552D}"/>
    <hyperlink ref="O24" r:id="rId60" xr:uid="{15FF2D2C-F071-49A7-B625-CBE8AA250DF5}"/>
    <hyperlink ref="O26" r:id="rId61" xr:uid="{296ADE2F-94C6-475B-86AF-821FD35EABB0}"/>
    <hyperlink ref="O28" r:id="rId62" xr:uid="{F7A2A4B1-F69F-4744-BB3C-5C200EC38EA3}"/>
    <hyperlink ref="O29" r:id="rId63" xr:uid="{83E2D456-8F59-4B57-A870-65274D6BCFFA}"/>
    <hyperlink ref="O31" r:id="rId64" xr:uid="{A3BBB744-9B26-4CE1-9889-17E03774FE31}"/>
    <hyperlink ref="O39" r:id="rId65" xr:uid="{58AEC90B-9C24-4FA1-AA38-1B8769D8BB10}"/>
    <hyperlink ref="O48" r:id="rId66" xr:uid="{4890ACA3-FED0-4E73-9982-AA6245652B0C}"/>
    <hyperlink ref="O47" r:id="rId67" xr:uid="{BD6A81E4-6E68-4A59-918A-E9410103558D}"/>
    <hyperlink ref="O50" r:id="rId68" xr:uid="{9B3EA203-3D3F-4532-9D94-2F69C0008A4C}"/>
    <hyperlink ref="O51" r:id="rId69" xr:uid="{F590DF7E-371F-4B84-907D-3BC02339C38C}"/>
    <hyperlink ref="O53" r:id="rId70" xr:uid="{1DDC40AA-C78A-46B5-88ED-BC2B5B1C3144}"/>
    <hyperlink ref="O55" r:id="rId71" xr:uid="{FDA2E76A-BC42-4AB9-871C-1D222BC8C85D}"/>
    <hyperlink ref="O67" r:id="rId72" xr:uid="{396F44C7-85C4-4377-9EAB-0335589BB424}"/>
    <hyperlink ref="O83" r:id="rId73" xr:uid="{7371F9D6-A4BF-4392-8175-E9F1945CB6A6}"/>
    <hyperlink ref="O85" r:id="rId74" xr:uid="{771D1A85-11B5-407A-BCFB-293D31484E38}"/>
    <hyperlink ref="O43" r:id="rId75" xr:uid="{430AC511-348E-4F5D-BF43-D38C5AD2ACDB}"/>
    <hyperlink ref="O49" r:id="rId76" xr:uid="{60D3E071-83F1-4E3E-B99A-CF0DAB7C0848}"/>
    <hyperlink ref="O74" r:id="rId77" xr:uid="{DDB3781D-CC67-4B9E-8A92-8B0D42E9ADD9}"/>
    <hyperlink ref="O78" r:id="rId78" xr:uid="{C5625C77-072D-4075-87C6-94DA55FC1A0E}"/>
    <hyperlink ref="O89" r:id="rId79" xr:uid="{68211B1F-D1FA-4BB4-B9AA-AD1AC06623A0}"/>
    <hyperlink ref="O94" r:id="rId80" xr:uid="{E93B1DAB-AF05-4E07-8DD3-14AFCDF08ABE}"/>
    <hyperlink ref="O33" r:id="rId81" xr:uid="{0249B8C0-EAE9-4590-9A86-81848E63EDB2}"/>
    <hyperlink ref="O34" r:id="rId82" xr:uid="{ED947ABD-8BE1-4E62-8651-5924B800CF3D}"/>
    <hyperlink ref="O35" r:id="rId83" xr:uid="{8AFB85E6-CCEB-4153-966B-2274E3C5FBE5}"/>
    <hyperlink ref="O88" r:id="rId84" xr:uid="{508DF2DE-64C1-482F-9133-86D081915FC1}"/>
  </hyperlinks>
  <pageMargins left="0.7" right="0.7" top="0.75" bottom="0.75" header="0.3" footer="0.3"/>
  <pageSetup paperSize="9" orientation="portrait" r:id="rId85"/>
  <drawing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2022-08-19T17:41:22Z</dcterms:modified>
</cp:coreProperties>
</file>