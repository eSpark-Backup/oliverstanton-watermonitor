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OliverStanton-WaterMonitor\BOM\TDS_Meter\"/>
    </mc:Choice>
  </mc:AlternateContent>
  <xr:revisionPtr revIDLastSave="0" documentId="13_ncr:1_{0EB5381E-2E76-45AB-A9AF-BA305E600C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1" i="1" l="1"/>
  <c r="K12" i="1"/>
  <c r="K13" i="1"/>
  <c r="K14" i="1"/>
  <c r="K15" i="1"/>
  <c r="K16" i="1"/>
  <c r="K17" i="1"/>
  <c r="K10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<sst xmlns="http://schemas.openxmlformats.org/spreadsheetml/2006/main" count="74" uniqueCount="62">
  <si>
    <t>Component list</t>
  </si>
  <si>
    <t>Source Data From:</t>
  </si>
  <si>
    <t>Project:</t>
  </si>
  <si>
    <t>Variant:</t>
  </si>
  <si>
    <t>#</t>
  </si>
  <si>
    <t>None</t>
  </si>
  <si>
    <t>Designator</t>
  </si>
  <si>
    <t>C1</t>
  </si>
  <si>
    <t>P1, P2</t>
  </si>
  <si>
    <t>P3</t>
  </si>
  <si>
    <t>Q1</t>
  </si>
  <si>
    <t>R1</t>
  </si>
  <si>
    <t>R2</t>
  </si>
  <si>
    <t>R3, R5</t>
  </si>
  <si>
    <t>R4</t>
  </si>
  <si>
    <t>Description</t>
  </si>
  <si>
    <t>CAP CER 0.1UF 50V Y5V 0603</t>
  </si>
  <si>
    <t>Test Point ON</t>
  </si>
  <si>
    <t>CONN HEADER VERT 6POS 2.54MM</t>
  </si>
  <si>
    <t>MOSFET P-CH 20V 3.7A SOT23</t>
  </si>
  <si>
    <t>RES SMD 15K OHM 1% 1/10W 0603</t>
  </si>
  <si>
    <t>THERMISTOR NTC 10KOHM 3900K 0805</t>
  </si>
  <si>
    <t>RES SMD 1K OHM 1% 1/10W 0603</t>
  </si>
  <si>
    <t>±250ppm/℃ ±25% 2kΩ SMD Variable Resistors/Potentiometers ROHS</t>
  </si>
  <si>
    <t>Footprint</t>
  </si>
  <si>
    <t>Cap0603</t>
  </si>
  <si>
    <t>HDR1X6</t>
  </si>
  <si>
    <t>SOT-23</t>
  </si>
  <si>
    <t>RES-0603</t>
  </si>
  <si>
    <t>NCP21XV103J03RA</t>
  </si>
  <si>
    <t>VG039NCHXTB202</t>
  </si>
  <si>
    <t>Manufacturer Part Number</t>
  </si>
  <si>
    <t>CC0603ZRY5V9BB104</t>
  </si>
  <si>
    <t>IRLML6402TRPBF</t>
  </si>
  <si>
    <t>RC0603FR-0715KL</t>
  </si>
  <si>
    <t>RC0603FR-071KL</t>
  </si>
  <si>
    <t>Manufacturer</t>
  </si>
  <si>
    <t>Yageo</t>
  </si>
  <si>
    <t>Wurth Electronics</t>
  </si>
  <si>
    <t>International Rectifier</t>
  </si>
  <si>
    <t>Murata</t>
  </si>
  <si>
    <t>HDK</t>
  </si>
  <si>
    <t>0.1uF</t>
  </si>
  <si>
    <t>Test Point</t>
  </si>
  <si>
    <t>15K</t>
  </si>
  <si>
    <t>10k</t>
  </si>
  <si>
    <t>1K</t>
  </si>
  <si>
    <t>2K</t>
  </si>
  <si>
    <t>Quantity</t>
  </si>
  <si>
    <t>Item Type</t>
  </si>
  <si>
    <t>Capacitor</t>
  </si>
  <si>
    <t>Header</t>
  </si>
  <si>
    <t>Mosfet</t>
  </si>
  <si>
    <t>Resistor</t>
  </si>
  <si>
    <t>-</t>
  </si>
  <si>
    <t>Quantity (5 Boards)</t>
  </si>
  <si>
    <t>Remarks</t>
  </si>
  <si>
    <t>Custom</t>
  </si>
  <si>
    <t>Res-0805</t>
  </si>
  <si>
    <t>Value</t>
  </si>
  <si>
    <t>Bill of Materials for Project (TDS_Meter)</t>
  </si>
  <si>
    <t>(TDS_Meter)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</si>
</sst>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8" fillId="2" borderId="15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9"/>
  <sheetViews>
    <sheetView tabSelected="1" workbookViewId="0">
      <selection activeCell="A14" sqref="A14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18.28515625" bestFit="1" customWidth="1"/>
    <col min="12" max="12" width="29.42578125" customWidth="1"/>
  </cols>
  <sheetData>
    <row r="1" spans="1:12" ht="15.75" thickBot="1" x14ac:dyDescent="0.3">
      <c r="A1" s="1"/>
      <c r="B1" s="19"/>
      <c r="C1" s="19"/>
      <c r="D1" s="2"/>
      <c r="E1" s="2"/>
      <c r="F1" s="2"/>
      <c r="G1" s="2"/>
      <c r="H1" s="2"/>
      <c r="I1" s="58"/>
      <c r="J1" s="58"/>
      <c r="K1" s="58"/>
      <c r="L1" s="58"/>
    </row>
    <row r="2" spans="1:12" ht="32.25" thickBot="1" x14ac:dyDescent="0.3">
      <c r="A2" s="1"/>
      <c r="B2" s="20"/>
      <c r="C2" s="46"/>
      <c r="D2" s="10" t="s">
        <v>0</v>
      </c>
      <c r="E2" s="10"/>
      <c r="F2" s="54" t="s">
        <v>60</v>
      </c>
      <c r="G2" s="11"/>
      <c r="H2" s="3"/>
      <c r="I2" s="3"/>
      <c r="J2" s="3"/>
      <c r="K2" s="3"/>
      <c r="L2" s="43"/>
    </row>
    <row r="3" spans="1:12" x14ac:dyDescent="0.25">
      <c r="A3" s="1"/>
      <c r="B3" s="21"/>
      <c r="C3" s="47"/>
      <c r="D3" s="12" t="s">
        <v>1</v>
      </c>
      <c r="E3" s="12"/>
      <c r="F3" s="55" t="s">
        <v>61</v>
      </c>
      <c r="G3" s="12"/>
      <c r="H3" s="4"/>
      <c r="I3" s="4"/>
      <c r="J3" s="4"/>
      <c r="K3" s="4"/>
      <c r="L3" s="59"/>
    </row>
    <row r="4" spans="1:12" x14ac:dyDescent="0.25">
      <c r="A4" s="1"/>
      <c r="B4" s="21"/>
      <c r="C4" s="47"/>
      <c r="D4" s="12" t="s">
        <v>2</v>
      </c>
      <c r="E4" s="12"/>
      <c r="F4" s="56" t="s">
        <v>61</v>
      </c>
      <c r="G4" s="13"/>
      <c r="H4" s="6"/>
      <c r="I4" s="6"/>
      <c r="J4" s="6"/>
      <c r="K4" s="6"/>
      <c r="L4" s="60"/>
    </row>
    <row r="5" spans="1:12" x14ac:dyDescent="0.25">
      <c r="A5" s="1"/>
      <c r="B5" s="21"/>
      <c r="C5" s="47"/>
      <c r="D5" s="12" t="s">
        <v>3</v>
      </c>
      <c r="E5" s="12"/>
      <c r="F5" s="57" t="s">
        <v>5</v>
      </c>
      <c r="G5" s="14"/>
      <c r="H5" s="5"/>
      <c r="I5" s="5"/>
      <c r="J5" s="5"/>
      <c r="K5" s="5"/>
      <c r="L5" s="60"/>
    </row>
    <row r="6" spans="1:12" x14ac:dyDescent="0.25">
      <c r="A6" s="1"/>
      <c r="B6" s="22"/>
      <c r="C6" s="48"/>
      <c r="D6" s="15"/>
      <c r="E6" s="15"/>
      <c r="F6" s="16"/>
      <c r="G6" s="14"/>
      <c r="H6" s="5"/>
      <c r="I6" s="5"/>
      <c r="J6" s="5"/>
      <c r="K6" s="5"/>
      <c r="L6" s="60"/>
    </row>
    <row r="7" spans="1:12" x14ac:dyDescent="0.25">
      <c r="A7" s="1"/>
      <c r="B7" s="23"/>
      <c r="C7" s="49"/>
      <c r="D7" s="17"/>
      <c r="E7" s="17"/>
      <c r="F7" s="18"/>
      <c r="G7" s="17"/>
      <c r="H7" s="7"/>
      <c r="I7" s="7"/>
      <c r="J7" s="7"/>
      <c r="K7" s="7"/>
      <c r="L7" s="60"/>
    </row>
    <row r="8" spans="1:12" ht="15.75" thickBot="1" x14ac:dyDescent="0.3">
      <c r="A8" s="1"/>
      <c r="B8" s="26"/>
      <c r="C8" s="50"/>
      <c r="D8" s="27"/>
      <c r="E8" s="27"/>
      <c r="F8" s="28"/>
      <c r="G8" s="17"/>
      <c r="H8" s="7"/>
      <c r="I8" s="7"/>
      <c r="J8" s="7"/>
      <c r="K8" s="7"/>
      <c r="L8" s="60"/>
    </row>
    <row r="9" spans="1:12" ht="15.75" thickBot="1" x14ac:dyDescent="0.3">
      <c r="A9" s="1"/>
      <c r="B9" s="29" t="s">
        <v>4</v>
      </c>
      <c r="C9" s="29" t="s">
        <v>49</v>
      </c>
      <c r="D9" s="29" t="s">
        <v>6</v>
      </c>
      <c r="E9" s="30" t="s">
        <v>15</v>
      </c>
      <c r="F9" s="29" t="s">
        <v>24</v>
      </c>
      <c r="G9" s="30" t="s">
        <v>31</v>
      </c>
      <c r="H9" s="29" t="s">
        <v>36</v>
      </c>
      <c r="I9" s="30" t="s">
        <v>59</v>
      </c>
      <c r="J9" s="29" t="s">
        <v>48</v>
      </c>
      <c r="K9" s="29" t="s">
        <v>55</v>
      </c>
      <c r="L9" s="31" t="s">
        <v>56</v>
      </c>
    </row>
    <row r="10" spans="1:12" ht="15.75" thickBot="1" x14ac:dyDescent="0.3">
      <c r="A10" s="1"/>
      <c r="B10" s="53">
        <f>ROW(B10) - ROW($B$9)</f>
        <v>1</v>
      </c>
      <c r="C10" s="61" t="s">
        <v>50</v>
      </c>
      <c r="D10" s="37" t="s">
        <v>7</v>
      </c>
      <c r="E10" s="38" t="s">
        <v>16</v>
      </c>
      <c r="F10" s="37" t="s">
        <v>25</v>
      </c>
      <c r="G10" s="38" t="s">
        <v>32</v>
      </c>
      <c r="H10" s="37" t="s">
        <v>37</v>
      </c>
      <c r="I10" s="38" t="s">
        <v>42</v>
      </c>
      <c r="J10" s="37">
        <v>1</v>
      </c>
      <c r="K10" s="41">
        <f>J10*5</f>
        <v>5</v>
      </c>
      <c r="L10" s="41"/>
    </row>
    <row r="11" spans="1:12" ht="15.75" thickBot="1" x14ac:dyDescent="0.3">
      <c r="A11" s="1"/>
      <c r="B11" s="53">
        <f t="shared" ref="B11:B17" si="0">ROW(B11) - ROW($B$9)</f>
        <v>2</v>
      </c>
      <c r="C11" s="62" t="s">
        <v>43</v>
      </c>
      <c r="D11" s="39" t="s">
        <v>8</v>
      </c>
      <c r="E11" s="40" t="s">
        <v>17</v>
      </c>
      <c r="F11" s="39" t="s">
        <v>54</v>
      </c>
      <c r="G11" s="40" t="s">
        <v>54</v>
      </c>
      <c r="H11" s="39" t="s">
        <v>54</v>
      </c>
      <c r="I11" s="40" t="s">
        <v>54</v>
      </c>
      <c r="J11" s="39">
        <v>2</v>
      </c>
      <c r="K11" s="42">
        <f t="shared" ref="K11:K17" si="1">J11*5</f>
        <v>10</v>
      </c>
      <c r="L11" s="42"/>
    </row>
    <row r="12" spans="1:12" ht="15.75" thickBot="1" x14ac:dyDescent="0.3">
      <c r="A12" s="1"/>
      <c r="B12" s="53">
        <f>ROW(B12) - ROW($B$9)</f>
        <v>3</v>
      </c>
      <c r="C12" s="61" t="s">
        <v>51</v>
      </c>
      <c r="D12" s="37" t="s">
        <v>9</v>
      </c>
      <c r="E12" s="38" t="s">
        <v>18</v>
      </c>
      <c r="F12" s="37" t="s">
        <v>26</v>
      </c>
      <c r="G12" s="38">
        <v>61300611121</v>
      </c>
      <c r="H12" s="37" t="s">
        <v>38</v>
      </c>
      <c r="I12" s="38" t="s">
        <v>54</v>
      </c>
      <c r="J12" s="37">
        <v>1</v>
      </c>
      <c r="K12" s="41">
        <f t="shared" si="1"/>
        <v>5</v>
      </c>
      <c r="L12" s="41"/>
    </row>
    <row r="13" spans="1:12" ht="15.75" thickBot="1" x14ac:dyDescent="0.3">
      <c r="A13" s="1"/>
      <c r="B13" s="53">
        <f t="shared" si="0"/>
        <v>4</v>
      </c>
      <c r="C13" s="62" t="s">
        <v>52</v>
      </c>
      <c r="D13" s="39" t="s">
        <v>10</v>
      </c>
      <c r="E13" s="40" t="s">
        <v>19</v>
      </c>
      <c r="F13" s="39" t="s">
        <v>27</v>
      </c>
      <c r="G13" s="40" t="s">
        <v>33</v>
      </c>
      <c r="H13" s="39" t="s">
        <v>39</v>
      </c>
      <c r="I13" s="40" t="s">
        <v>54</v>
      </c>
      <c r="J13" s="39">
        <v>1</v>
      </c>
      <c r="K13" s="42">
        <f t="shared" si="1"/>
        <v>5</v>
      </c>
      <c r="L13" s="42"/>
    </row>
    <row r="14" spans="1:12" ht="15.75" thickBot="1" x14ac:dyDescent="0.3">
      <c r="A14" s="1"/>
      <c r="B14" s="53">
        <f>ROW(B14) - ROW($B$9)</f>
        <v>5</v>
      </c>
      <c r="C14" s="61" t="s">
        <v>53</v>
      </c>
      <c r="D14" s="37" t="s">
        <v>11</v>
      </c>
      <c r="E14" s="38" t="s">
        <v>20</v>
      </c>
      <c r="F14" s="37" t="s">
        <v>28</v>
      </c>
      <c r="G14" s="38" t="s">
        <v>34</v>
      </c>
      <c r="H14" s="37" t="s">
        <v>37</v>
      </c>
      <c r="I14" s="38" t="s">
        <v>44</v>
      </c>
      <c r="J14" s="37">
        <v>1</v>
      </c>
      <c r="K14" s="41">
        <f t="shared" si="1"/>
        <v>5</v>
      </c>
      <c r="L14" s="41"/>
    </row>
    <row r="15" spans="1:12" ht="15.75" thickBot="1" x14ac:dyDescent="0.3">
      <c r="A15" s="1"/>
      <c r="B15" s="53">
        <f t="shared" si="0"/>
        <v>6</v>
      </c>
      <c r="C15" s="62" t="s">
        <v>53</v>
      </c>
      <c r="D15" s="39" t="s">
        <v>12</v>
      </c>
      <c r="E15" s="40" t="s">
        <v>21</v>
      </c>
      <c r="F15" s="39" t="s">
        <v>58</v>
      </c>
      <c r="G15" s="40" t="s">
        <v>29</v>
      </c>
      <c r="H15" s="39" t="s">
        <v>40</v>
      </c>
      <c r="I15" s="40" t="s">
        <v>45</v>
      </c>
      <c r="J15" s="39">
        <v>1</v>
      </c>
      <c r="K15" s="42">
        <f t="shared" si="1"/>
        <v>5</v>
      </c>
      <c r="L15" s="42"/>
    </row>
    <row r="16" spans="1:12" ht="15.75" thickBot="1" x14ac:dyDescent="0.3">
      <c r="A16" s="1"/>
      <c r="B16" s="53">
        <f>ROW(B16) - ROW($B$9)</f>
        <v>7</v>
      </c>
      <c r="C16" s="61" t="s">
        <v>53</v>
      </c>
      <c r="D16" s="37" t="s">
        <v>13</v>
      </c>
      <c r="E16" s="38" t="s">
        <v>22</v>
      </c>
      <c r="F16" s="37" t="s">
        <v>28</v>
      </c>
      <c r="G16" s="38" t="s">
        <v>35</v>
      </c>
      <c r="H16" s="37" t="s">
        <v>37</v>
      </c>
      <c r="I16" s="38" t="s">
        <v>46</v>
      </c>
      <c r="J16" s="37">
        <v>2</v>
      </c>
      <c r="K16" s="41">
        <f t="shared" si="1"/>
        <v>10</v>
      </c>
      <c r="L16" s="41"/>
    </row>
    <row r="17" spans="1:12" ht="24.75" thickBot="1" x14ac:dyDescent="0.3">
      <c r="A17" s="1"/>
      <c r="B17" s="53">
        <f t="shared" si="0"/>
        <v>8</v>
      </c>
      <c r="C17" s="62" t="s">
        <v>53</v>
      </c>
      <c r="D17" s="39" t="s">
        <v>14</v>
      </c>
      <c r="E17" s="40" t="s">
        <v>23</v>
      </c>
      <c r="F17" s="39" t="s">
        <v>57</v>
      </c>
      <c r="G17" s="39" t="s">
        <v>30</v>
      </c>
      <c r="H17" s="39" t="s">
        <v>41</v>
      </c>
      <c r="I17" s="40" t="s">
        <v>47</v>
      </c>
      <c r="J17" s="39">
        <v>1</v>
      </c>
      <c r="K17" s="42">
        <f t="shared" si="1"/>
        <v>5</v>
      </c>
      <c r="L17" s="42"/>
    </row>
    <row r="18" spans="1:12" x14ac:dyDescent="0.25">
      <c r="A18" s="1"/>
      <c r="B18" s="32"/>
      <c r="C18" s="51"/>
      <c r="D18" s="33"/>
      <c r="E18" s="34"/>
      <c r="F18" s="35"/>
      <c r="G18" s="36"/>
      <c r="H18" s="35"/>
      <c r="I18" s="36"/>
      <c r="J18" s="36"/>
      <c r="K18" s="36"/>
      <c r="L18" s="44"/>
    </row>
    <row r="19" spans="1:12" ht="15.75" thickBot="1" x14ac:dyDescent="0.3">
      <c r="A19" s="1"/>
      <c r="B19" s="24"/>
      <c r="C19" s="52"/>
      <c r="D19" s="8"/>
      <c r="E19" s="9"/>
      <c r="F19" s="9"/>
      <c r="G19" s="9"/>
      <c r="H19" s="9"/>
      <c r="I19" s="9"/>
      <c r="J19" s="9"/>
      <c r="K19" s="9"/>
      <c r="L19" s="45"/>
    </row>
  </sheetData>
  <mergeCells count="2">
    <mergeCell ref="I1:L1"/>
    <mergeCell ref="L3:L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2022-08-19T17:32:39Z</dcterms:modified>
</cp:coreProperties>
</file>