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BOM\TDS_Meter\"/>
    </mc:Choice>
  </mc:AlternateContent>
  <bookViews>
    <workbookView xWindow="-120" yWindow="-120" windowWidth="29040" windowHeight="15840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8" i="1" l="1"/>
  <c r="Q19" i="1"/>
  <c r="Q12" i="1"/>
  <c r="Q13" i="1"/>
  <c r="Q14" i="1"/>
  <c r="Q15" i="1"/>
  <c r="Q16" i="1"/>
  <c r="Q17" i="1"/>
  <c r="Q10" i="1"/>
  <c r="M11" i="1"/>
  <c r="M12" i="1"/>
  <c r="M13" i="1"/>
  <c r="M14" i="1"/>
  <c r="M15" i="1"/>
  <c r="M16" i="1"/>
  <c r="M17" i="1"/>
  <c r="M10" i="1"/>
  <c r="B17" i="1" l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<sst xmlns="http://schemas.openxmlformats.org/spreadsheetml/2006/main" count="110" uniqueCount="81">
  <si>
    <t>Component list</t>
  </si>
  <si>
    <t>Source Data From:</t>
  </si>
  <si>
    <t>Project:</t>
  </si>
  <si>
    <t>Variant:</t>
  </si>
  <si>
    <t>#</t>
  </si>
  <si>
    <t>None</t>
  </si>
  <si>
    <t>Designator</t>
  </si>
  <si>
    <t>C1</t>
  </si>
  <si>
    <t>P1, P2</t>
  </si>
  <si>
    <t>P3</t>
  </si>
  <si>
    <t>Q1</t>
  </si>
  <si>
    <t>R1</t>
  </si>
  <si>
    <t>R2</t>
  </si>
  <si>
    <t>R3, R5</t>
  </si>
  <si>
    <t>R4</t>
  </si>
  <si>
    <t>Description</t>
  </si>
  <si>
    <t>CAP CER 0.1UF 50V Y5V 0603</t>
  </si>
  <si>
    <t>Test Point ON</t>
  </si>
  <si>
    <t>CONN HEADER VERT 6POS 2.54MM</t>
  </si>
  <si>
    <t>MOSFET P-CH 20V 3.7A SOT23</t>
  </si>
  <si>
    <t>RES SMD 15K OHM 1% 1/10W 0603</t>
  </si>
  <si>
    <t>THERMISTOR NTC 10KOHM 3900K 0805</t>
  </si>
  <si>
    <t>RES SMD 1K OHM 1% 1/10W 0603</t>
  </si>
  <si>
    <t>±250ppm/℃ ±25% 2kΩ SMD Variable Resistors/Potentiometers ROHS</t>
  </si>
  <si>
    <t>Footprint</t>
  </si>
  <si>
    <t>Cap0603</t>
  </si>
  <si>
    <t>TEST POINT</t>
  </si>
  <si>
    <t>HDR1X6</t>
  </si>
  <si>
    <t>SOT-23</t>
  </si>
  <si>
    <t>RES-0603</t>
  </si>
  <si>
    <t>NCP21XV103J03RA</t>
  </si>
  <si>
    <t>VG039NCHXTB202</t>
  </si>
  <si>
    <t>Manufacturer Part Number</t>
  </si>
  <si>
    <t>CC0603ZRY5V9BB104</t>
  </si>
  <si>
    <t>IRLML6402TRPBF</t>
  </si>
  <si>
    <t>RC0603FR-0715KL</t>
  </si>
  <si>
    <t>RC0603FR-071KL</t>
  </si>
  <si>
    <t>Manufacturer</t>
  </si>
  <si>
    <t>Yageo</t>
  </si>
  <si>
    <t>Wurth Electronics</t>
  </si>
  <si>
    <t>International Rectifier</t>
  </si>
  <si>
    <t>Murata</t>
  </si>
  <si>
    <t>HDK</t>
  </si>
  <si>
    <t>0.1uF</t>
  </si>
  <si>
    <t>Test Point</t>
  </si>
  <si>
    <t>15K</t>
  </si>
  <si>
    <t>10k</t>
  </si>
  <si>
    <t>1K</t>
  </si>
  <si>
    <t>2K</t>
  </si>
  <si>
    <t>Quantity</t>
  </si>
  <si>
    <t>Item Type</t>
  </si>
  <si>
    <t>Alternate Part Number</t>
  </si>
  <si>
    <t>LCSC/Part Number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</si>
  <si>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</si>
  <si>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</si>
  <si>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</si>
  <si>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</si>
  <si>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</si>
  <si>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</si>
  <si>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</si>
  <si>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</si>
  <si>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Capacitor</t>
  </si>
  <si>
    <t>Header</t>
  </si>
  <si>
    <t>Mosfet</t>
  </si>
  <si>
    <t>Resistor</t>
  </si>
  <si>
    <t>Bill of Materials for Project (TDS_Meter)</t>
  </si>
  <si>
    <t>(TDS_Meter)</t>
  </si>
  <si>
    <t xml:space="preserve">PZ254V-11-02P
</t>
  </si>
  <si>
    <t>C492401</t>
  </si>
  <si>
    <t>LCSC</t>
  </si>
  <si>
    <t>C558180</t>
  </si>
  <si>
    <t>C106221</t>
  </si>
  <si>
    <t>C114661</t>
  </si>
  <si>
    <t>RES0805</t>
  </si>
  <si>
    <t>C73681</t>
  </si>
  <si>
    <t>C22548</t>
  </si>
  <si>
    <t>C128549</t>
  </si>
  <si>
    <t>Custom</t>
  </si>
  <si>
    <t xml:space="preserve">Total Component Cost </t>
  </si>
  <si>
    <t>Single Board Cost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</si>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</sst>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 wrapText="1"/>
    </xf>
    <xf numFmtId="0" fontId="22" fillId="4" borderId="17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3" fillId="3" borderId="21" xfId="0" applyFont="1" applyFill="1" applyBorder="1" applyAlignment="1" applyProtection="1">
      <alignment horizontal="center" vertical="top"/>
      <protection locked="0"/>
    </xf>
    <xf numFmtId="0" fontId="23" fillId="3" borderId="12" xfId="0" applyFont="1" applyFill="1" applyBorder="1" applyAlignment="1" applyProtection="1">
      <alignment horizontal="center" vertical="top"/>
      <protection locked="0"/>
    </xf>
    <xf numFmtId="0" fontId="21" fillId="4" borderId="17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65" fontId="21" fillId="4" borderId="17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Multilayer-Ceramic-Capacitors-MLCC-SMD-SMT_YAGEO-CC0603ZRY5V9BB104_C106221.html" TargetMode="External"/><Relationship Id="rId7" Type="http://schemas.openxmlformats.org/officeDocument/2006/relationships/hyperlink" Target="https://www.lcsc.com/product-detail/Variable-Resistors-Potentiometers_HDK-Hokuriku-Elec-Industry-VG039NCHXTB202_C128549.html" TargetMode="External"/><Relationship Id="rId2" Type="http://schemas.openxmlformats.org/officeDocument/2006/relationships/hyperlink" Target="https://www.lcsc.com/product-detail/MOSFETs_VBsemi-Elec-IRLML6402TRPBF_C558180.html" TargetMode="External"/><Relationship Id="rId1" Type="http://schemas.openxmlformats.org/officeDocument/2006/relationships/hyperlink" Target="https://www.lcsc.com/product-detail/Pin-Headers_XFCN-PZ254V-11-02P_C492401.html" TargetMode="External"/><Relationship Id="rId6" Type="http://schemas.openxmlformats.org/officeDocument/2006/relationships/hyperlink" Target="https://www.lcsc.com/product-detail/Chip-Resistor-Surface-Mount_YAGEO-RC0603FR-071KL_C22548.html" TargetMode="External"/><Relationship Id="rId5" Type="http://schemas.openxmlformats.org/officeDocument/2006/relationships/hyperlink" Target="https://www.lcsc.com/product-detail/NTC-Thermistors_Murata-Electronics-NCP21XV103J03RA_C73681.html" TargetMode="External"/><Relationship Id="rId4" Type="http://schemas.openxmlformats.org/officeDocument/2006/relationships/hyperlink" Target="https://www.lcsc.com/product-detail/Chip-Resistor-Surface-Mount_YAGEO-RC0603FR-0715KL_C114661.html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9"/>
  <sheetViews>
    <sheetView tabSelected="1" workbookViewId="0">
      <selection activeCell="I23" sqref="I23"/>
    </sheetView>
  </sheetViews>
  <sheetFormatPr defaultRowHeight="15" x14ac:dyDescent="0.25"/>
  <cols>
    <col min="2" max="2" width="3.140625" style="26" customWidth="1"/>
    <col min="3" max="3" width="16.140625" style="26" customWidth="1"/>
    <col min="4" max="4" width="24.28515625" customWidth="1"/>
    <col min="5" max="5" width="30.85546875" customWidth="1"/>
    <col min="6" max="6" width="22.28515625" bestFit="1" customWidth="1"/>
    <col min="7" max="7" width="27.7109375" customWidth="1"/>
    <col min="8" max="8" width="21.42578125" bestFit="1" customWidth="1"/>
    <col min="9" max="9" width="21.5703125" bestFit="1" customWidth="1"/>
    <col min="10" max="10" width="17.5703125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8"/>
      <c r="L1" s="68"/>
      <c r="M1" s="68"/>
      <c r="N1" s="68"/>
      <c r="O1" s="68"/>
      <c r="P1" s="68"/>
      <c r="Q1" s="68"/>
      <c r="R1" s="68"/>
      <c r="S1" s="69"/>
    </row>
    <row r="2" spans="1:19" ht="32.25" thickBot="1" x14ac:dyDescent="0.3">
      <c r="A2" s="1"/>
      <c r="B2" s="21"/>
      <c r="C2" s="39"/>
      <c r="D2" s="11" t="s">
        <v>0</v>
      </c>
      <c r="E2" s="11"/>
      <c r="F2" s="55" t="s">
        <v>65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6" t="s">
        <v>66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0"/>
    </row>
    <row r="4" spans="1:19" x14ac:dyDescent="0.25">
      <c r="A4" s="1"/>
      <c r="B4" s="22"/>
      <c r="C4" s="40"/>
      <c r="D4" s="13" t="s">
        <v>2</v>
      </c>
      <c r="E4" s="13"/>
      <c r="F4" s="57" t="s">
        <v>66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1"/>
    </row>
    <row r="5" spans="1:19" x14ac:dyDescent="0.25">
      <c r="A5" s="1"/>
      <c r="B5" s="22"/>
      <c r="C5" s="40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1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1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1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1"/>
    </row>
    <row r="9" spans="1:19" ht="15.75" thickBot="1" x14ac:dyDescent="0.3">
      <c r="A9" s="1"/>
      <c r="B9" s="30" t="s">
        <v>4</v>
      </c>
      <c r="C9" s="30" t="s">
        <v>50</v>
      </c>
      <c r="D9" s="30" t="s">
        <v>6</v>
      </c>
      <c r="E9" s="31" t="s">
        <v>15</v>
      </c>
      <c r="F9" s="30" t="s">
        <v>24</v>
      </c>
      <c r="G9" s="31" t="s">
        <v>32</v>
      </c>
      <c r="H9" s="30" t="s">
        <v>37</v>
      </c>
      <c r="I9" s="30" t="s">
        <v>51</v>
      </c>
      <c r="J9" s="30" t="s">
        <v>52</v>
      </c>
      <c r="K9" s="30" t="s">
        <v>80</v>
      </c>
      <c r="L9" s="31" t="s">
        <v>49</v>
      </c>
      <c r="M9" s="30" t="s">
        <v>53</v>
      </c>
      <c r="N9" s="30" t="s">
        <v>54</v>
      </c>
      <c r="O9" s="30" t="s">
        <v>55</v>
      </c>
      <c r="P9" s="30" t="s">
        <v>56</v>
      </c>
      <c r="Q9" s="30" t="s">
        <v>57</v>
      </c>
      <c r="R9" s="32" t="s">
        <v>58</v>
      </c>
      <c r="S9" s="32" t="s">
        <v>59</v>
      </c>
    </row>
    <row r="10" spans="1:19" ht="15.75" thickBot="1" x14ac:dyDescent="0.3">
      <c r="A10" s="1"/>
      <c r="B10" s="38">
        <f>ROW(B10) - ROW($B$9)</f>
        <v>1</v>
      </c>
      <c r="C10" s="59" t="s">
        <v>61</v>
      </c>
      <c r="D10" s="46" t="s">
        <v>7</v>
      </c>
      <c r="E10" s="47" t="s">
        <v>16</v>
      </c>
      <c r="F10" s="46" t="s">
        <v>25</v>
      </c>
      <c r="G10" s="47" t="s">
        <v>33</v>
      </c>
      <c r="H10" s="46" t="s">
        <v>38</v>
      </c>
      <c r="I10" s="46" t="s">
        <v>60</v>
      </c>
      <c r="J10" s="46" t="s">
        <v>71</v>
      </c>
      <c r="K10" s="46" t="s">
        <v>43</v>
      </c>
      <c r="L10" s="47">
        <v>1</v>
      </c>
      <c r="M10" s="46">
        <f>L10*5</f>
        <v>5</v>
      </c>
      <c r="N10" s="46">
        <v>100</v>
      </c>
      <c r="O10" s="65" t="s">
        <v>69</v>
      </c>
      <c r="P10" s="53">
        <v>3.3999999999999998E-3</v>
      </c>
      <c r="Q10" s="53">
        <f>P10*N10</f>
        <v>0.33999999999999997</v>
      </c>
      <c r="R10" s="48"/>
      <c r="S10" s="49"/>
    </row>
    <row r="11" spans="1:19" ht="15.75" thickBot="1" x14ac:dyDescent="0.3">
      <c r="A11" s="1"/>
      <c r="B11" s="38">
        <f t="shared" ref="B11:B17" si="0">ROW(B11) - ROW($B$9)</f>
        <v>2</v>
      </c>
      <c r="C11" s="60" t="s">
        <v>44</v>
      </c>
      <c r="D11" s="78" t="s">
        <v>8</v>
      </c>
      <c r="E11" s="79" t="s">
        <v>17</v>
      </c>
      <c r="F11" s="78" t="s">
        <v>26</v>
      </c>
      <c r="G11" s="79" t="s">
        <v>60</v>
      </c>
      <c r="H11" s="78" t="s">
        <v>60</v>
      </c>
      <c r="I11" s="79" t="s">
        <v>60</v>
      </c>
      <c r="J11" s="78" t="s">
        <v>60</v>
      </c>
      <c r="K11" s="78" t="s">
        <v>60</v>
      </c>
      <c r="L11" s="79">
        <v>2</v>
      </c>
      <c r="M11" s="78">
        <f t="shared" ref="M11:M17" si="1">L11*5</f>
        <v>10</v>
      </c>
      <c r="N11" s="79" t="s">
        <v>60</v>
      </c>
      <c r="O11" s="78" t="s">
        <v>60</v>
      </c>
      <c r="P11" s="79" t="s">
        <v>60</v>
      </c>
      <c r="Q11" s="80" t="s">
        <v>60</v>
      </c>
      <c r="R11" s="79"/>
      <c r="S11" s="78"/>
    </row>
    <row r="12" spans="1:19" ht="15.75" thickBot="1" x14ac:dyDescent="0.3">
      <c r="A12" s="1"/>
      <c r="B12" s="38">
        <f>ROW(B12) - ROW($B$9)</f>
        <v>3</v>
      </c>
      <c r="C12" s="59" t="s">
        <v>62</v>
      </c>
      <c r="D12" s="46" t="s">
        <v>9</v>
      </c>
      <c r="E12" s="47" t="s">
        <v>18</v>
      </c>
      <c r="F12" s="46" t="s">
        <v>27</v>
      </c>
      <c r="G12" s="61">
        <v>61300611121</v>
      </c>
      <c r="H12" s="46" t="s">
        <v>39</v>
      </c>
      <c r="I12" s="62" t="s">
        <v>67</v>
      </c>
      <c r="J12" s="46" t="s">
        <v>68</v>
      </c>
      <c r="K12" s="46" t="s">
        <v>60</v>
      </c>
      <c r="L12" s="47">
        <v>1</v>
      </c>
      <c r="M12" s="46">
        <f t="shared" si="1"/>
        <v>5</v>
      </c>
      <c r="N12" s="46">
        <v>50</v>
      </c>
      <c r="O12" s="63" t="s">
        <v>69</v>
      </c>
      <c r="P12" s="53">
        <v>1.2E-2</v>
      </c>
      <c r="Q12" s="53">
        <f t="shared" ref="Q12:Q17" si="2">P12*N12</f>
        <v>0.6</v>
      </c>
      <c r="R12" s="48"/>
      <c r="S12" s="48"/>
    </row>
    <row r="13" spans="1:19" ht="15.75" thickBot="1" x14ac:dyDescent="0.3">
      <c r="A13" s="1"/>
      <c r="B13" s="38">
        <f t="shared" si="0"/>
        <v>4</v>
      </c>
      <c r="C13" s="60" t="s">
        <v>63</v>
      </c>
      <c r="D13" s="50" t="s">
        <v>10</v>
      </c>
      <c r="E13" s="51" t="s">
        <v>19</v>
      </c>
      <c r="F13" s="50" t="s">
        <v>28</v>
      </c>
      <c r="G13" s="51" t="s">
        <v>34</v>
      </c>
      <c r="H13" s="50" t="s">
        <v>40</v>
      </c>
      <c r="I13" s="50" t="s">
        <v>60</v>
      </c>
      <c r="J13" s="50" t="s">
        <v>70</v>
      </c>
      <c r="K13" s="50" t="s">
        <v>60</v>
      </c>
      <c r="L13" s="51">
        <v>1</v>
      </c>
      <c r="M13" s="50">
        <f t="shared" si="1"/>
        <v>5</v>
      </c>
      <c r="N13" s="50">
        <v>10</v>
      </c>
      <c r="O13" s="64" t="s">
        <v>69</v>
      </c>
      <c r="P13" s="54">
        <v>0.1212</v>
      </c>
      <c r="Q13" s="54">
        <f t="shared" si="2"/>
        <v>1.212</v>
      </c>
      <c r="R13" s="52"/>
      <c r="S13" s="52"/>
    </row>
    <row r="14" spans="1:19" ht="15.75" thickBot="1" x14ac:dyDescent="0.3">
      <c r="A14" s="1"/>
      <c r="B14" s="38">
        <f>ROW(B14) - ROW($B$9)</f>
        <v>5</v>
      </c>
      <c r="C14" s="59" t="s">
        <v>64</v>
      </c>
      <c r="D14" s="46" t="s">
        <v>11</v>
      </c>
      <c r="E14" s="47" t="s">
        <v>20</v>
      </c>
      <c r="F14" s="46" t="s">
        <v>29</v>
      </c>
      <c r="G14" s="47" t="s">
        <v>35</v>
      </c>
      <c r="H14" s="46" t="s">
        <v>38</v>
      </c>
      <c r="I14" s="46" t="s">
        <v>60</v>
      </c>
      <c r="J14" s="46" t="s">
        <v>72</v>
      </c>
      <c r="K14" s="46" t="s">
        <v>45</v>
      </c>
      <c r="L14" s="47">
        <v>1</v>
      </c>
      <c r="M14" s="46">
        <f t="shared" si="1"/>
        <v>5</v>
      </c>
      <c r="N14" s="46">
        <v>100</v>
      </c>
      <c r="O14" s="63" t="s">
        <v>69</v>
      </c>
      <c r="P14" s="53">
        <v>1.4E-3</v>
      </c>
      <c r="Q14" s="53">
        <f t="shared" si="2"/>
        <v>0.13999999999999999</v>
      </c>
      <c r="R14" s="48"/>
      <c r="S14" s="48"/>
    </row>
    <row r="15" spans="1:19" ht="15.75" thickBot="1" x14ac:dyDescent="0.3">
      <c r="A15" s="1"/>
      <c r="B15" s="38">
        <f t="shared" si="0"/>
        <v>6</v>
      </c>
      <c r="C15" s="60" t="s">
        <v>64</v>
      </c>
      <c r="D15" s="50" t="s">
        <v>12</v>
      </c>
      <c r="E15" s="51" t="s">
        <v>21</v>
      </c>
      <c r="F15" s="50" t="s">
        <v>73</v>
      </c>
      <c r="G15" s="51" t="s">
        <v>30</v>
      </c>
      <c r="H15" s="50" t="s">
        <v>41</v>
      </c>
      <c r="I15" s="50" t="s">
        <v>60</v>
      </c>
      <c r="J15" s="50" t="s">
        <v>74</v>
      </c>
      <c r="K15" s="50" t="s">
        <v>46</v>
      </c>
      <c r="L15" s="51">
        <v>1</v>
      </c>
      <c r="M15" s="50">
        <f t="shared" si="1"/>
        <v>5</v>
      </c>
      <c r="N15" s="50">
        <v>10</v>
      </c>
      <c r="O15" s="64" t="s">
        <v>69</v>
      </c>
      <c r="P15" s="54">
        <v>6.9599999999999995E-2</v>
      </c>
      <c r="Q15" s="54">
        <f t="shared" si="2"/>
        <v>0.69599999999999995</v>
      </c>
      <c r="R15" s="52"/>
      <c r="S15" s="52"/>
    </row>
    <row r="16" spans="1:19" ht="15.75" thickBot="1" x14ac:dyDescent="0.3">
      <c r="A16" s="1"/>
      <c r="B16" s="38">
        <f>ROW(B16) - ROW($B$9)</f>
        <v>7</v>
      </c>
      <c r="C16" s="59" t="s">
        <v>64</v>
      </c>
      <c r="D16" s="46" t="s">
        <v>13</v>
      </c>
      <c r="E16" s="47" t="s">
        <v>22</v>
      </c>
      <c r="F16" s="46" t="s">
        <v>29</v>
      </c>
      <c r="G16" s="47" t="s">
        <v>36</v>
      </c>
      <c r="H16" s="46" t="s">
        <v>38</v>
      </c>
      <c r="I16" s="46" t="s">
        <v>60</v>
      </c>
      <c r="J16" s="46" t="s">
        <v>75</v>
      </c>
      <c r="K16" s="46" t="s">
        <v>47</v>
      </c>
      <c r="L16" s="47">
        <v>2</v>
      </c>
      <c r="M16" s="46">
        <f t="shared" si="1"/>
        <v>10</v>
      </c>
      <c r="N16" s="46">
        <v>100</v>
      </c>
      <c r="O16" s="63" t="s">
        <v>69</v>
      </c>
      <c r="P16" s="53">
        <v>1.1999999999999999E-3</v>
      </c>
      <c r="Q16" s="53">
        <f t="shared" si="2"/>
        <v>0.12</v>
      </c>
      <c r="R16" s="48"/>
      <c r="S16" s="48"/>
    </row>
    <row r="17" spans="1:19" ht="24.75" thickBot="1" x14ac:dyDescent="0.3">
      <c r="A17" s="1"/>
      <c r="B17" s="38">
        <f t="shared" si="0"/>
        <v>8</v>
      </c>
      <c r="C17" s="60" t="s">
        <v>64</v>
      </c>
      <c r="D17" s="50" t="s">
        <v>14</v>
      </c>
      <c r="E17" s="51" t="s">
        <v>23</v>
      </c>
      <c r="F17" s="50" t="s">
        <v>77</v>
      </c>
      <c r="G17" s="50" t="s">
        <v>31</v>
      </c>
      <c r="H17" s="50" t="s">
        <v>42</v>
      </c>
      <c r="I17" s="50" t="s">
        <v>60</v>
      </c>
      <c r="J17" s="50" t="s">
        <v>76</v>
      </c>
      <c r="K17" s="50" t="s">
        <v>48</v>
      </c>
      <c r="L17" s="51">
        <v>1</v>
      </c>
      <c r="M17" s="50">
        <f t="shared" si="1"/>
        <v>5</v>
      </c>
      <c r="N17" s="50">
        <v>10</v>
      </c>
      <c r="O17" s="64" t="s">
        <v>69</v>
      </c>
      <c r="P17" s="54">
        <v>7.4999999999999997E-2</v>
      </c>
      <c r="Q17" s="54">
        <f t="shared" si="2"/>
        <v>0.75</v>
      </c>
      <c r="R17" s="52"/>
      <c r="S17" s="52"/>
    </row>
    <row r="18" spans="1:19" ht="19.5" thickBot="1" x14ac:dyDescent="0.3">
      <c r="A18" s="1"/>
      <c r="B18" s="33"/>
      <c r="C18" s="44"/>
      <c r="D18" s="34"/>
      <c r="E18" s="35"/>
      <c r="F18" s="36"/>
      <c r="G18" s="37"/>
      <c r="H18" s="36"/>
      <c r="I18" s="37"/>
      <c r="J18" s="36"/>
      <c r="K18" s="37"/>
      <c r="L18" s="37"/>
      <c r="M18" s="37"/>
      <c r="N18" s="76" t="s">
        <v>78</v>
      </c>
      <c r="O18" s="77"/>
      <c r="P18" s="77"/>
      <c r="Q18" s="66">
        <f>SUM(Q10:Q17)</f>
        <v>3.8580000000000005</v>
      </c>
      <c r="R18" s="72"/>
      <c r="S18" s="73"/>
    </row>
    <row r="19" spans="1:19" ht="19.5" thickBot="1" x14ac:dyDescent="0.3">
      <c r="A19" s="1"/>
      <c r="B19" s="25"/>
      <c r="C19" s="45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76" t="s">
        <v>79</v>
      </c>
      <c r="O19" s="77"/>
      <c r="P19" s="77"/>
      <c r="Q19" s="67">
        <f>Q18/5</f>
        <v>0.77160000000000006</v>
      </c>
      <c r="R19" s="74"/>
      <c r="S19" s="75"/>
    </row>
  </sheetData>
  <mergeCells count="5">
    <mergeCell ref="K1:S1"/>
    <mergeCell ref="S3:S8"/>
    <mergeCell ref="R18:S19"/>
    <mergeCell ref="N18:P18"/>
    <mergeCell ref="N19:P19"/>
  </mergeCells>
  <hyperlinks>
    <hyperlink ref="O12" r:id="rId1"/>
    <hyperlink ref="O13" r:id="rId2"/>
    <hyperlink ref="O10" r:id="rId3"/>
    <hyperlink ref="O14" r:id="rId4"/>
    <hyperlink ref="O15" r:id="rId5"/>
    <hyperlink ref="O16" r:id="rId6"/>
    <hyperlink ref="O17" r:id="rId7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2023-02-21T07:26:23Z</dcterms:modified>
</cp:coreProperties>
</file>