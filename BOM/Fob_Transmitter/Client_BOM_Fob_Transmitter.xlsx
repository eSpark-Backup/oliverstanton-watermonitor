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Stanton-WaterMonitor\BOM\Fob_Transmitter\"/>
    </mc:Choice>
  </mc:AlternateContent>
  <xr:revisionPtr revIDLastSave="0" documentId="13_ncr:1_{C119E603-3FEB-4218-B89E-C12F514333A9}" xr6:coauthVersionLast="47" xr6:coauthVersionMax="47" xr10:uidLastSave="{00000000-0000-0000-0000-000000000000}"/>
  <bookViews>
    <workbookView xWindow="-5460" yWindow="26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O18" i="1"/>
  <c r="O19" i="1"/>
  <c r="O20" i="1"/>
  <c r="O10" i="1"/>
  <c r="L11" i="1"/>
  <c r="L12" i="1"/>
  <c r="L13" i="1"/>
  <c r="L14" i="1"/>
  <c r="L15" i="1"/>
  <c r="L16" i="1"/>
  <c r="L17" i="1"/>
  <c r="L18" i="1"/>
  <c r="L19" i="1"/>
  <c r="L20" i="1"/>
  <c r="L10" i="1"/>
  <c r="O21" i="1" l="1"/>
  <c r="O22" i="1" s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<sst xmlns="http://schemas.openxmlformats.org/spreadsheetml/2006/main" count="113" uniqueCount="86">
  <si>
    <t>Component list</t>
  </si>
  <si>
    <t>Source Data From:</t>
  </si>
  <si>
    <t>Project:</t>
  </si>
  <si>
    <t>Variant:</t>
  </si>
  <si>
    <t>#</t>
  </si>
  <si>
    <t>None</t>
  </si>
  <si>
    <t>Designator</t>
  </si>
  <si>
    <t>C1, C2</t>
  </si>
  <si>
    <t>C3, C5, C6, C7, C8, C9, C10</t>
  </si>
  <si>
    <t>C4</t>
  </si>
  <si>
    <t>J1</t>
  </si>
  <si>
    <t>J2</t>
  </si>
  <si>
    <t>L1</t>
  </si>
  <si>
    <t>P1</t>
  </si>
  <si>
    <t>R1, R2, R3, R4, R5</t>
  </si>
  <si>
    <t>SW1, SW2, SW3, SW4, SW5</t>
  </si>
  <si>
    <t>U1</t>
  </si>
  <si>
    <t>U2</t>
  </si>
  <si>
    <t>Description</t>
  </si>
  <si>
    <t>CAP CER 0.47uF 50V X7R 0603</t>
  </si>
  <si>
    <t>CAP CER 0.1UF 50V Y5V 0603</t>
  </si>
  <si>
    <t>CAP CER 1UF 25V X5R 0603</t>
  </si>
  <si>
    <t>3 PIN 2.54mm 3A Female Headers ROHS</t>
  </si>
  <si>
    <t>FERRITE BEAD 600 OHM 0201 1LN</t>
  </si>
  <si>
    <t>CONN HEADER VERT 2POS 2.54MM</t>
  </si>
  <si>
    <t>RES SMD 4.7K OHM 1% 1/10W 0603</t>
  </si>
  <si>
    <t>3mm 2mm Round Button 50mA Top3.65mm SPST 12V SMD Tactile Switches</t>
  </si>
  <si>
    <t>IC REG LINEAR 3.3V 150MA 6WSON</t>
  </si>
  <si>
    <t>IC MCU 8BIT 16KB FLASH 20VQFN</t>
  </si>
  <si>
    <t>Footprint</t>
  </si>
  <si>
    <t>Cap0603</t>
  </si>
  <si>
    <t>DW254W-11-03-85</t>
  </si>
  <si>
    <t>HDR1X5</t>
  </si>
  <si>
    <t>IND 0201</t>
  </si>
  <si>
    <t>HDR1X2</t>
  </si>
  <si>
    <t>RES-0603</t>
  </si>
  <si>
    <t>TS-1185EC-C-D-B</t>
  </si>
  <si>
    <t>WSON-6</t>
  </si>
  <si>
    <t>20-QFN</t>
  </si>
  <si>
    <t>Manufacturer Part Number</t>
  </si>
  <si>
    <t>UMK107B7474KA-TR</t>
  </si>
  <si>
    <t>CC0603ZRY5V9BB104</t>
  </si>
  <si>
    <t>CC0603KRX5R8BB105</t>
  </si>
  <si>
    <t>PZ254V-11-05P</t>
  </si>
  <si>
    <t>MMZ0603S601CT000</t>
  </si>
  <si>
    <t>RC0603FR-074K7L</t>
  </si>
  <si>
    <t>LP5900SD-3.3/NOPB</t>
  </si>
  <si>
    <t>ATTINY1616-MNR</t>
  </si>
  <si>
    <t>Manufacturer</t>
  </si>
  <si>
    <t>Taiyo Yuden</t>
  </si>
  <si>
    <t>Yageo</t>
  </si>
  <si>
    <t>DEALON</t>
  </si>
  <si>
    <t>XFCN</t>
  </si>
  <si>
    <t>TDK</t>
  </si>
  <si>
    <t>Wurth Electronics</t>
  </si>
  <si>
    <t>XKB</t>
  </si>
  <si>
    <t>TI National Semiconductor</t>
  </si>
  <si>
    <t>Microchip</t>
  </si>
  <si>
    <t>0.47uF</t>
  </si>
  <si>
    <t>0.1uF</t>
  </si>
  <si>
    <t>1uF</t>
  </si>
  <si>
    <t>4.7K</t>
  </si>
  <si>
    <t>Quantity</t>
  </si>
  <si>
    <t>Item Type</t>
  </si>
  <si>
    <t>Alternate Part Number</t>
  </si>
  <si>
    <t>Quantity/5 Boards</t>
  </si>
  <si>
    <t>LCSC/MOQ/5 Boards</t>
  </si>
  <si>
    <t xml:space="preserve"> Unit Cost/5 Boards</t>
  </si>
  <si>
    <t>Total Cost/5 Boards</t>
  </si>
  <si>
    <t>Remarks</t>
  </si>
  <si>
    <t>Reviewer Remarks</t>
  </si>
  <si>
    <t>Capacitor</t>
  </si>
  <si>
    <t>Header</t>
  </si>
  <si>
    <t>Inductor</t>
  </si>
  <si>
    <t>Resistor</t>
  </si>
  <si>
    <t>Switch</t>
  </si>
  <si>
    <t>IC</t>
  </si>
  <si>
    <t>Custom</t>
  </si>
  <si>
    <t>-</t>
  </si>
  <si>
    <t>Pin Header 5 1 Straight</t>
  </si>
  <si>
    <t xml:space="preserve">Total Component Cost </t>
  </si>
  <si>
    <t>Single Board Cost</t>
  </si>
  <si>
    <t>Value</t>
  </si>
  <si>
    <t>Bill of Materials for Project (Fob_Transmitter)</t>
  </si>
  <si>
    <t>(Fob_Transmitter)</t>
  </si>
  <si>
    <t xml:space="preserve">PZ254V-11-02P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</si>
</sst>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2"/>
  <sheetViews>
    <sheetView tabSelected="1" topLeftCell="G1" workbookViewId="0">
      <selection activeCell="K27" sqref="K27"/>
    </sheetView>
  </sheetViews>
  <sheetFormatPr defaultRowHeight="15" x14ac:dyDescent="0.25"/>
  <cols>
    <col min="2" max="2" width="3.140625" style="26" customWidth="1"/>
    <col min="3" max="3" width="13.28515625" style="26" customWidth="1"/>
    <col min="4" max="4" width="31.140625" bestFit="1" customWidth="1"/>
    <col min="5" max="5" width="30.85546875" customWidth="1"/>
    <col min="6" max="6" width="22.28515625" bestFit="1" customWidth="1"/>
    <col min="7" max="7" width="25.28515625" bestFit="1" customWidth="1"/>
    <col min="8" max="8" width="21.5703125" bestFit="1" customWidth="1"/>
    <col min="9" max="9" width="14.7109375" bestFit="1" customWidth="1"/>
    <col min="10" max="10" width="6.140625" bestFit="1" customWidth="1"/>
    <col min="11" max="11" width="8.7109375" bestFit="1" customWidth="1"/>
    <col min="12" max="12" width="17.28515625" bestFit="1" customWidth="1"/>
    <col min="13" max="13" width="19.28515625" bestFit="1" customWidth="1"/>
    <col min="14" max="14" width="18.140625" bestFit="1" customWidth="1"/>
    <col min="15" max="15" width="18.28515625" bestFit="1" customWidth="1"/>
    <col min="16" max="16" width="8.5703125" bestFit="1" customWidth="1"/>
    <col min="17" max="17" width="26.85546875" bestFit="1" customWidth="1"/>
    <col min="21" max="21" width="18.140625" bestFit="1" customWidth="1"/>
  </cols>
  <sheetData>
    <row r="1" spans="1:22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69"/>
      <c r="K1" s="69"/>
      <c r="L1" s="69"/>
      <c r="M1" s="69"/>
      <c r="N1" s="69"/>
      <c r="O1" s="69"/>
      <c r="P1" s="69"/>
      <c r="Q1" s="70"/>
    </row>
    <row r="2" spans="1:22" ht="32.25" thickBot="1" x14ac:dyDescent="0.3">
      <c r="A2" s="1"/>
      <c r="B2" s="21"/>
      <c r="C2" s="39"/>
      <c r="D2" s="11" t="s">
        <v>0</v>
      </c>
      <c r="E2" s="11"/>
      <c r="F2" s="52" t="s">
        <v>83</v>
      </c>
      <c r="G2" s="12"/>
      <c r="H2" s="12"/>
      <c r="I2" s="4"/>
      <c r="J2" s="4"/>
      <c r="K2" s="4"/>
      <c r="L2" s="4"/>
      <c r="M2" s="4"/>
      <c r="N2" s="4"/>
      <c r="O2" s="4"/>
      <c r="P2" s="4"/>
      <c r="Q2" s="3"/>
    </row>
    <row r="3" spans="1:22" x14ac:dyDescent="0.25">
      <c r="A3" s="1"/>
      <c r="B3" s="22"/>
      <c r="C3" s="40"/>
      <c r="D3" s="13" t="s">
        <v>1</v>
      </c>
      <c r="E3" s="13"/>
      <c r="F3" s="53" t="s">
        <v>84</v>
      </c>
      <c r="G3" s="13"/>
      <c r="H3" s="13"/>
      <c r="I3" s="5"/>
      <c r="J3" s="5"/>
      <c r="K3" s="5"/>
      <c r="L3" s="5"/>
      <c r="M3" s="5"/>
      <c r="N3" s="5"/>
      <c r="O3" s="5"/>
      <c r="P3" s="5"/>
      <c r="Q3" s="71"/>
    </row>
    <row r="4" spans="1:22" x14ac:dyDescent="0.25">
      <c r="A4" s="1"/>
      <c r="B4" s="22"/>
      <c r="C4" s="40"/>
      <c r="D4" s="13" t="s">
        <v>2</v>
      </c>
      <c r="E4" s="13"/>
      <c r="F4" s="54" t="s">
        <v>84</v>
      </c>
      <c r="G4" s="14"/>
      <c r="H4" s="14"/>
      <c r="I4" s="7"/>
      <c r="J4" s="7"/>
      <c r="K4" s="6"/>
      <c r="L4" s="6"/>
      <c r="M4" s="6"/>
      <c r="N4" s="6"/>
      <c r="O4" s="6"/>
      <c r="P4" s="6"/>
      <c r="Q4" s="72"/>
    </row>
    <row r="5" spans="1:22" x14ac:dyDescent="0.25">
      <c r="A5" s="1"/>
      <c r="B5" s="22"/>
      <c r="C5" s="40"/>
      <c r="D5" s="13" t="s">
        <v>3</v>
      </c>
      <c r="E5" s="13"/>
      <c r="F5" s="55" t="s">
        <v>5</v>
      </c>
      <c r="G5" s="15"/>
      <c r="H5" s="15"/>
      <c r="I5" s="6"/>
      <c r="J5" s="6"/>
      <c r="K5" s="6"/>
      <c r="L5" s="6"/>
      <c r="M5" s="6"/>
      <c r="N5" s="6"/>
      <c r="O5" s="6"/>
      <c r="P5" s="6"/>
      <c r="Q5" s="72"/>
    </row>
    <row r="6" spans="1:22" x14ac:dyDescent="0.25">
      <c r="A6" s="1"/>
      <c r="B6" s="23"/>
      <c r="C6" s="41"/>
      <c r="D6" s="16"/>
      <c r="E6" s="16"/>
      <c r="F6" s="17"/>
      <c r="G6" s="15"/>
      <c r="H6" s="15"/>
      <c r="I6" s="6"/>
      <c r="J6" s="6"/>
      <c r="K6" s="6"/>
      <c r="L6" s="6"/>
      <c r="M6" s="6"/>
      <c r="N6" s="6"/>
      <c r="O6" s="6"/>
      <c r="P6" s="6"/>
      <c r="Q6" s="72"/>
    </row>
    <row r="7" spans="1:22" x14ac:dyDescent="0.25">
      <c r="A7" s="1"/>
      <c r="B7" s="24"/>
      <c r="C7" s="42"/>
      <c r="D7" s="18"/>
      <c r="E7" s="18"/>
      <c r="F7" s="19"/>
      <c r="G7" s="18"/>
      <c r="H7" s="18"/>
      <c r="I7" s="8"/>
      <c r="J7" s="8"/>
      <c r="K7" s="8"/>
      <c r="L7" s="8"/>
      <c r="M7" s="8"/>
      <c r="N7" s="8"/>
      <c r="O7" s="8"/>
      <c r="P7" s="8"/>
      <c r="Q7" s="72"/>
    </row>
    <row r="8" spans="1:22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8"/>
      <c r="K8" s="8"/>
      <c r="L8" s="8"/>
      <c r="M8" s="8"/>
      <c r="N8" s="8"/>
      <c r="O8" s="8"/>
      <c r="P8" s="8"/>
      <c r="Q8" s="72"/>
    </row>
    <row r="9" spans="1:22" ht="15.75" thickBot="1" x14ac:dyDescent="0.3">
      <c r="A9" s="1"/>
      <c r="B9" s="30" t="s">
        <v>4</v>
      </c>
      <c r="C9" s="30" t="s">
        <v>63</v>
      </c>
      <c r="D9" s="30" t="s">
        <v>6</v>
      </c>
      <c r="E9" s="31" t="s">
        <v>18</v>
      </c>
      <c r="F9" s="30" t="s">
        <v>29</v>
      </c>
      <c r="G9" s="31" t="s">
        <v>39</v>
      </c>
      <c r="H9" s="30" t="s">
        <v>64</v>
      </c>
      <c r="I9" s="30" t="s">
        <v>48</v>
      </c>
      <c r="J9" s="56" t="s">
        <v>82</v>
      </c>
      <c r="K9" s="30" t="s">
        <v>62</v>
      </c>
      <c r="L9" s="30" t="s">
        <v>65</v>
      </c>
      <c r="M9" s="30" t="s">
        <v>66</v>
      </c>
      <c r="N9" s="30" t="s">
        <v>67</v>
      </c>
      <c r="O9" s="30" t="s">
        <v>68</v>
      </c>
      <c r="P9" s="32" t="s">
        <v>69</v>
      </c>
      <c r="Q9" s="32" t="s">
        <v>70</v>
      </c>
    </row>
    <row r="10" spans="1:22" ht="15.75" thickBot="1" x14ac:dyDescent="0.3">
      <c r="A10" s="1"/>
      <c r="B10" s="38">
        <f>ROW(B10) - ROW($B$9)</f>
        <v>1</v>
      </c>
      <c r="C10" s="66" t="s">
        <v>71</v>
      </c>
      <c r="D10" s="46" t="s">
        <v>7</v>
      </c>
      <c r="E10" s="47" t="s">
        <v>19</v>
      </c>
      <c r="F10" s="46" t="s">
        <v>30</v>
      </c>
      <c r="G10" s="47" t="s">
        <v>40</v>
      </c>
      <c r="H10" s="46" t="s">
        <v>78</v>
      </c>
      <c r="I10" s="46" t="s">
        <v>49</v>
      </c>
      <c r="J10" s="47" t="s">
        <v>58</v>
      </c>
      <c r="K10" s="46">
        <v>2</v>
      </c>
      <c r="L10" s="46">
        <f>K10*5</f>
        <v>10</v>
      </c>
      <c r="M10" s="46">
        <v>20</v>
      </c>
      <c r="N10" s="58">
        <v>0.13140000000000002</v>
      </c>
      <c r="O10" s="58">
        <f t="shared" ref="O10:O20" si="0">N10*M10</f>
        <v>2.6280000000000001</v>
      </c>
      <c r="P10" s="48"/>
      <c r="Q10" s="46"/>
      <c r="T10" s="79"/>
      <c r="V10" s="79"/>
    </row>
    <row r="11" spans="1:22" ht="15.75" thickBot="1" x14ac:dyDescent="0.3">
      <c r="A11" s="1"/>
      <c r="B11" s="38">
        <f t="shared" ref="B11:B19" si="1">ROW(B11) - ROW($B$9)</f>
        <v>2</v>
      </c>
      <c r="C11" s="67" t="s">
        <v>71</v>
      </c>
      <c r="D11" s="49" t="s">
        <v>8</v>
      </c>
      <c r="E11" s="50" t="s">
        <v>20</v>
      </c>
      <c r="F11" s="49" t="s">
        <v>30</v>
      </c>
      <c r="G11" s="50" t="s">
        <v>41</v>
      </c>
      <c r="H11" s="49" t="s">
        <v>78</v>
      </c>
      <c r="I11" s="49" t="s">
        <v>50</v>
      </c>
      <c r="J11" s="50" t="s">
        <v>59</v>
      </c>
      <c r="K11" s="49">
        <v>7</v>
      </c>
      <c r="L11" s="49">
        <f t="shared" ref="L11:L20" si="2">K11*5</f>
        <v>35</v>
      </c>
      <c r="M11" s="49">
        <v>100</v>
      </c>
      <c r="N11" s="59">
        <v>0.1027</v>
      </c>
      <c r="O11" s="59">
        <f t="shared" si="0"/>
        <v>10.27</v>
      </c>
      <c r="P11" s="51"/>
      <c r="Q11" s="49"/>
      <c r="T11" s="79"/>
      <c r="V11" s="79"/>
    </row>
    <row r="12" spans="1:22" ht="15.75" thickBot="1" x14ac:dyDescent="0.3">
      <c r="A12" s="1"/>
      <c r="B12" s="38">
        <f>ROW(B12) - ROW($B$9)</f>
        <v>3</v>
      </c>
      <c r="C12" s="66" t="s">
        <v>71</v>
      </c>
      <c r="D12" s="46" t="s">
        <v>9</v>
      </c>
      <c r="E12" s="47" t="s">
        <v>21</v>
      </c>
      <c r="F12" s="46" t="s">
        <v>30</v>
      </c>
      <c r="G12" s="47" t="s">
        <v>42</v>
      </c>
      <c r="H12" s="46" t="s">
        <v>78</v>
      </c>
      <c r="I12" s="46" t="s">
        <v>50</v>
      </c>
      <c r="J12" s="47" t="s">
        <v>60</v>
      </c>
      <c r="K12" s="46">
        <v>1</v>
      </c>
      <c r="L12" s="46">
        <f t="shared" si="2"/>
        <v>5</v>
      </c>
      <c r="M12" s="46">
        <v>50</v>
      </c>
      <c r="N12" s="58">
        <v>0.10550000000000001</v>
      </c>
      <c r="O12" s="58">
        <f t="shared" si="0"/>
        <v>5.2750000000000004</v>
      </c>
      <c r="P12" s="48"/>
      <c r="Q12" s="46"/>
      <c r="T12" s="79"/>
      <c r="V12" s="79"/>
    </row>
    <row r="13" spans="1:22" ht="24.75" thickBot="1" x14ac:dyDescent="0.3">
      <c r="A13" s="1"/>
      <c r="B13" s="38">
        <f t="shared" si="1"/>
        <v>4</v>
      </c>
      <c r="C13" s="67" t="s">
        <v>72</v>
      </c>
      <c r="D13" s="49" t="s">
        <v>10</v>
      </c>
      <c r="E13" s="50" t="s">
        <v>22</v>
      </c>
      <c r="F13" s="49" t="s">
        <v>77</v>
      </c>
      <c r="G13" s="61" t="s">
        <v>31</v>
      </c>
      <c r="H13" s="49" t="s">
        <v>78</v>
      </c>
      <c r="I13" s="49" t="s">
        <v>51</v>
      </c>
      <c r="J13" s="50" t="s">
        <v>78</v>
      </c>
      <c r="K13" s="49">
        <v>1</v>
      </c>
      <c r="L13" s="49">
        <f t="shared" si="2"/>
        <v>5</v>
      </c>
      <c r="M13" s="49">
        <v>10</v>
      </c>
      <c r="N13" s="59">
        <v>0.14810000000000001</v>
      </c>
      <c r="O13" s="59">
        <f t="shared" si="0"/>
        <v>1.4810000000000001</v>
      </c>
      <c r="P13" s="51"/>
      <c r="Q13" s="49"/>
      <c r="T13" s="79"/>
      <c r="V13" s="79"/>
    </row>
    <row r="14" spans="1:22" ht="15.75" thickBot="1" x14ac:dyDescent="0.3">
      <c r="A14" s="1"/>
      <c r="B14" s="38">
        <f>ROW(B14) - ROW($B$9)</f>
        <v>5</v>
      </c>
      <c r="C14" s="66" t="s">
        <v>72</v>
      </c>
      <c r="D14" s="46" t="s">
        <v>11</v>
      </c>
      <c r="E14" s="47" t="s">
        <v>79</v>
      </c>
      <c r="F14" s="46" t="s">
        <v>32</v>
      </c>
      <c r="G14" s="47" t="s">
        <v>43</v>
      </c>
      <c r="H14" s="46" t="s">
        <v>78</v>
      </c>
      <c r="I14" s="46" t="s">
        <v>52</v>
      </c>
      <c r="J14" s="47" t="s">
        <v>78</v>
      </c>
      <c r="K14" s="46">
        <v>1</v>
      </c>
      <c r="L14" s="46">
        <f t="shared" si="2"/>
        <v>5</v>
      </c>
      <c r="M14" s="46">
        <v>20</v>
      </c>
      <c r="N14" s="58">
        <v>0.1245</v>
      </c>
      <c r="O14" s="58">
        <f t="shared" si="0"/>
        <v>2.4900000000000002</v>
      </c>
      <c r="P14" s="48"/>
      <c r="Q14" s="46"/>
      <c r="T14" s="79"/>
      <c r="V14" s="79"/>
    </row>
    <row r="15" spans="1:22" ht="15.75" thickBot="1" x14ac:dyDescent="0.3">
      <c r="A15" s="1"/>
      <c r="B15" s="38">
        <f t="shared" si="1"/>
        <v>6</v>
      </c>
      <c r="C15" s="67" t="s">
        <v>73</v>
      </c>
      <c r="D15" s="49" t="s">
        <v>12</v>
      </c>
      <c r="E15" s="50" t="s">
        <v>23</v>
      </c>
      <c r="F15" s="49" t="s">
        <v>33</v>
      </c>
      <c r="G15" s="50" t="s">
        <v>44</v>
      </c>
      <c r="H15" s="49" t="s">
        <v>78</v>
      </c>
      <c r="I15" s="49" t="s">
        <v>53</v>
      </c>
      <c r="J15" s="50" t="s">
        <v>78</v>
      </c>
      <c r="K15" s="49">
        <v>1</v>
      </c>
      <c r="L15" s="49">
        <f t="shared" si="2"/>
        <v>5</v>
      </c>
      <c r="M15" s="49">
        <v>50</v>
      </c>
      <c r="N15" s="59">
        <v>0.11330000000000001</v>
      </c>
      <c r="O15" s="59">
        <f t="shared" si="0"/>
        <v>5.6650000000000009</v>
      </c>
      <c r="P15" s="51"/>
      <c r="Q15" s="49"/>
      <c r="T15" s="79"/>
      <c r="V15" s="79"/>
    </row>
    <row r="16" spans="1:22" ht="15.75" thickBot="1" x14ac:dyDescent="0.3">
      <c r="A16" s="1"/>
      <c r="B16" s="38">
        <f>ROW(B16) - ROW($B$9)</f>
        <v>7</v>
      </c>
      <c r="C16" s="66" t="s">
        <v>72</v>
      </c>
      <c r="D16" s="46" t="s">
        <v>13</v>
      </c>
      <c r="E16" s="47" t="s">
        <v>24</v>
      </c>
      <c r="F16" s="46" t="s">
        <v>34</v>
      </c>
      <c r="G16" s="60">
        <v>61300211121</v>
      </c>
      <c r="H16" s="68" t="s">
        <v>85</v>
      </c>
      <c r="I16" s="46" t="s">
        <v>54</v>
      </c>
      <c r="J16" s="47" t="s">
        <v>78</v>
      </c>
      <c r="K16" s="46">
        <v>1</v>
      </c>
      <c r="L16" s="46">
        <f t="shared" si="2"/>
        <v>5</v>
      </c>
      <c r="M16" s="46">
        <v>50</v>
      </c>
      <c r="N16" s="58">
        <v>0.1135</v>
      </c>
      <c r="O16" s="58">
        <f t="shared" si="0"/>
        <v>5.6749999999999998</v>
      </c>
      <c r="P16" s="48"/>
      <c r="Q16" s="46"/>
      <c r="T16" s="79"/>
      <c r="V16" s="79"/>
    </row>
    <row r="17" spans="1:22" ht="15.75" thickBot="1" x14ac:dyDescent="0.3">
      <c r="A17" s="1"/>
      <c r="B17" s="38">
        <f t="shared" si="1"/>
        <v>8</v>
      </c>
      <c r="C17" s="67" t="s">
        <v>74</v>
      </c>
      <c r="D17" s="49" t="s">
        <v>14</v>
      </c>
      <c r="E17" s="50" t="s">
        <v>25</v>
      </c>
      <c r="F17" s="49" t="s">
        <v>35</v>
      </c>
      <c r="G17" s="50" t="s">
        <v>45</v>
      </c>
      <c r="H17" s="49" t="s">
        <v>78</v>
      </c>
      <c r="I17" s="49" t="s">
        <v>50</v>
      </c>
      <c r="J17" s="50" t="s">
        <v>61</v>
      </c>
      <c r="K17" s="49">
        <v>5</v>
      </c>
      <c r="L17" s="49">
        <f t="shared" si="2"/>
        <v>25</v>
      </c>
      <c r="M17" s="49">
        <v>100</v>
      </c>
      <c r="N17" s="63">
        <v>0.1013</v>
      </c>
      <c r="O17" s="59">
        <f t="shared" si="0"/>
        <v>10.130000000000001</v>
      </c>
      <c r="P17" s="51"/>
      <c r="Q17" s="49"/>
      <c r="T17" s="79"/>
      <c r="V17" s="79"/>
    </row>
    <row r="18" spans="1:22" ht="36.75" thickBot="1" x14ac:dyDescent="0.3">
      <c r="A18" s="1"/>
      <c r="B18" s="38">
        <f>ROW(B18) - ROW($B$9)</f>
        <v>9</v>
      </c>
      <c r="C18" s="66" t="s">
        <v>75</v>
      </c>
      <c r="D18" s="46" t="s">
        <v>15</v>
      </c>
      <c r="E18" s="47" t="s">
        <v>26</v>
      </c>
      <c r="F18" s="46" t="s">
        <v>77</v>
      </c>
      <c r="G18" s="62" t="s">
        <v>36</v>
      </c>
      <c r="H18" s="46" t="s">
        <v>78</v>
      </c>
      <c r="I18" s="46" t="s">
        <v>55</v>
      </c>
      <c r="J18" s="47" t="s">
        <v>78</v>
      </c>
      <c r="K18" s="46">
        <v>5</v>
      </c>
      <c r="L18" s="46">
        <f t="shared" si="2"/>
        <v>25</v>
      </c>
      <c r="M18" s="46">
        <v>30</v>
      </c>
      <c r="N18" s="58">
        <v>0.1588</v>
      </c>
      <c r="O18" s="58">
        <f t="shared" si="0"/>
        <v>4.7640000000000002</v>
      </c>
      <c r="P18" s="48"/>
      <c r="Q18" s="46"/>
      <c r="T18" s="79"/>
      <c r="V18" s="79"/>
    </row>
    <row r="19" spans="1:22" ht="24.75" thickBot="1" x14ac:dyDescent="0.3">
      <c r="A19" s="1"/>
      <c r="B19" s="38">
        <f t="shared" si="1"/>
        <v>10</v>
      </c>
      <c r="C19" s="67" t="s">
        <v>76</v>
      </c>
      <c r="D19" s="49" t="s">
        <v>16</v>
      </c>
      <c r="E19" s="50" t="s">
        <v>27</v>
      </c>
      <c r="F19" s="49" t="s">
        <v>37</v>
      </c>
      <c r="G19" s="50" t="s">
        <v>46</v>
      </c>
      <c r="H19" s="49" t="s">
        <v>78</v>
      </c>
      <c r="I19" s="49" t="s">
        <v>56</v>
      </c>
      <c r="J19" s="50" t="s">
        <v>78</v>
      </c>
      <c r="K19" s="49">
        <v>1</v>
      </c>
      <c r="L19" s="49">
        <f t="shared" si="2"/>
        <v>5</v>
      </c>
      <c r="M19" s="49">
        <v>6</v>
      </c>
      <c r="N19" s="59">
        <v>0.80479999999999996</v>
      </c>
      <c r="O19" s="59">
        <f t="shared" si="0"/>
        <v>4.8287999999999993</v>
      </c>
      <c r="P19" s="51"/>
      <c r="Q19" s="49"/>
      <c r="T19" s="79"/>
      <c r="V19" s="79"/>
    </row>
    <row r="20" spans="1:22" ht="15.75" thickBot="1" x14ac:dyDescent="0.3">
      <c r="A20" s="1"/>
      <c r="B20" s="38">
        <f>ROW(B20) - ROW($B$9)</f>
        <v>11</v>
      </c>
      <c r="C20" s="66" t="s">
        <v>76</v>
      </c>
      <c r="D20" s="46" t="s">
        <v>17</v>
      </c>
      <c r="E20" s="47" t="s">
        <v>28</v>
      </c>
      <c r="F20" s="46" t="s">
        <v>38</v>
      </c>
      <c r="G20" s="47" t="s">
        <v>47</v>
      </c>
      <c r="H20" s="57" t="s">
        <v>78</v>
      </c>
      <c r="I20" s="46" t="s">
        <v>57</v>
      </c>
      <c r="J20" s="47" t="s">
        <v>78</v>
      </c>
      <c r="K20" s="57">
        <v>1</v>
      </c>
      <c r="L20" s="46">
        <f t="shared" si="2"/>
        <v>5</v>
      </c>
      <c r="M20" s="46">
        <v>6</v>
      </c>
      <c r="N20" s="58">
        <v>0.98460000000000003</v>
      </c>
      <c r="O20" s="58">
        <f t="shared" si="0"/>
        <v>5.9076000000000004</v>
      </c>
      <c r="P20" s="48"/>
      <c r="Q20" s="46"/>
      <c r="T20" s="79"/>
      <c r="V20" s="79"/>
    </row>
    <row r="21" spans="1:22" ht="19.5" thickBot="1" x14ac:dyDescent="0.3">
      <c r="A21" s="1"/>
      <c r="B21" s="33"/>
      <c r="C21" s="44"/>
      <c r="D21" s="34"/>
      <c r="E21" s="35"/>
      <c r="F21" s="36"/>
      <c r="G21" s="37"/>
      <c r="H21" s="37"/>
      <c r="I21" s="36"/>
      <c r="J21" s="37"/>
      <c r="K21" s="37"/>
      <c r="L21" s="37"/>
      <c r="M21" s="77" t="s">
        <v>80</v>
      </c>
      <c r="N21" s="78"/>
      <c r="O21" s="64">
        <f>SUM(O10:O20)</f>
        <v>59.11440000000001</v>
      </c>
      <c r="P21" s="73"/>
      <c r="Q21" s="74"/>
      <c r="V21" s="79"/>
    </row>
    <row r="22" spans="1:22" ht="19.5" thickBot="1" x14ac:dyDescent="0.3">
      <c r="A22" s="1"/>
      <c r="B22" s="25"/>
      <c r="C22" s="45"/>
      <c r="D22" s="9"/>
      <c r="E22" s="10"/>
      <c r="F22" s="10"/>
      <c r="G22" s="10"/>
      <c r="H22" s="10"/>
      <c r="I22" s="10"/>
      <c r="J22" s="10"/>
      <c r="K22" s="10"/>
      <c r="L22" s="10"/>
      <c r="M22" s="77" t="s">
        <v>81</v>
      </c>
      <c r="N22" s="78"/>
      <c r="O22" s="65">
        <f>O21/5</f>
        <v>11.822880000000001</v>
      </c>
      <c r="P22" s="75"/>
      <c r="Q22" s="76"/>
    </row>
  </sheetData>
  <mergeCells count="5">
    <mergeCell ref="J1:Q1"/>
    <mergeCell ref="Q3:Q8"/>
    <mergeCell ref="P21:Q22"/>
    <mergeCell ref="M21:N21"/>
    <mergeCell ref="M22:N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2022-10-31T09:03:57Z</dcterms:modified>
</cp:coreProperties>
</file>