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Stanton-WaterMonitor\BOM\Fob_Transmitter\"/>
    </mc:Choice>
  </mc:AlternateContent>
  <xr:revisionPtr revIDLastSave="0" documentId="13_ncr:1_{8BBC2D65-724B-4203-8D7B-A3B9D87F8D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8" i="1"/>
  <c r="K19" i="1"/>
  <c r="K20" i="1"/>
  <c r="K10" i="1"/>
  <c r="B20" i="1" l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<sst xmlns="http://schemas.openxmlformats.org/spreadsheetml/2006/main" count="95" uniqueCount="78">
  <si>
    <t>Component list</t>
  </si>
  <si>
    <t>Source Data From:</t>
  </si>
  <si>
    <t>Project:</t>
  </si>
  <si>
    <t>Variant:</t>
  </si>
  <si>
    <t>#</t>
  </si>
  <si>
    <t>None</t>
  </si>
  <si>
    <t>Designator</t>
  </si>
  <si>
    <t>C1, C2</t>
  </si>
  <si>
    <t>C3, C5, C6, C7, C8, C9, C10</t>
  </si>
  <si>
    <t>C4</t>
  </si>
  <si>
    <t>J1</t>
  </si>
  <si>
    <t>J2</t>
  </si>
  <si>
    <t>L1</t>
  </si>
  <si>
    <t>P1</t>
  </si>
  <si>
    <t>R1, R2, R3, R4, R5</t>
  </si>
  <si>
    <t>SW1, SW2, SW3, SW4, SW5</t>
  </si>
  <si>
    <t>U1</t>
  </si>
  <si>
    <t>U2</t>
  </si>
  <si>
    <t>Description</t>
  </si>
  <si>
    <t>CAP CER 0.47uF 50V X7R 0603</t>
  </si>
  <si>
    <t>CAP CER 0.1UF 50V Y5V 0603</t>
  </si>
  <si>
    <t>CAP CER 1UF 25V X5R 0603</t>
  </si>
  <si>
    <t>3 PIN 2.54mm 3A Female Headers ROHS</t>
  </si>
  <si>
    <t>FERRITE BEAD 600 OHM 0201 1LN</t>
  </si>
  <si>
    <t>CONN HEADER VERT 2POS 2.54MM</t>
  </si>
  <si>
    <t>RES SMD 4.7K OHM 1% 1/10W 0603</t>
  </si>
  <si>
    <t>3mm 2mm Round Button 50mA Top3.65mm SPST 12V SMD Tactile Switches</t>
  </si>
  <si>
    <t>IC REG LINEAR 3.3V 150MA 6WSON</t>
  </si>
  <si>
    <t>IC MCU 8BIT 16KB FLASH 20VQFN</t>
  </si>
  <si>
    <t>Footprint</t>
  </si>
  <si>
    <t>Cap0603</t>
  </si>
  <si>
    <t>DW254W-11-03-85</t>
  </si>
  <si>
    <t>HDR1X5</t>
  </si>
  <si>
    <t>IND 0201</t>
  </si>
  <si>
    <t>HDR1X2</t>
  </si>
  <si>
    <t>RES-0603</t>
  </si>
  <si>
    <t>TS-1185EC-C-D-B</t>
  </si>
  <si>
    <t>WSON-6</t>
  </si>
  <si>
    <t>20-QFN</t>
  </si>
  <si>
    <t>Manufacturer Part Number</t>
  </si>
  <si>
    <t>UMK107B7474KA-TR</t>
  </si>
  <si>
    <t>CC0603ZRY5V9BB104</t>
  </si>
  <si>
    <t>CC0603KRX5R8BB105</t>
  </si>
  <si>
    <t>PZ254V-11-05P</t>
  </si>
  <si>
    <t>MMZ0603S601CT000</t>
  </si>
  <si>
    <t>RC0603FR-074K7L</t>
  </si>
  <si>
    <t>LP5900SD-3.3/NOPB</t>
  </si>
  <si>
    <t>ATTINY1616-MNR</t>
  </si>
  <si>
    <t>Manufacturer</t>
  </si>
  <si>
    <t>Taiyo Yuden</t>
  </si>
  <si>
    <t>Yageo</t>
  </si>
  <si>
    <t>DEALON</t>
  </si>
  <si>
    <t>XFCN</t>
  </si>
  <si>
    <t>TDK</t>
  </si>
  <si>
    <t>Wurth Electronics</t>
  </si>
  <si>
    <t>XKB</t>
  </si>
  <si>
    <t>TI National Semiconductor</t>
  </si>
  <si>
    <t>Microchip</t>
  </si>
  <si>
    <t>0.47uF</t>
  </si>
  <si>
    <t>0.1uF</t>
  </si>
  <si>
    <t>1uF</t>
  </si>
  <si>
    <t>4.7K</t>
  </si>
  <si>
    <t>Quantity</t>
  </si>
  <si>
    <t>Item Type</t>
  </si>
  <si>
    <t>Capacitor</t>
  </si>
  <si>
    <t>Header</t>
  </si>
  <si>
    <t>Inductor</t>
  </si>
  <si>
    <t>Resistor</t>
  </si>
  <si>
    <t>Switch</t>
  </si>
  <si>
    <t>IC</t>
  </si>
  <si>
    <t>Quantity (5 Boards)</t>
  </si>
  <si>
    <t>Remarks</t>
  </si>
  <si>
    <t>Custom</t>
  </si>
  <si>
    <t>-</t>
  </si>
  <si>
    <t>Bill of Materials for Project (Fob_Transmitter)</t>
  </si>
  <si>
    <t>Fob_Transmitter</t>
  </si>
  <si>
    <t>Pin Header 5 1 Straight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</si>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</sst>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2"/>
  <sheetViews>
    <sheetView tabSelected="1" workbookViewId="0">
      <selection activeCell="L16" sqref="L16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42578125" bestFit="1" customWidth="1"/>
    <col min="9" max="9" width="9.710937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58"/>
      <c r="J1" s="58"/>
      <c r="K1" s="58"/>
      <c r="L1" s="58"/>
    </row>
    <row r="2" spans="1:12" ht="32.25" thickBot="1" x14ac:dyDescent="0.3">
      <c r="A2" s="1"/>
      <c r="B2" s="20"/>
      <c r="C2" s="46"/>
      <c r="D2" s="10" t="s">
        <v>0</v>
      </c>
      <c r="E2" s="10"/>
      <c r="F2" s="54" t="s">
        <v>74</v>
      </c>
      <c r="G2" s="11"/>
      <c r="H2" s="3"/>
      <c r="I2" s="3"/>
      <c r="J2" s="3"/>
      <c r="K2" s="3"/>
      <c r="L2" s="43"/>
    </row>
    <row r="3" spans="1:12" x14ac:dyDescent="0.25">
      <c r="A3" s="1"/>
      <c r="B3" s="21"/>
      <c r="C3" s="47"/>
      <c r="D3" s="12" t="s">
        <v>1</v>
      </c>
      <c r="E3" s="12"/>
      <c r="F3" s="55" t="s">
        <v>75</v>
      </c>
      <c r="G3" s="12"/>
      <c r="H3" s="4"/>
      <c r="I3" s="4"/>
      <c r="J3" s="4"/>
      <c r="K3" s="4"/>
      <c r="L3" s="59"/>
    </row>
    <row r="4" spans="1:12" x14ac:dyDescent="0.25">
      <c r="A4" s="1"/>
      <c r="B4" s="21"/>
      <c r="C4" s="47"/>
      <c r="D4" s="12" t="s">
        <v>2</v>
      </c>
      <c r="E4" s="12"/>
      <c r="F4" s="56" t="s">
        <v>75</v>
      </c>
      <c r="G4" s="13"/>
      <c r="H4" s="6"/>
      <c r="I4" s="6"/>
      <c r="J4" s="6"/>
      <c r="K4" s="6"/>
      <c r="L4" s="60"/>
    </row>
    <row r="5" spans="1:12" x14ac:dyDescent="0.25">
      <c r="A5" s="1"/>
      <c r="B5" s="21"/>
      <c r="C5" s="47"/>
      <c r="D5" s="12" t="s">
        <v>3</v>
      </c>
      <c r="E5" s="12"/>
      <c r="F5" s="57" t="s">
        <v>5</v>
      </c>
      <c r="G5" s="14"/>
      <c r="H5" s="5"/>
      <c r="I5" s="5"/>
      <c r="J5" s="5"/>
      <c r="K5" s="5"/>
      <c r="L5" s="60"/>
    </row>
    <row r="6" spans="1:12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60"/>
    </row>
    <row r="7" spans="1:12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60"/>
    </row>
    <row r="8" spans="1:12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60"/>
    </row>
    <row r="9" spans="1:12" ht="15.75" thickBot="1" x14ac:dyDescent="0.3">
      <c r="A9" s="1"/>
      <c r="B9" s="29" t="s">
        <v>4</v>
      </c>
      <c r="C9" s="29" t="s">
        <v>63</v>
      </c>
      <c r="D9" s="29" t="s">
        <v>6</v>
      </c>
      <c r="E9" s="30" t="s">
        <v>18</v>
      </c>
      <c r="F9" s="29" t="s">
        <v>29</v>
      </c>
      <c r="G9" s="30" t="s">
        <v>39</v>
      </c>
      <c r="H9" s="29" t="s">
        <v>48</v>
      </c>
      <c r="I9" s="30" t="s">
        <v>77</v>
      </c>
      <c r="J9" s="29" t="s">
        <v>62</v>
      </c>
      <c r="K9" s="29" t="s">
        <v>70</v>
      </c>
      <c r="L9" s="31" t="s">
        <v>71</v>
      </c>
    </row>
    <row r="10" spans="1:12" ht="15.75" thickBot="1" x14ac:dyDescent="0.3">
      <c r="A10" s="1"/>
      <c r="B10" s="53">
        <f>ROW(B10) - ROW($B$9)</f>
        <v>1</v>
      </c>
      <c r="C10" s="37" t="s">
        <v>64</v>
      </c>
      <c r="D10" s="37" t="s">
        <v>7</v>
      </c>
      <c r="E10" s="38" t="s">
        <v>19</v>
      </c>
      <c r="F10" s="37" t="s">
        <v>30</v>
      </c>
      <c r="G10" s="38" t="s">
        <v>40</v>
      </c>
      <c r="H10" s="37" t="s">
        <v>49</v>
      </c>
      <c r="I10" s="38" t="s">
        <v>58</v>
      </c>
      <c r="J10" s="37">
        <v>2</v>
      </c>
      <c r="K10" s="37">
        <f>J10*5</f>
        <v>10</v>
      </c>
      <c r="L10" s="41"/>
    </row>
    <row r="11" spans="1:12" ht="15.75" thickBot="1" x14ac:dyDescent="0.3">
      <c r="A11" s="1"/>
      <c r="B11" s="53">
        <f t="shared" ref="B11:B19" si="0">ROW(B11) - ROW($B$9)</f>
        <v>2</v>
      </c>
      <c r="C11" s="39" t="s">
        <v>64</v>
      </c>
      <c r="D11" s="39" t="s">
        <v>8</v>
      </c>
      <c r="E11" s="40" t="s">
        <v>20</v>
      </c>
      <c r="F11" s="39" t="s">
        <v>30</v>
      </c>
      <c r="G11" s="40" t="s">
        <v>41</v>
      </c>
      <c r="H11" s="39" t="s">
        <v>50</v>
      </c>
      <c r="I11" s="40" t="s">
        <v>59</v>
      </c>
      <c r="J11" s="39">
        <v>7</v>
      </c>
      <c r="K11" s="39">
        <f t="shared" ref="K11:K20" si="1">J11*5</f>
        <v>35</v>
      </c>
      <c r="L11" s="42"/>
    </row>
    <row r="12" spans="1:12" ht="15.75" thickBot="1" x14ac:dyDescent="0.3">
      <c r="A12" s="1"/>
      <c r="B12" s="53">
        <f>ROW(B12) - ROW($B$9)</f>
        <v>3</v>
      </c>
      <c r="C12" s="37" t="s">
        <v>64</v>
      </c>
      <c r="D12" s="37" t="s">
        <v>9</v>
      </c>
      <c r="E12" s="38" t="s">
        <v>21</v>
      </c>
      <c r="F12" s="37" t="s">
        <v>30</v>
      </c>
      <c r="G12" s="38" t="s">
        <v>42</v>
      </c>
      <c r="H12" s="37" t="s">
        <v>50</v>
      </c>
      <c r="I12" s="38" t="s">
        <v>60</v>
      </c>
      <c r="J12" s="37">
        <v>1</v>
      </c>
      <c r="K12" s="37">
        <f t="shared" si="1"/>
        <v>5</v>
      </c>
      <c r="L12" s="41"/>
    </row>
    <row r="13" spans="1:12" ht="24.75" thickBot="1" x14ac:dyDescent="0.3">
      <c r="A13" s="1"/>
      <c r="B13" s="53">
        <f t="shared" si="0"/>
        <v>4</v>
      </c>
      <c r="C13" s="39" t="s">
        <v>65</v>
      </c>
      <c r="D13" s="39" t="s">
        <v>10</v>
      </c>
      <c r="E13" s="40" t="s">
        <v>22</v>
      </c>
      <c r="F13" s="39" t="s">
        <v>72</v>
      </c>
      <c r="G13" s="39" t="s">
        <v>31</v>
      </c>
      <c r="H13" s="39" t="s">
        <v>51</v>
      </c>
      <c r="I13" s="40" t="s">
        <v>73</v>
      </c>
      <c r="J13" s="39">
        <v>1</v>
      </c>
      <c r="K13" s="39">
        <f t="shared" si="1"/>
        <v>5</v>
      </c>
      <c r="L13" s="42"/>
    </row>
    <row r="14" spans="1:12" ht="15.75" thickBot="1" x14ac:dyDescent="0.3">
      <c r="A14" s="1"/>
      <c r="B14" s="53">
        <f>ROW(B14) - ROW($B$9)</f>
        <v>5</v>
      </c>
      <c r="C14" s="37" t="s">
        <v>65</v>
      </c>
      <c r="D14" s="37" t="s">
        <v>11</v>
      </c>
      <c r="E14" s="38" t="s">
        <v>76</v>
      </c>
      <c r="F14" s="37" t="s">
        <v>32</v>
      </c>
      <c r="G14" s="38" t="s">
        <v>43</v>
      </c>
      <c r="H14" s="37" t="s">
        <v>52</v>
      </c>
      <c r="I14" s="38" t="s">
        <v>73</v>
      </c>
      <c r="J14" s="37">
        <v>1</v>
      </c>
      <c r="K14" s="37">
        <f t="shared" si="1"/>
        <v>5</v>
      </c>
      <c r="L14" s="41"/>
    </row>
    <row r="15" spans="1:12" ht="15.75" thickBot="1" x14ac:dyDescent="0.3">
      <c r="A15" s="1"/>
      <c r="B15" s="53">
        <f t="shared" si="0"/>
        <v>6</v>
      </c>
      <c r="C15" s="39" t="s">
        <v>66</v>
      </c>
      <c r="D15" s="39" t="s">
        <v>12</v>
      </c>
      <c r="E15" s="40" t="s">
        <v>23</v>
      </c>
      <c r="F15" s="39" t="s">
        <v>33</v>
      </c>
      <c r="G15" s="40" t="s">
        <v>44</v>
      </c>
      <c r="H15" s="39" t="s">
        <v>53</v>
      </c>
      <c r="I15" s="40" t="s">
        <v>73</v>
      </c>
      <c r="J15" s="39">
        <v>1</v>
      </c>
      <c r="K15" s="39">
        <f t="shared" si="1"/>
        <v>5</v>
      </c>
      <c r="L15" s="42"/>
    </row>
    <row r="16" spans="1:12" ht="15.75" thickBot="1" x14ac:dyDescent="0.3">
      <c r="A16" s="1"/>
      <c r="B16" s="53">
        <f>ROW(B16) - ROW($B$9)</f>
        <v>7</v>
      </c>
      <c r="C16" s="37" t="s">
        <v>65</v>
      </c>
      <c r="D16" s="37" t="s">
        <v>13</v>
      </c>
      <c r="E16" s="38" t="s">
        <v>24</v>
      </c>
      <c r="F16" s="37" t="s">
        <v>34</v>
      </c>
      <c r="G16" s="38">
        <v>61300211121</v>
      </c>
      <c r="H16" s="37" t="s">
        <v>54</v>
      </c>
      <c r="I16" s="38" t="s">
        <v>73</v>
      </c>
      <c r="J16" s="37">
        <v>1</v>
      </c>
      <c r="K16" s="37">
        <f t="shared" si="1"/>
        <v>5</v>
      </c>
      <c r="L16" s="41"/>
    </row>
    <row r="17" spans="1:12" ht="15.75" thickBot="1" x14ac:dyDescent="0.3">
      <c r="A17" s="1"/>
      <c r="B17" s="53">
        <f t="shared" si="0"/>
        <v>8</v>
      </c>
      <c r="C17" s="39" t="s">
        <v>67</v>
      </c>
      <c r="D17" s="39" t="s">
        <v>14</v>
      </c>
      <c r="E17" s="40" t="s">
        <v>25</v>
      </c>
      <c r="F17" s="39" t="s">
        <v>35</v>
      </c>
      <c r="G17" s="40" t="s">
        <v>45</v>
      </c>
      <c r="H17" s="39" t="s">
        <v>50</v>
      </c>
      <c r="I17" s="40" t="s">
        <v>61</v>
      </c>
      <c r="J17" s="39">
        <v>5</v>
      </c>
      <c r="K17" s="39">
        <f t="shared" si="1"/>
        <v>25</v>
      </c>
      <c r="L17" s="42"/>
    </row>
    <row r="18" spans="1:12" ht="36.75" thickBot="1" x14ac:dyDescent="0.3">
      <c r="A18" s="1"/>
      <c r="B18" s="53">
        <f>ROW(B18) - ROW($B$9)</f>
        <v>9</v>
      </c>
      <c r="C18" s="37" t="s">
        <v>68</v>
      </c>
      <c r="D18" s="37" t="s">
        <v>15</v>
      </c>
      <c r="E18" s="38" t="s">
        <v>26</v>
      </c>
      <c r="F18" s="37" t="s">
        <v>72</v>
      </c>
      <c r="G18" s="37" t="s">
        <v>36</v>
      </c>
      <c r="H18" s="37" t="s">
        <v>55</v>
      </c>
      <c r="I18" s="38" t="s">
        <v>73</v>
      </c>
      <c r="J18" s="37">
        <v>5</v>
      </c>
      <c r="K18" s="37">
        <f t="shared" si="1"/>
        <v>25</v>
      </c>
      <c r="L18" s="41"/>
    </row>
    <row r="19" spans="1:12" ht="24.75" thickBot="1" x14ac:dyDescent="0.3">
      <c r="A19" s="1"/>
      <c r="B19" s="53">
        <f t="shared" si="0"/>
        <v>10</v>
      </c>
      <c r="C19" s="39" t="s">
        <v>69</v>
      </c>
      <c r="D19" s="39" t="s">
        <v>16</v>
      </c>
      <c r="E19" s="40" t="s">
        <v>27</v>
      </c>
      <c r="F19" s="39" t="s">
        <v>37</v>
      </c>
      <c r="G19" s="40" t="s">
        <v>46</v>
      </c>
      <c r="H19" s="39" t="s">
        <v>56</v>
      </c>
      <c r="I19" s="40" t="s">
        <v>73</v>
      </c>
      <c r="J19" s="39">
        <v>1</v>
      </c>
      <c r="K19" s="39">
        <f t="shared" si="1"/>
        <v>5</v>
      </c>
      <c r="L19" s="42"/>
    </row>
    <row r="20" spans="1:12" ht="15.75" thickBot="1" x14ac:dyDescent="0.3">
      <c r="A20" s="1"/>
      <c r="B20" s="53">
        <f>ROW(B20) - ROW($B$9)</f>
        <v>11</v>
      </c>
      <c r="C20" s="37" t="s">
        <v>69</v>
      </c>
      <c r="D20" s="37" t="s">
        <v>17</v>
      </c>
      <c r="E20" s="38" t="s">
        <v>28</v>
      </c>
      <c r="F20" s="37" t="s">
        <v>38</v>
      </c>
      <c r="G20" s="38" t="s">
        <v>47</v>
      </c>
      <c r="H20" s="37" t="s">
        <v>57</v>
      </c>
      <c r="I20" s="38" t="s">
        <v>73</v>
      </c>
      <c r="J20" s="37">
        <v>1</v>
      </c>
      <c r="K20" s="37">
        <f t="shared" si="1"/>
        <v>5</v>
      </c>
      <c r="L20" s="41"/>
    </row>
    <row r="21" spans="1:12" x14ac:dyDescent="0.25">
      <c r="A21" s="1"/>
      <c r="B21" s="32"/>
      <c r="C21" s="51"/>
      <c r="D21" s="33"/>
      <c r="E21" s="34"/>
      <c r="F21" s="35"/>
      <c r="G21" s="36"/>
      <c r="H21" s="35"/>
      <c r="I21" s="36"/>
      <c r="J21" s="36"/>
      <c r="K21" s="36"/>
      <c r="L21" s="44"/>
    </row>
    <row r="22" spans="1:12" ht="15.75" thickBot="1" x14ac:dyDescent="0.3">
      <c r="A22" s="1"/>
      <c r="B22" s="24"/>
      <c r="C22" s="52"/>
      <c r="D22" s="8"/>
      <c r="E22" s="9"/>
      <c r="F22" s="9"/>
      <c r="G22" s="9"/>
      <c r="H22" s="9"/>
      <c r="I22" s="9"/>
      <c r="J22" s="9"/>
      <c r="K22" s="9"/>
      <c r="L22" s="45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2022-08-19T17:37:30Z</dcterms:modified>
</cp:coreProperties>
</file>