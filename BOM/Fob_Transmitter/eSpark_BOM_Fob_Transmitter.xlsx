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 codeName="ThisWorkbook"/>
  <mc:AlternateContent xmlns:mc="http://schemas.openxmlformats.org/markup-compatibility/2006">
    <mc:Choice Requires="x15">
      <x15ac:absPath xmlns:x15ac="http://schemas.microsoft.com/office/spreadsheetml/2010/11/ac" url="C:\GitHub\OliverStanton-WaterMonitor\BOM\Fob_Transmitter\"/>
    </mc:Choice>
  </mc:AlternateContent>
  <xr:revisionPtr revIDLastSave="0" documentId="13_ncr:1_{1C00387A-5EFD-40A1-9103-31A1FDC071B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Q21" i="1" l="1"/>
  <c r="Q22" i="1" s="1"/>
  <c r="Q11" i="1"/>
  <c r="Q12" i="1"/>
  <c r="Q13" i="1"/>
  <c r="Q14" i="1"/>
  <c r="Q15" i="1"/>
  <c r="Q16" i="1"/>
  <c r="Q17" i="1"/>
  <c r="Q18" i="1"/>
  <c r="Q19" i="1"/>
  <c r="Q20" i="1"/>
  <c r="Q10" i="1"/>
  <c r="M11" i="1"/>
  <c r="M12" i="1"/>
  <c r="M13" i="1"/>
  <c r="M14" i="1"/>
  <c r="M15" i="1"/>
  <c r="M16" i="1"/>
  <c r="M17" i="1"/>
  <c r="M18" i="1"/>
  <c r="M19" i="1"/>
  <c r="M20" i="1"/>
  <c r="M10" i="1"/>
  <c r="B20" i="1" l="1"/>
  <c r="B19" i="1"/>
  <c r="B18" i="1"/>
  <c r="B17" i="1"/>
  <c r="B16" i="1"/>
  <c r="B15" i="1"/>
  <c r="B14" i="1"/>
  <c r="B13" i="1"/>
  <c r="B12" i="1"/>
  <c r="B11" i="1"/>
  <c r="B10" i="1"/>
</calcChain>
</file>

<file path=xl/sharedStrings.xml><?xml version="1.0" encoding="utf-8"?>
<sst xmlns="http://schemas.openxmlformats.org/spreadsheetml/2006/main" count="137" uniqueCount="100">
  <si>
    <t>Component list</t>
  </si>
  <si>
    <t>Source Data From:</t>
  </si>
  <si>
    <t>Project:</t>
  </si>
  <si>
    <t>Variant:</t>
  </si>
  <si>
    <t>#</t>
  </si>
  <si>
    <t>None</t>
  </si>
  <si>
    <t>Designator</t>
  </si>
  <si>
    <t>C1, C2</t>
  </si>
  <si>
    <t>C3, C5, C6, C7, C8, C9, C10</t>
  </si>
  <si>
    <t>C4</t>
  </si>
  <si>
    <t>J1</t>
  </si>
  <si>
    <t>J2</t>
  </si>
  <si>
    <t>L1</t>
  </si>
  <si>
    <t>P1</t>
  </si>
  <si>
    <t>R1, R2, R3, R4, R5</t>
  </si>
  <si>
    <t>SW1, SW2, SW3, SW4, SW5</t>
  </si>
  <si>
    <t>U1</t>
  </si>
  <si>
    <t>U2</t>
  </si>
  <si>
    <t>Description</t>
  </si>
  <si>
    <t>CAP CER 0.47uF 50V X7R 0603</t>
  </si>
  <si>
    <t>CAP CER 0.1UF 50V Y5V 0603</t>
  </si>
  <si>
    <t>CAP CER 1UF 25V X5R 0603</t>
  </si>
  <si>
    <t>3 PIN 2.54mm 3A Female Headers ROHS</t>
  </si>
  <si>
    <t>FERRITE BEAD 600 OHM 0201 1LN</t>
  </si>
  <si>
    <t>CONN HEADER VERT 2POS 2.54MM</t>
  </si>
  <si>
    <t>RES SMD 4.7K OHM 1% 1/10W 0603</t>
  </si>
  <si>
    <t>3mm 2mm Round Button 50mA Top3.65mm SPST 12V SMD Tactile Switches</t>
  </si>
  <si>
    <t>IC REG LINEAR 3.3V 150MA 6WSON</t>
  </si>
  <si>
    <t>IC MCU 8BIT 16KB FLASH 20VQFN</t>
  </si>
  <si>
    <t>Footprint</t>
  </si>
  <si>
    <t>Cap0603</t>
  </si>
  <si>
    <t>DW254W-11-03-85</t>
  </si>
  <si>
    <t>HDR1X5</t>
  </si>
  <si>
    <t>IND 0201</t>
  </si>
  <si>
    <t>HDR1X2</t>
  </si>
  <si>
    <t>RES-0603</t>
  </si>
  <si>
    <t>TS-1185EC-C-D-B</t>
  </si>
  <si>
    <t>WSON-6</t>
  </si>
  <si>
    <t>20-QFN</t>
  </si>
  <si>
    <t>Manufacturer Part Number</t>
  </si>
  <si>
    <t>UMK107B7474KA-TR</t>
  </si>
  <si>
    <t>CC0603ZRY5V9BB104</t>
  </si>
  <si>
    <t>CC0603KRX5R8BB105</t>
  </si>
  <si>
    <t>PZ254V-11-05P</t>
  </si>
  <si>
    <t>MMZ0603S601CT000</t>
  </si>
  <si>
    <t>RC0603FR-074K7L</t>
  </si>
  <si>
    <t>LP5900SD-3.3/NOPB</t>
  </si>
  <si>
    <t>ATTINY1616-MNR</t>
  </si>
  <si>
    <t>Manufacturer</t>
  </si>
  <si>
    <t>Taiyo Yuden</t>
  </si>
  <si>
    <t>Yageo</t>
  </si>
  <si>
    <t>DEALON</t>
  </si>
  <si>
    <t>XFCN</t>
  </si>
  <si>
    <t>TDK</t>
  </si>
  <si>
    <t>Wurth Electronics</t>
  </si>
  <si>
    <t>XKB</t>
  </si>
  <si>
    <t>TI National Semiconductor</t>
  </si>
  <si>
    <t>Microchip</t>
  </si>
  <si>
    <t>0.47uF</t>
  </si>
  <si>
    <t>0.1uF</t>
  </si>
  <si>
    <t>1uF</t>
  </si>
  <si>
    <t>4.7K</t>
  </si>
  <si>
    <t>Quantity</t>
  </si>
  <si>
    <t>Item Type</t>
  </si>
  <si>
    <t>Alternate Part Number</t>
  </si>
  <si>
    <t>LCSC/Part Number</t>
  </si>
  <si>
    <t>Quantity/5 Boards</t>
  </si>
  <si>
    <t>LCSC/MOQ/5 Boards</t>
  </si>
  <si>
    <t>Links</t>
  </si>
  <si>
    <t xml:space="preserve"> Unit Cost/5 Boards</t>
  </si>
  <si>
    <t>Total Cost/5 Boards</t>
  </si>
  <si>
    <t>Remarks</t>
  </si>
  <si>
    <t>Reviewer Remarks</t>
  </si>
  <si>
    <t>Capacitor</t>
  </si>
  <si>
    <t>Header</t>
  </si>
  <si>
    <t>Inductor</t>
  </si>
  <si>
    <t>Resistor</t>
  </si>
  <si>
    <t>Switch</t>
  </si>
  <si>
    <t>IC</t>
  </si>
  <si>
    <t>Custom</t>
  </si>
  <si>
    <t>-</t>
  </si>
  <si>
    <t>C92847</t>
  </si>
  <si>
    <t>LCSC</t>
  </si>
  <si>
    <t>C106221</t>
  </si>
  <si>
    <t>C14664</t>
  </si>
  <si>
    <t>C2935993</t>
  </si>
  <si>
    <t>C492404</t>
  </si>
  <si>
    <t>C275404</t>
  </si>
  <si>
    <t>C2829889</t>
  </si>
  <si>
    <t>PH-00013</t>
  </si>
  <si>
    <t>C99782</t>
  </si>
  <si>
    <t>C318893</t>
  </si>
  <si>
    <t>C131975</t>
  </si>
  <si>
    <t>C507118</t>
  </si>
  <si>
    <t>Pin Header 5 1 Straight</t>
  </si>
  <si>
    <t xml:space="preserve">Total Component Cost </t>
  </si>
  <si>
    <t>Single Board Cost</t>
  </si>
  <si>
    <t>Value</t>
  </si>
  <si>
    <t>Bill of Materials for Project (Fob_Transmitter)</t>
  </si>
  <si>
    <t>(Fob_Transmitter)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</si>
</sst>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h:mm:ss\ AM/PM;@"/>
    <numFmt numFmtId="165" formatCode="&quot;$&quot;#,##0.0000"/>
    <numFmt numFmtId="166" formatCode="&quot;$&quot;#,##0.00"/>
  </numFmts>
  <fonts count="23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2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u/>
      <sz val="11"/>
      <color theme="10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</fills>
  <borders count="2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9" fillId="0" borderId="0" applyNumberFormat="0" applyFill="0" applyBorder="0" applyAlignment="0" applyProtection="0"/>
  </cellStyleXfs>
  <cellXfs count="81">
    <xf numFmtId="0" fontId="0" fillId="0" borderId="0" xfId="0"/>
    <xf numFmtId="0" fontId="1" fillId="2" borderId="0" xfId="0" applyFont="1" applyFill="1" applyBorder="1" applyAlignment="1"/>
    <xf numFmtId="0" fontId="1" fillId="2" borderId="1" xfId="0" applyFont="1" applyFill="1" applyBorder="1" applyAlignment="1"/>
    <xf numFmtId="0" fontId="3" fillId="3" borderId="13" xfId="0" applyFont="1" applyFill="1" applyBorder="1" applyAlignment="1">
      <alignment vertical="center"/>
    </xf>
    <xf numFmtId="0" fontId="7" fillId="3" borderId="12" xfId="0" applyFont="1" applyFill="1" applyBorder="1" applyAlignment="1">
      <alignment vertical="center"/>
    </xf>
    <xf numFmtId="0" fontId="8" fillId="3" borderId="0" xfId="0" applyFont="1" applyFill="1" applyBorder="1" applyAlignment="1"/>
    <xf numFmtId="0" fontId="9" fillId="3" borderId="5" xfId="0" applyFont="1" applyFill="1" applyBorder="1" applyAlignment="1"/>
    <xf numFmtId="0" fontId="9" fillId="3" borderId="6" xfId="0" applyFont="1" applyFill="1" applyBorder="1" applyAlignment="1"/>
    <xf numFmtId="0" fontId="10" fillId="3" borderId="0" xfId="0" applyFont="1" applyFill="1" applyBorder="1" applyAlignment="1"/>
    <xf numFmtId="0" fontId="11" fillId="3" borderId="3" xfId="0" applyNumberFormat="1" applyFont="1" applyFill="1" applyBorder="1" applyAlignment="1" applyProtection="1">
      <alignment horizontal="left" vertical="top"/>
      <protection locked="0"/>
    </xf>
    <xf numFmtId="0" fontId="12" fillId="3" borderId="3" xfId="0" applyNumberFormat="1" applyFont="1" applyFill="1" applyBorder="1" applyAlignment="1" applyProtection="1">
      <alignment horizontal="left" vertical="top"/>
      <protection locked="0"/>
    </xf>
    <xf numFmtId="0" fontId="14" fillId="3" borderId="11" xfId="0" applyFont="1" applyFill="1" applyBorder="1" applyAlignment="1">
      <alignment vertical="center"/>
    </xf>
    <xf numFmtId="0" fontId="15" fillId="3" borderId="12" xfId="0" applyFont="1" applyFill="1" applyBorder="1" applyAlignment="1">
      <alignment vertical="center"/>
    </xf>
    <xf numFmtId="0" fontId="11" fillId="3" borderId="0" xfId="0" applyFont="1" applyFill="1" applyBorder="1" applyAlignment="1"/>
    <xf numFmtId="0" fontId="13" fillId="3" borderId="6" xfId="0" applyFont="1" applyFill="1" applyBorder="1" applyAlignment="1"/>
    <xf numFmtId="0" fontId="13" fillId="3" borderId="5" xfId="0" applyFont="1" applyFill="1" applyBorder="1" applyAlignment="1"/>
    <xf numFmtId="0" fontId="11" fillId="3" borderId="5" xfId="0" applyFont="1" applyFill="1" applyBorder="1" applyAlignment="1"/>
    <xf numFmtId="0" fontId="13" fillId="3" borderId="5" xfId="0" applyFont="1" applyFill="1" applyBorder="1" applyAlignment="1">
      <alignment horizontal="left"/>
    </xf>
    <xf numFmtId="0" fontId="16" fillId="3" borderId="0" xfId="0" applyFont="1" applyFill="1" applyBorder="1" applyAlignment="1"/>
    <xf numFmtId="0" fontId="13" fillId="3" borderId="1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13" fillId="3" borderId="14" xfId="0" applyNumberFormat="1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5" fillId="3" borderId="7" xfId="0" applyFont="1" applyFill="1" applyBorder="1" applyAlignment="1">
      <alignment horizontal="center"/>
    </xf>
    <xf numFmtId="0" fontId="13" fillId="3" borderId="0" xfId="0" applyFont="1" applyFill="1" applyBorder="1" applyAlignment="1"/>
    <xf numFmtId="164" fontId="13" fillId="3" borderId="0" xfId="0" applyNumberFormat="1" applyFont="1" applyFill="1" applyBorder="1" applyAlignment="1">
      <alignment horizontal="left"/>
    </xf>
    <xf numFmtId="0" fontId="17" fillId="5" borderId="15" xfId="0" applyFont="1" applyFill="1" applyBorder="1" applyAlignment="1">
      <alignment horizontal="center" vertical="center"/>
    </xf>
    <xf numFmtId="0" fontId="17" fillId="5" borderId="12" xfId="0" applyFont="1" applyFill="1" applyBorder="1" applyAlignment="1">
      <alignment horizontal="center" vertical="center"/>
    </xf>
    <xf numFmtId="0" fontId="17" fillId="5" borderId="13" xfId="0" applyFont="1" applyFill="1" applyBorder="1" applyAlignment="1">
      <alignment horizontal="center" vertical="center"/>
    </xf>
    <xf numFmtId="0" fontId="11" fillId="3" borderId="10" xfId="0" applyNumberFormat="1" applyFont="1" applyFill="1" applyBorder="1" applyAlignment="1" applyProtection="1">
      <alignment horizontal="center" vertical="center"/>
      <protection locked="0"/>
    </xf>
    <xf numFmtId="0" fontId="11" fillId="3" borderId="11" xfId="0" applyNumberFormat="1" applyFont="1" applyFill="1" applyBorder="1" applyAlignment="1" applyProtection="1">
      <alignment vertical="center"/>
      <protection locked="0"/>
    </xf>
    <xf numFmtId="0" fontId="12" fillId="3" borderId="11" xfId="0" applyNumberFormat="1" applyFont="1" applyFill="1" applyBorder="1" applyAlignment="1" applyProtection="1">
      <alignment horizontal="left" vertical="center"/>
      <protection locked="0"/>
    </xf>
    <xf numFmtId="0" fontId="0" fillId="3" borderId="11" xfId="0" applyFont="1" applyFill="1" applyBorder="1" applyAlignment="1">
      <alignment vertical="center"/>
    </xf>
    <xf numFmtId="0" fontId="0" fillId="3" borderId="11" xfId="0" applyFont="1" applyFill="1" applyBorder="1"/>
    <xf numFmtId="0" fontId="11" fillId="5" borderId="15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6" fillId="3" borderId="0" xfId="0" applyFont="1" applyFill="1" applyBorder="1" applyAlignment="1">
      <alignment horizontal="center"/>
    </xf>
    <xf numFmtId="0" fontId="5" fillId="3" borderId="0" xfId="0" applyFont="1" applyFill="1" applyBorder="1" applyAlignment="1">
      <alignment horizontal="center"/>
    </xf>
    <xf numFmtId="0" fontId="11" fillId="3" borderId="11" xfId="0" applyNumberFormat="1" applyFont="1" applyFill="1" applyBorder="1" applyAlignment="1" applyProtection="1">
      <alignment horizontal="center" vertical="center"/>
      <protection locked="0"/>
    </xf>
    <xf numFmtId="0" fontId="13" fillId="3" borderId="3" xfId="0" applyNumberFormat="1" applyFont="1" applyFill="1" applyBorder="1" applyAlignment="1" applyProtection="1">
      <alignment horizontal="center" vertical="top"/>
      <protection locked="0"/>
    </xf>
    <xf numFmtId="0" fontId="18" fillId="2" borderId="16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0" fontId="18" fillId="2" borderId="18" xfId="0" applyFont="1" applyFill="1" applyBorder="1" applyAlignment="1">
      <alignment horizontal="center" vertical="center" wrapText="1"/>
    </xf>
    <xf numFmtId="0" fontId="18" fillId="4" borderId="17" xfId="0" applyFont="1" applyFill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 wrapText="1"/>
    </xf>
    <xf numFmtId="0" fontId="18" fillId="4" borderId="19" xfId="0" applyFont="1" applyFill="1" applyBorder="1" applyAlignment="1">
      <alignment horizontal="center" vertical="center" wrapText="1"/>
    </xf>
    <xf numFmtId="0" fontId="15" fillId="3" borderId="12" xfId="0" quotePrefix="1" applyFont="1" applyFill="1" applyBorder="1" applyAlignment="1">
      <alignment vertical="center"/>
    </xf>
    <xf numFmtId="0" fontId="11" fillId="3" borderId="0" xfId="0" quotePrefix="1" applyFont="1" applyFill="1" applyBorder="1" applyAlignment="1">
      <alignment horizontal="left"/>
    </xf>
    <xf numFmtId="0" fontId="11" fillId="3" borderId="6" xfId="0" quotePrefix="1" applyFont="1" applyFill="1" applyBorder="1" applyAlignment="1">
      <alignment horizontal="left"/>
    </xf>
    <xf numFmtId="0" fontId="11" fillId="3" borderId="5" xfId="0" quotePrefix="1" applyFont="1" applyFill="1" applyBorder="1" applyAlignment="1">
      <alignment horizontal="left"/>
    </xf>
    <xf numFmtId="0" fontId="17" fillId="5" borderId="21" xfId="0" applyFont="1" applyFill="1" applyBorder="1" applyAlignment="1">
      <alignment horizontal="center" vertical="center"/>
    </xf>
    <xf numFmtId="0" fontId="18" fillId="2" borderId="22" xfId="0" applyFont="1" applyFill="1" applyBorder="1" applyAlignment="1">
      <alignment horizontal="center" vertical="center" wrapText="1"/>
    </xf>
    <xf numFmtId="0" fontId="19" fillId="2" borderId="16" xfId="1" applyFill="1" applyBorder="1" applyAlignment="1">
      <alignment horizontal="center" vertical="center" wrapText="1"/>
    </xf>
    <xf numFmtId="165" fontId="18" fillId="2" borderId="16" xfId="0" applyNumberFormat="1" applyFont="1" applyFill="1" applyBorder="1" applyAlignment="1">
      <alignment horizontal="center" vertical="center" wrapText="1"/>
    </xf>
    <xf numFmtId="165" fontId="18" fillId="4" borderId="17" xfId="0" applyNumberFormat="1" applyFont="1" applyFill="1" applyBorder="1" applyAlignment="1">
      <alignment horizontal="center" vertical="center" wrapText="1"/>
    </xf>
    <xf numFmtId="0" fontId="19" fillId="4" borderId="17" xfId="1" applyFill="1" applyBorder="1" applyAlignment="1">
      <alignment horizontal="center" vertical="center" wrapText="1"/>
    </xf>
    <xf numFmtId="0" fontId="20" fillId="2" borderId="5" xfId="0" applyFont="1" applyFill="1" applyBorder="1" applyAlignment="1">
      <alignment horizontal="center" vertical="center" wrapText="1"/>
    </xf>
    <xf numFmtId="0" fontId="18" fillId="4" borderId="23" xfId="0" applyFont="1" applyFill="1" applyBorder="1" applyAlignment="1">
      <alignment horizontal="center" vertical="center" wrapText="1"/>
    </xf>
    <xf numFmtId="0" fontId="18" fillId="2" borderId="4" xfId="0" applyFont="1" applyFill="1" applyBorder="1" applyAlignment="1">
      <alignment horizontal="center" vertical="center" wrapText="1"/>
    </xf>
    <xf numFmtId="0" fontId="19" fillId="4" borderId="16" xfId="1" applyFill="1" applyBorder="1" applyAlignment="1">
      <alignment horizontal="center" vertical="center" wrapText="1"/>
    </xf>
    <xf numFmtId="165" fontId="18" fillId="4" borderId="16" xfId="0" applyNumberFormat="1" applyFont="1" applyFill="1" applyBorder="1" applyAlignment="1">
      <alignment horizontal="center" vertical="center" wrapText="1"/>
    </xf>
    <xf numFmtId="166" fontId="15" fillId="3" borderId="15" xfId="0" quotePrefix="1" applyNumberFormat="1" applyFont="1" applyFill="1" applyBorder="1" applyAlignment="1">
      <alignment horizontal="center" vertical="center" wrapText="1"/>
    </xf>
    <xf numFmtId="166" fontId="15" fillId="3" borderId="22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17" fillId="3" borderId="11" xfId="0" applyFont="1" applyFill="1" applyBorder="1" applyAlignment="1">
      <alignment horizontal="center" vertical="center" wrapText="1"/>
    </xf>
    <xf numFmtId="0" fontId="17" fillId="3" borderId="8" xfId="0" applyFont="1" applyFill="1" applyBorder="1" applyAlignment="1">
      <alignment horizontal="center" vertical="center" wrapText="1"/>
    </xf>
    <xf numFmtId="0" fontId="17" fillId="3" borderId="3" xfId="0" applyFont="1" applyFill="1" applyBorder="1" applyAlignment="1">
      <alignment horizontal="center" vertical="center" wrapText="1"/>
    </xf>
    <xf numFmtId="0" fontId="17" fillId="3" borderId="20" xfId="0" applyFont="1" applyFill="1" applyBorder="1" applyAlignment="1">
      <alignment horizontal="center" vertical="center" wrapText="1"/>
    </xf>
    <xf numFmtId="0" fontId="21" fillId="3" borderId="21" xfId="0" applyFont="1" applyFill="1" applyBorder="1" applyAlignment="1" applyProtection="1">
      <alignment horizontal="center" vertical="top"/>
      <protection locked="0"/>
    </xf>
    <xf numFmtId="0" fontId="21" fillId="3" borderId="12" xfId="0" applyFont="1" applyFill="1" applyBorder="1" applyAlignment="1" applyProtection="1">
      <alignment horizontal="center" vertical="top"/>
      <protection locked="0"/>
    </xf>
    <xf numFmtId="0" fontId="22" fillId="2" borderId="16" xfId="0" applyFont="1" applyFill="1" applyBorder="1" applyAlignment="1">
      <alignment horizontal="center" vertical="center" wrapText="1"/>
    </xf>
    <xf numFmtId="0" fontId="22" fillId="4" borderId="17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9525</xdr:colOff>
      <xdr:row>2</xdr:row>
      <xdr:rowOff>10417</xdr:rowOff>
    </xdr:from>
    <xdr:to>
      <xdr:col>18</xdr:col>
      <xdr:colOff>1724025</xdr:colOff>
      <xdr:row>7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9927550" y="620017"/>
          <a:ext cx="1714500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csc.com/product-detail/Chip-Resistor-Surface-Mount_YAGEO-RC0603FR-074K7L_C99782.html" TargetMode="External"/><Relationship Id="rId13" Type="http://schemas.openxmlformats.org/officeDocument/2006/relationships/drawing" Target="../drawings/drawing1.xml"/><Relationship Id="rId3" Type="http://schemas.openxmlformats.org/officeDocument/2006/relationships/hyperlink" Target="https://www.lcsc.com/product-detail/Multilayer-Ceramic-Capacitors-MLCC-SMD-SMT_YAGEO-CC0603KRX5R8BB105_C14664.html" TargetMode="External"/><Relationship Id="rId7" Type="http://schemas.openxmlformats.org/officeDocument/2006/relationships/hyperlink" Target="https://www.lcsc.com/product-detail/span-style-background-color-ff0-Pin-span-Headers_Liansheng-PH-00013_C2829889.html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https://www.lcsc.com/product-detail/Multilayer-Ceramic-Capacitors-MLCC-SMD-SMT_YAGEO-CC0603ZRY5V9BB104_C106221.html" TargetMode="External"/><Relationship Id="rId1" Type="http://schemas.openxmlformats.org/officeDocument/2006/relationships/hyperlink" Target="https://www.lcsc.com/product-detail/Multilayer-Ceramic-Capacitors-MLCC-SMD-SMT_Taiyo-Yuden-UMK107B7474KA-TR_C92847.html" TargetMode="External"/><Relationship Id="rId6" Type="http://schemas.openxmlformats.org/officeDocument/2006/relationships/hyperlink" Target="https://www.lcsc.com/product-detail/Ferrite-Beads_TDK-MMZ0603S601CT000_C275404.html" TargetMode="External"/><Relationship Id="rId11" Type="http://schemas.openxmlformats.org/officeDocument/2006/relationships/hyperlink" Target="https://www.lcsc.com/product-detail/Microcontroller-Units-MCUs-MPUs-SOCs_Microchip-Tech-ATTINY1616-MNR_C507118.html" TargetMode="External"/><Relationship Id="rId5" Type="http://schemas.openxmlformats.org/officeDocument/2006/relationships/hyperlink" Target="https://www.lcsc.com/product-detail/Pin-Headers_XFCN-PZ254V-11-05P_C492404.html" TargetMode="External"/><Relationship Id="rId10" Type="http://schemas.openxmlformats.org/officeDocument/2006/relationships/hyperlink" Target="https://www.lcsc.com/product-detail/Linear-Voltage-Regulators-LDO_Texas-Instruments-LP5900SD-3-3-NOPB_C131975.html" TargetMode="External"/><Relationship Id="rId4" Type="http://schemas.openxmlformats.org/officeDocument/2006/relationships/hyperlink" Target="https://www.lcsc.com/product-detail/Female-Headers_DEALON-DW254W-11-03-85_C2935993.html" TargetMode="External"/><Relationship Id="rId9" Type="http://schemas.openxmlformats.org/officeDocument/2006/relationships/hyperlink" Target="https://www.lcsc.com/product-detail/Tactile-Switches_XKB-Connectivity-TS-1185EC-C-D-B_C318893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22"/>
  <sheetViews>
    <sheetView tabSelected="1" workbookViewId="0">
      <selection activeCell="A20" sqref="A20"/>
    </sheetView>
  </sheetViews>
  <sheetFormatPr defaultRowHeight="15" x14ac:dyDescent="0.25"/>
  <cols>
    <col min="2" max="2" width="3.140625" style="26" customWidth="1"/>
    <col min="3" max="3" width="18" style="26" bestFit="1" customWidth="1"/>
    <col min="4" max="4" width="31.140625" bestFit="1" customWidth="1"/>
    <col min="5" max="5" width="30.85546875" customWidth="1"/>
    <col min="6" max="6" width="22.28515625" bestFit="1" customWidth="1"/>
    <col min="7" max="7" width="33.42578125" bestFit="1" customWidth="1"/>
    <col min="8" max="8" width="21.5703125" bestFit="1" customWidth="1"/>
    <col min="9" max="9" width="14.7109375" bestFit="1" customWidth="1"/>
    <col min="10" max="10" width="17.5703125" bestFit="1" customWidth="1"/>
    <col min="11" max="11" width="9.7109375" bestFit="1" customWidth="1"/>
    <col min="12" max="12" width="8.7109375" bestFit="1" customWidth="1"/>
    <col min="13" max="13" width="17.28515625" bestFit="1" customWidth="1"/>
    <col min="14" max="14" width="19.28515625" bestFit="1" customWidth="1"/>
    <col min="15" max="15" width="5.42578125" bestFit="1" customWidth="1"/>
    <col min="16" max="16" width="18.140625" bestFit="1" customWidth="1"/>
    <col min="17" max="17" width="18.28515625" bestFit="1" customWidth="1"/>
    <col min="18" max="18" width="16.5703125" bestFit="1" customWidth="1"/>
    <col min="19" max="19" width="26.85546875" bestFit="1" customWidth="1"/>
  </cols>
  <sheetData>
    <row r="1" spans="1:19" ht="15.75" thickBot="1" x14ac:dyDescent="0.3">
      <c r="A1" s="1"/>
      <c r="B1" s="20"/>
      <c r="C1" s="20"/>
      <c r="D1" s="2"/>
      <c r="E1" s="2"/>
      <c r="F1" s="2"/>
      <c r="G1" s="2"/>
      <c r="H1" s="2"/>
      <c r="I1" s="2"/>
      <c r="J1" s="2"/>
      <c r="K1" s="69"/>
      <c r="L1" s="69"/>
      <c r="M1" s="69"/>
      <c r="N1" s="69"/>
      <c r="O1" s="69"/>
      <c r="P1" s="69"/>
      <c r="Q1" s="69"/>
      <c r="R1" s="69"/>
      <c r="S1" s="70"/>
    </row>
    <row r="2" spans="1:19" ht="32.25" thickBot="1" x14ac:dyDescent="0.3">
      <c r="A2" s="1"/>
      <c r="B2" s="21"/>
      <c r="C2" s="39"/>
      <c r="D2" s="11" t="s">
        <v>0</v>
      </c>
      <c r="E2" s="11"/>
      <c r="F2" s="52" t="s">
        <v>98</v>
      </c>
      <c r="G2" s="12"/>
      <c r="H2" s="12"/>
      <c r="I2" s="4"/>
      <c r="J2" s="4"/>
      <c r="K2" s="4"/>
      <c r="L2" s="4"/>
      <c r="M2" s="4"/>
      <c r="N2" s="4"/>
      <c r="O2" s="4"/>
      <c r="P2" s="4"/>
      <c r="Q2" s="4"/>
      <c r="R2" s="4"/>
      <c r="S2" s="3"/>
    </row>
    <row r="3" spans="1:19" x14ac:dyDescent="0.25">
      <c r="A3" s="1"/>
      <c r="B3" s="22"/>
      <c r="C3" s="40"/>
      <c r="D3" s="13" t="s">
        <v>1</v>
      </c>
      <c r="E3" s="13"/>
      <c r="F3" s="53" t="s">
        <v>99</v>
      </c>
      <c r="G3" s="13"/>
      <c r="H3" s="13"/>
      <c r="I3" s="5"/>
      <c r="J3" s="5"/>
      <c r="K3" s="5"/>
      <c r="L3" s="5"/>
      <c r="M3" s="5"/>
      <c r="N3" s="5"/>
      <c r="O3" s="5"/>
      <c r="P3" s="5"/>
      <c r="Q3" s="5"/>
      <c r="R3" s="5"/>
      <c r="S3" s="71"/>
    </row>
    <row r="4" spans="1:19" x14ac:dyDescent="0.25">
      <c r="A4" s="1"/>
      <c r="B4" s="22"/>
      <c r="C4" s="40"/>
      <c r="D4" s="13" t="s">
        <v>2</v>
      </c>
      <c r="E4" s="13"/>
      <c r="F4" s="54" t="s">
        <v>99</v>
      </c>
      <c r="G4" s="14"/>
      <c r="H4" s="14"/>
      <c r="I4" s="7"/>
      <c r="J4" s="7"/>
      <c r="K4" s="7"/>
      <c r="L4" s="6"/>
      <c r="M4" s="6"/>
      <c r="N4" s="6"/>
      <c r="O4" s="6"/>
      <c r="P4" s="6"/>
      <c r="Q4" s="6"/>
      <c r="R4" s="6"/>
      <c r="S4" s="72"/>
    </row>
    <row r="5" spans="1:19" x14ac:dyDescent="0.25">
      <c r="A5" s="1"/>
      <c r="B5" s="22"/>
      <c r="C5" s="40"/>
      <c r="D5" s="13" t="s">
        <v>3</v>
      </c>
      <c r="E5" s="13"/>
      <c r="F5" s="55" t="s">
        <v>5</v>
      </c>
      <c r="G5" s="15"/>
      <c r="H5" s="15"/>
      <c r="I5" s="6"/>
      <c r="J5" s="6"/>
      <c r="K5" s="6"/>
      <c r="L5" s="6"/>
      <c r="M5" s="6"/>
      <c r="N5" s="6"/>
      <c r="O5" s="6"/>
      <c r="P5" s="6"/>
      <c r="Q5" s="6"/>
      <c r="R5" s="6"/>
      <c r="S5" s="72"/>
    </row>
    <row r="6" spans="1:19" x14ac:dyDescent="0.25">
      <c r="A6" s="1"/>
      <c r="B6" s="23"/>
      <c r="C6" s="41"/>
      <c r="D6" s="16"/>
      <c r="E6" s="16"/>
      <c r="F6" s="17"/>
      <c r="G6" s="15"/>
      <c r="H6" s="15"/>
      <c r="I6" s="6"/>
      <c r="J6" s="6"/>
      <c r="K6" s="6"/>
      <c r="L6" s="6"/>
      <c r="M6" s="6"/>
      <c r="N6" s="6"/>
      <c r="O6" s="6"/>
      <c r="P6" s="6"/>
      <c r="Q6" s="6"/>
      <c r="R6" s="6"/>
      <c r="S6" s="72"/>
    </row>
    <row r="7" spans="1:19" x14ac:dyDescent="0.25">
      <c r="A7" s="1"/>
      <c r="B7" s="24"/>
      <c r="C7" s="42"/>
      <c r="D7" s="18"/>
      <c r="E7" s="18"/>
      <c r="F7" s="19"/>
      <c r="G7" s="18"/>
      <c r="H7" s="18"/>
      <c r="I7" s="8"/>
      <c r="J7" s="8"/>
      <c r="K7" s="8"/>
      <c r="L7" s="8"/>
      <c r="M7" s="8"/>
      <c r="N7" s="8"/>
      <c r="O7" s="8"/>
      <c r="P7" s="8"/>
      <c r="Q7" s="8"/>
      <c r="R7" s="8"/>
      <c r="S7" s="72"/>
    </row>
    <row r="8" spans="1:19" ht="15.75" thickBot="1" x14ac:dyDescent="0.3">
      <c r="A8" s="1"/>
      <c r="B8" s="27"/>
      <c r="C8" s="43"/>
      <c r="D8" s="28"/>
      <c r="E8" s="28"/>
      <c r="F8" s="29"/>
      <c r="G8" s="18"/>
      <c r="H8" s="18"/>
      <c r="I8" s="8"/>
      <c r="J8" s="8"/>
      <c r="K8" s="8"/>
      <c r="L8" s="8"/>
      <c r="M8" s="8"/>
      <c r="N8" s="8"/>
      <c r="O8" s="8"/>
      <c r="P8" s="8"/>
      <c r="Q8" s="8"/>
      <c r="R8" s="8"/>
      <c r="S8" s="72"/>
    </row>
    <row r="9" spans="1:19" ht="15.75" thickBot="1" x14ac:dyDescent="0.3">
      <c r="A9" s="1"/>
      <c r="B9" s="30" t="s">
        <v>4</v>
      </c>
      <c r="C9" s="30" t="s">
        <v>63</v>
      </c>
      <c r="D9" s="30" t="s">
        <v>6</v>
      </c>
      <c r="E9" s="31" t="s">
        <v>18</v>
      </c>
      <c r="F9" s="30" t="s">
        <v>29</v>
      </c>
      <c r="G9" s="31" t="s">
        <v>39</v>
      </c>
      <c r="H9" s="30" t="s">
        <v>64</v>
      </c>
      <c r="I9" s="30" t="s">
        <v>48</v>
      </c>
      <c r="J9" s="30" t="s">
        <v>65</v>
      </c>
      <c r="K9" s="56" t="s">
        <v>97</v>
      </c>
      <c r="L9" s="30" t="s">
        <v>62</v>
      </c>
      <c r="M9" s="30" t="s">
        <v>66</v>
      </c>
      <c r="N9" s="30" t="s">
        <v>67</v>
      </c>
      <c r="O9" s="30" t="s">
        <v>68</v>
      </c>
      <c r="P9" s="30" t="s">
        <v>69</v>
      </c>
      <c r="Q9" s="30" t="s">
        <v>70</v>
      </c>
      <c r="R9" s="32" t="s">
        <v>71</v>
      </c>
      <c r="S9" s="32" t="s">
        <v>72</v>
      </c>
    </row>
    <row r="10" spans="1:19" ht="15.75" thickBot="1" x14ac:dyDescent="0.3">
      <c r="A10" s="1"/>
      <c r="B10" s="38">
        <f>ROW(B10) - ROW($B$9)</f>
        <v>1</v>
      </c>
      <c r="C10" s="79" t="s">
        <v>73</v>
      </c>
      <c r="D10" s="46" t="s">
        <v>7</v>
      </c>
      <c r="E10" s="47" t="s">
        <v>19</v>
      </c>
      <c r="F10" s="46" t="s">
        <v>30</v>
      </c>
      <c r="G10" s="47" t="s">
        <v>40</v>
      </c>
      <c r="H10" s="46" t="s">
        <v>80</v>
      </c>
      <c r="I10" s="46" t="s">
        <v>49</v>
      </c>
      <c r="J10" s="46" t="s">
        <v>81</v>
      </c>
      <c r="K10" s="47" t="s">
        <v>58</v>
      </c>
      <c r="L10" s="46">
        <v>2</v>
      </c>
      <c r="M10" s="46">
        <f>L10*5</f>
        <v>10</v>
      </c>
      <c r="N10" s="46">
        <v>20</v>
      </c>
      <c r="O10" s="58" t="s">
        <v>82</v>
      </c>
      <c r="P10" s="59">
        <v>3.49E-2</v>
      </c>
      <c r="Q10" s="59">
        <f>P10*N10</f>
        <v>0.69799999999999995</v>
      </c>
      <c r="R10" s="48"/>
      <c r="S10" s="46"/>
    </row>
    <row r="11" spans="1:19" ht="15.75" thickBot="1" x14ac:dyDescent="0.3">
      <c r="A11" s="1"/>
      <c r="B11" s="38">
        <f t="shared" ref="B11:B19" si="0">ROW(B11) - ROW($B$9)</f>
        <v>2</v>
      </c>
      <c r="C11" s="80" t="s">
        <v>73</v>
      </c>
      <c r="D11" s="49" t="s">
        <v>8</v>
      </c>
      <c r="E11" s="50" t="s">
        <v>20</v>
      </c>
      <c r="F11" s="49" t="s">
        <v>30</v>
      </c>
      <c r="G11" s="50" t="s">
        <v>41</v>
      </c>
      <c r="H11" s="49" t="s">
        <v>80</v>
      </c>
      <c r="I11" s="49" t="s">
        <v>50</v>
      </c>
      <c r="J11" s="49" t="s">
        <v>83</v>
      </c>
      <c r="K11" s="50" t="s">
        <v>59</v>
      </c>
      <c r="L11" s="49">
        <v>7</v>
      </c>
      <c r="M11" s="49">
        <f t="shared" ref="M11:M20" si="1">L11*5</f>
        <v>35</v>
      </c>
      <c r="N11" s="49">
        <v>100</v>
      </c>
      <c r="O11" s="61" t="s">
        <v>82</v>
      </c>
      <c r="P11" s="60">
        <v>3.3999999999999998E-3</v>
      </c>
      <c r="Q11" s="60">
        <f t="shared" ref="Q11:Q20" si="2">P11*N11</f>
        <v>0.33999999999999997</v>
      </c>
      <c r="R11" s="51"/>
      <c r="S11" s="49"/>
    </row>
    <row r="12" spans="1:19" ht="15.75" thickBot="1" x14ac:dyDescent="0.3">
      <c r="A12" s="1"/>
      <c r="B12" s="38">
        <f>ROW(B12) - ROW($B$9)</f>
        <v>3</v>
      </c>
      <c r="C12" s="79" t="s">
        <v>73</v>
      </c>
      <c r="D12" s="46" t="s">
        <v>9</v>
      </c>
      <c r="E12" s="47" t="s">
        <v>21</v>
      </c>
      <c r="F12" s="46" t="s">
        <v>30</v>
      </c>
      <c r="G12" s="47" t="s">
        <v>42</v>
      </c>
      <c r="H12" s="46" t="s">
        <v>80</v>
      </c>
      <c r="I12" s="46" t="s">
        <v>50</v>
      </c>
      <c r="J12" s="46" t="s">
        <v>84</v>
      </c>
      <c r="K12" s="47" t="s">
        <v>60</v>
      </c>
      <c r="L12" s="46">
        <v>1</v>
      </c>
      <c r="M12" s="46">
        <f t="shared" si="1"/>
        <v>5</v>
      </c>
      <c r="N12" s="46">
        <v>50</v>
      </c>
      <c r="O12" s="58" t="s">
        <v>82</v>
      </c>
      <c r="P12" s="59">
        <v>5.8999999999999999E-3</v>
      </c>
      <c r="Q12" s="59">
        <f t="shared" si="2"/>
        <v>0.29499999999999998</v>
      </c>
      <c r="R12" s="48"/>
      <c r="S12" s="46"/>
    </row>
    <row r="13" spans="1:19" ht="24.75" thickBot="1" x14ac:dyDescent="0.3">
      <c r="A13" s="1"/>
      <c r="B13" s="38">
        <f t="shared" si="0"/>
        <v>4</v>
      </c>
      <c r="C13" s="80" t="s">
        <v>74</v>
      </c>
      <c r="D13" s="49" t="s">
        <v>10</v>
      </c>
      <c r="E13" s="50" t="s">
        <v>22</v>
      </c>
      <c r="F13" s="49" t="s">
        <v>79</v>
      </c>
      <c r="G13" s="63" t="s">
        <v>31</v>
      </c>
      <c r="H13" s="49" t="s">
        <v>80</v>
      </c>
      <c r="I13" s="49" t="s">
        <v>51</v>
      </c>
      <c r="J13" s="49" t="s">
        <v>85</v>
      </c>
      <c r="K13" s="50" t="s">
        <v>80</v>
      </c>
      <c r="L13" s="49">
        <v>1</v>
      </c>
      <c r="M13" s="49">
        <f t="shared" si="1"/>
        <v>5</v>
      </c>
      <c r="N13" s="49">
        <v>10</v>
      </c>
      <c r="O13" s="61" t="s">
        <v>82</v>
      </c>
      <c r="P13" s="60">
        <v>5.67E-2</v>
      </c>
      <c r="Q13" s="60">
        <f t="shared" si="2"/>
        <v>0.56699999999999995</v>
      </c>
      <c r="R13" s="51"/>
      <c r="S13" s="49"/>
    </row>
    <row r="14" spans="1:19" ht="15.75" thickBot="1" x14ac:dyDescent="0.3">
      <c r="A14" s="1"/>
      <c r="B14" s="38">
        <f>ROW(B14) - ROW($B$9)</f>
        <v>5</v>
      </c>
      <c r="C14" s="79" t="s">
        <v>74</v>
      </c>
      <c r="D14" s="46" t="s">
        <v>11</v>
      </c>
      <c r="E14" s="47" t="s">
        <v>94</v>
      </c>
      <c r="F14" s="46" t="s">
        <v>32</v>
      </c>
      <c r="G14" s="47" t="s">
        <v>43</v>
      </c>
      <c r="H14" s="46" t="s">
        <v>80</v>
      </c>
      <c r="I14" s="46" t="s">
        <v>52</v>
      </c>
      <c r="J14" s="46" t="s">
        <v>86</v>
      </c>
      <c r="K14" s="47" t="s">
        <v>80</v>
      </c>
      <c r="L14" s="46">
        <v>1</v>
      </c>
      <c r="M14" s="46">
        <f t="shared" si="1"/>
        <v>5</v>
      </c>
      <c r="N14" s="46">
        <v>20</v>
      </c>
      <c r="O14" s="58" t="s">
        <v>82</v>
      </c>
      <c r="P14" s="59">
        <v>2.7400000000000001E-2</v>
      </c>
      <c r="Q14" s="59">
        <f t="shared" si="2"/>
        <v>0.54800000000000004</v>
      </c>
      <c r="R14" s="48"/>
      <c r="S14" s="46"/>
    </row>
    <row r="15" spans="1:19" ht="15.75" thickBot="1" x14ac:dyDescent="0.3">
      <c r="A15" s="1"/>
      <c r="B15" s="38">
        <f t="shared" si="0"/>
        <v>6</v>
      </c>
      <c r="C15" s="80" t="s">
        <v>75</v>
      </c>
      <c r="D15" s="49" t="s">
        <v>12</v>
      </c>
      <c r="E15" s="50" t="s">
        <v>23</v>
      </c>
      <c r="F15" s="49" t="s">
        <v>33</v>
      </c>
      <c r="G15" s="50" t="s">
        <v>44</v>
      </c>
      <c r="H15" s="49" t="s">
        <v>80</v>
      </c>
      <c r="I15" s="49" t="s">
        <v>53</v>
      </c>
      <c r="J15" s="49" t="s">
        <v>87</v>
      </c>
      <c r="K15" s="50" t="s">
        <v>80</v>
      </c>
      <c r="L15" s="49">
        <v>1</v>
      </c>
      <c r="M15" s="49">
        <f t="shared" si="1"/>
        <v>5</v>
      </c>
      <c r="N15" s="49">
        <v>50</v>
      </c>
      <c r="O15" s="61" t="s">
        <v>82</v>
      </c>
      <c r="P15" s="60">
        <v>1.47E-2</v>
      </c>
      <c r="Q15" s="60">
        <f t="shared" si="2"/>
        <v>0.73499999999999999</v>
      </c>
      <c r="R15" s="51"/>
      <c r="S15" s="49"/>
    </row>
    <row r="16" spans="1:19" ht="15.75" thickBot="1" x14ac:dyDescent="0.3">
      <c r="A16" s="1"/>
      <c r="B16" s="38">
        <f>ROW(B16) - ROW($B$9)</f>
        <v>7</v>
      </c>
      <c r="C16" s="79" t="s">
        <v>74</v>
      </c>
      <c r="D16" s="46" t="s">
        <v>13</v>
      </c>
      <c r="E16" s="47" t="s">
        <v>24</v>
      </c>
      <c r="F16" s="46" t="s">
        <v>34</v>
      </c>
      <c r="G16" s="62">
        <v>61300211121</v>
      </c>
      <c r="H16" s="46" t="s">
        <v>89</v>
      </c>
      <c r="I16" s="46" t="s">
        <v>54</v>
      </c>
      <c r="J16" s="46" t="s">
        <v>88</v>
      </c>
      <c r="K16" s="47" t="s">
        <v>80</v>
      </c>
      <c r="L16" s="46">
        <v>1</v>
      </c>
      <c r="M16" s="46">
        <f t="shared" si="1"/>
        <v>5</v>
      </c>
      <c r="N16" s="46">
        <v>50</v>
      </c>
      <c r="O16" s="58" t="s">
        <v>82</v>
      </c>
      <c r="P16" s="59">
        <v>1.89E-2</v>
      </c>
      <c r="Q16" s="59">
        <f t="shared" si="2"/>
        <v>0.94500000000000006</v>
      </c>
      <c r="R16" s="48"/>
      <c r="S16" s="46"/>
    </row>
    <row r="17" spans="1:19" ht="15.75" thickBot="1" x14ac:dyDescent="0.3">
      <c r="A17" s="1"/>
      <c r="B17" s="38">
        <f t="shared" si="0"/>
        <v>8</v>
      </c>
      <c r="C17" s="80" t="s">
        <v>76</v>
      </c>
      <c r="D17" s="49" t="s">
        <v>14</v>
      </c>
      <c r="E17" s="50" t="s">
        <v>25</v>
      </c>
      <c r="F17" s="49" t="s">
        <v>35</v>
      </c>
      <c r="G17" s="50" t="s">
        <v>45</v>
      </c>
      <c r="H17" s="49" t="s">
        <v>80</v>
      </c>
      <c r="I17" s="49" t="s">
        <v>50</v>
      </c>
      <c r="J17" s="49" t="s">
        <v>90</v>
      </c>
      <c r="K17" s="50" t="s">
        <v>61</v>
      </c>
      <c r="L17" s="49">
        <v>5</v>
      </c>
      <c r="M17" s="49">
        <f t="shared" si="1"/>
        <v>25</v>
      </c>
      <c r="N17" s="49">
        <v>100</v>
      </c>
      <c r="O17" s="65" t="s">
        <v>82</v>
      </c>
      <c r="P17" s="66">
        <v>1.5E-3</v>
      </c>
      <c r="Q17" s="60">
        <f t="shared" si="2"/>
        <v>0.15</v>
      </c>
      <c r="R17" s="51"/>
      <c r="S17" s="49"/>
    </row>
    <row r="18" spans="1:19" ht="36.75" thickBot="1" x14ac:dyDescent="0.3">
      <c r="A18" s="1"/>
      <c r="B18" s="38">
        <f>ROW(B18) - ROW($B$9)</f>
        <v>9</v>
      </c>
      <c r="C18" s="79" t="s">
        <v>77</v>
      </c>
      <c r="D18" s="46" t="s">
        <v>15</v>
      </c>
      <c r="E18" s="47" t="s">
        <v>26</v>
      </c>
      <c r="F18" s="46" t="s">
        <v>79</v>
      </c>
      <c r="G18" s="64" t="s">
        <v>36</v>
      </c>
      <c r="H18" s="46" t="s">
        <v>80</v>
      </c>
      <c r="I18" s="46" t="s">
        <v>55</v>
      </c>
      <c r="J18" s="46" t="s">
        <v>91</v>
      </c>
      <c r="K18" s="47" t="s">
        <v>80</v>
      </c>
      <c r="L18" s="46">
        <v>5</v>
      </c>
      <c r="M18" s="46">
        <f t="shared" si="1"/>
        <v>25</v>
      </c>
      <c r="N18" s="46">
        <v>30</v>
      </c>
      <c r="O18" s="58" t="s">
        <v>82</v>
      </c>
      <c r="P18" s="59">
        <v>6.4500000000000002E-2</v>
      </c>
      <c r="Q18" s="59">
        <f t="shared" si="2"/>
        <v>1.9350000000000001</v>
      </c>
      <c r="R18" s="48"/>
      <c r="S18" s="46"/>
    </row>
    <row r="19" spans="1:19" ht="24.75" thickBot="1" x14ac:dyDescent="0.3">
      <c r="A19" s="1"/>
      <c r="B19" s="38">
        <f t="shared" si="0"/>
        <v>10</v>
      </c>
      <c r="C19" s="80" t="s">
        <v>78</v>
      </c>
      <c r="D19" s="49" t="s">
        <v>16</v>
      </c>
      <c r="E19" s="50" t="s">
        <v>27</v>
      </c>
      <c r="F19" s="49" t="s">
        <v>37</v>
      </c>
      <c r="G19" s="50" t="s">
        <v>46</v>
      </c>
      <c r="H19" s="49" t="s">
        <v>80</v>
      </c>
      <c r="I19" s="49" t="s">
        <v>56</v>
      </c>
      <c r="J19" s="49" t="s">
        <v>92</v>
      </c>
      <c r="K19" s="50" t="s">
        <v>80</v>
      </c>
      <c r="L19" s="49">
        <v>1</v>
      </c>
      <c r="M19" s="49">
        <f t="shared" si="1"/>
        <v>5</v>
      </c>
      <c r="N19" s="49">
        <v>6</v>
      </c>
      <c r="O19" s="61" t="s">
        <v>82</v>
      </c>
      <c r="P19" s="60">
        <v>0.7863</v>
      </c>
      <c r="Q19" s="60">
        <f t="shared" si="2"/>
        <v>4.7178000000000004</v>
      </c>
      <c r="R19" s="51"/>
      <c r="S19" s="49"/>
    </row>
    <row r="20" spans="1:19" ht="15.75" thickBot="1" x14ac:dyDescent="0.3">
      <c r="A20" s="1"/>
      <c r="B20" s="38">
        <f>ROW(B20) - ROW($B$9)</f>
        <v>11</v>
      </c>
      <c r="C20" s="79" t="s">
        <v>78</v>
      </c>
      <c r="D20" s="46" t="s">
        <v>17</v>
      </c>
      <c r="E20" s="47" t="s">
        <v>28</v>
      </c>
      <c r="F20" s="46" t="s">
        <v>38</v>
      </c>
      <c r="G20" s="47" t="s">
        <v>47</v>
      </c>
      <c r="H20" s="57" t="s">
        <v>80</v>
      </c>
      <c r="I20" s="46" t="s">
        <v>57</v>
      </c>
      <c r="J20" s="46" t="s">
        <v>93</v>
      </c>
      <c r="K20" s="47" t="s">
        <v>80</v>
      </c>
      <c r="L20" s="57">
        <v>1</v>
      </c>
      <c r="M20" s="46">
        <f t="shared" si="1"/>
        <v>5</v>
      </c>
      <c r="N20" s="46">
        <v>6</v>
      </c>
      <c r="O20" s="58" t="s">
        <v>82</v>
      </c>
      <c r="P20" s="59">
        <v>0.96660000000000001</v>
      </c>
      <c r="Q20" s="59">
        <f t="shared" si="2"/>
        <v>5.7995999999999999</v>
      </c>
      <c r="R20" s="48"/>
      <c r="S20" s="46"/>
    </row>
    <row r="21" spans="1:19" ht="19.5" thickBot="1" x14ac:dyDescent="0.3">
      <c r="A21" s="1"/>
      <c r="B21" s="33"/>
      <c r="C21" s="44"/>
      <c r="D21" s="34"/>
      <c r="E21" s="35"/>
      <c r="F21" s="36"/>
      <c r="G21" s="37"/>
      <c r="H21" s="37"/>
      <c r="I21" s="36"/>
      <c r="J21" s="36"/>
      <c r="K21" s="37"/>
      <c r="L21" s="37"/>
      <c r="M21" s="37"/>
      <c r="N21" s="77" t="s">
        <v>95</v>
      </c>
      <c r="O21" s="78"/>
      <c r="P21" s="78"/>
      <c r="Q21" s="67">
        <f>SUM(Q10:Q20)</f>
        <v>16.730399999999999</v>
      </c>
      <c r="R21" s="73"/>
      <c r="S21" s="74"/>
    </row>
    <row r="22" spans="1:19" ht="19.5" thickBot="1" x14ac:dyDescent="0.3">
      <c r="A22" s="1"/>
      <c r="B22" s="25"/>
      <c r="C22" s="45"/>
      <c r="D22" s="9"/>
      <c r="E22" s="10"/>
      <c r="F22" s="10"/>
      <c r="G22" s="10"/>
      <c r="H22" s="10"/>
      <c r="I22" s="10"/>
      <c r="J22" s="10"/>
      <c r="K22" s="10"/>
      <c r="L22" s="10"/>
      <c r="M22" s="10"/>
      <c r="N22" s="77" t="s">
        <v>96</v>
      </c>
      <c r="O22" s="78"/>
      <c r="P22" s="78"/>
      <c r="Q22" s="68">
        <f>Q21/5</f>
        <v>3.3460799999999997</v>
      </c>
      <c r="R22" s="75"/>
      <c r="S22" s="76"/>
    </row>
  </sheetData>
  <mergeCells count="5">
    <mergeCell ref="K1:S1"/>
    <mergeCell ref="S3:S8"/>
    <mergeCell ref="R21:S22"/>
    <mergeCell ref="N21:P21"/>
    <mergeCell ref="N22:P22"/>
  </mergeCells>
  <hyperlinks>
    <hyperlink ref="O10" r:id="rId1" xr:uid="{9B08C246-1443-476F-8400-7BF3E1401704}"/>
    <hyperlink ref="O11" r:id="rId2" xr:uid="{B8781B98-3701-4BDE-BA8A-0948A879AEBE}"/>
    <hyperlink ref="O12" r:id="rId3" xr:uid="{6083E340-8613-4175-983D-DF68D511270B}"/>
    <hyperlink ref="O13" r:id="rId4" xr:uid="{4D21958E-FFB1-43C1-B536-08A12923A302}"/>
    <hyperlink ref="O14" r:id="rId5" xr:uid="{F5C5D409-72B6-4546-9CBC-54F64848BBEA}"/>
    <hyperlink ref="O15" r:id="rId6" xr:uid="{3C85C19D-6630-420B-9B9F-252B3AD39A5C}"/>
    <hyperlink ref="O16" r:id="rId7" xr:uid="{BEA5D900-E700-4B3D-BCEE-CFED10FF5E4E}"/>
    <hyperlink ref="O17" r:id="rId8" xr:uid="{43FF55F8-7B69-4F51-A753-0C2F1852F8FC}"/>
    <hyperlink ref="O18" r:id="rId9" xr:uid="{149427FE-4837-4C89-82FC-B3262B718FBA}"/>
    <hyperlink ref="O19" r:id="rId10" xr:uid="{F0C766FB-E9F8-4AC6-97DF-8CEDF3D649EC}"/>
    <hyperlink ref="O20" r:id="rId11" xr:uid="{B20A26D6-3091-4797-B290-C5FE7261CE34}"/>
  </hyperlinks>
  <pageMargins left="0.7" right="0.7" top="0.75" bottom="0.75" header="0.3" footer="0.3"/>
  <pageSetup paperSize="9" orientation="portrait" r:id="rId12"/>
  <drawing r:id="rId1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HP</cp:lastModifiedBy>
  <dcterms:created xsi:type="dcterms:W3CDTF">2019-12-12T10:34:26Z</dcterms:created>
  <dcterms:modified xsi:type="dcterms:W3CDTF">2022-08-19T17:35:49Z</dcterms:modified>
</cp:coreProperties>
</file>