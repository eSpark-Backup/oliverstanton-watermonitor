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Fob_Transmitter\"/>
    </mc:Choice>
  </mc:AlternateContent>
  <bookViews>
    <workbookView xWindow="780" yWindow="780" windowWidth="11790" windowHeight="153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1" i="1" l="1"/>
  <c r="M21" i="1"/>
  <c r="M20" i="1"/>
  <c r="Q20" i="1"/>
  <c r="B21" i="1"/>
  <c r="Q11" i="1" l="1"/>
  <c r="Q12" i="1"/>
  <c r="Q13" i="1"/>
  <c r="Q14" i="1"/>
  <c r="Q15" i="1"/>
  <c r="Q16" i="1"/>
  <c r="Q17" i="1"/>
  <c r="Q18" i="1"/>
  <c r="Q19" i="1"/>
  <c r="Q10" i="1"/>
  <c r="M11" i="1"/>
  <c r="M12" i="1"/>
  <c r="M13" i="1"/>
  <c r="M14" i="1"/>
  <c r="M15" i="1"/>
  <c r="M16" i="1"/>
  <c r="M17" i="1"/>
  <c r="M18" i="1"/>
  <c r="M19" i="1"/>
  <c r="M10" i="1"/>
  <c r="Q22" i="1" l="1"/>
  <c r="Q23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<sst xmlns="http://schemas.openxmlformats.org/spreadsheetml/2006/main" count="147" uniqueCount="106">
  <si>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</si>
  <si>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</si>
  <si>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</si>
  <si>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</si>
  <si>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</si>
  <si>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</si>
  <si>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</si>
  <si>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</si>
  <si>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</si>
  <si>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</si>
  <si>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</si>
  <si>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</si>
  <si>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</si>
  <si>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</si>
  <si>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</si>
  <si>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</si>
  <si>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</si>
  <si>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</si>
  <si>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</si>
  <si>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</si>
  <si>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</si>
  <si>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</si>
  <si>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</si>
  <si>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</si>
  <si>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</si>
  <si>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</si>
  <si>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</si>
  <si>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</si>
  <si>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</si>
  <si>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</si>
  <si>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</si>
  <si>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</si>
  <si>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</si>
  <si>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</si>
  <si>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</si>
  <si>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</si>
  <si>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</si>
  <si>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</si>
  <si>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</si>
  <si>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</si>
  <si>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</si>
  <si>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</si>
  <si>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</si>
  <si>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</si>
  <si>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</si>
  <si>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</si>
  <si>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</si>
  <si>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</si>
  <si>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</si>
  <si>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</si>
  <si>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</si>
  <si>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</si>
  <si>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</si>
  <si>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</si>
  <si>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</si>
  <si>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</si>
  <si>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</si>
  <si>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</si>
  <si>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</si>
  <si>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</si>
  <si>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</si>
  <si>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</si>
  <si>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</si>
  <si>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</si>
  <si>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</si>
  <si>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</si>
  <si>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</si>
  <si>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</si>
  <si>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</si>
  <si>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</si>
  <si>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</si>
  <si>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</si>
  <si>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</si>
  <si>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</si>
  <si>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</si>
  <si>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</si>
  <si>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</si>
  <si>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</si>
  <si>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</si>
  <si>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</si>
  <si>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</si>
  <si>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</si>
  <si>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</si>
  <si>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</si>
  <si>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</si>
  <si>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</si>
  <si>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</si>
  <si>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</si>
  <si>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</si>
  <si>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</si>
  <si>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</si>
  <si>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</si>
  <si>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</si>
  <si>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</si>
  <si>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</si>
  <si>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</si>
  <si>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</si>
  <si>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</si>
  <si>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</si>
  <si>
    <t>Transmitter Module</t>
  </si>
  <si>
    <t>C381208</t>
  </si>
  <si>
    <t>DL-TX1A-433M</t>
  </si>
  <si>
    <t>DreamLNK</t>
  </si>
  <si>
    <t>MTF185-103SY1</t>
  </si>
  <si>
    <t xml:space="preserve">J1 Female 3 pin Vertical Header Se replace kr dia ha for testing Purpose </t>
  </si>
  <si>
    <t>C358717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</si>
</sst>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4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20" fillId="2" borderId="23" xfId="0" applyFont="1" applyFill="1" applyBorder="1" applyAlignment="1">
      <alignment horizontal="center" vertical="center"/>
    </xf>
    <xf numFmtId="0" fontId="19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near-Voltage-Regulators-LDO_Texas-Instruments-LP5900SD-3-3-NOPB_C131975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Tactile-Switches_XKB-Connectivity-TS-1185EC-C-D-B_C318893.html" TargetMode="External"/><Relationship Id="rId12" Type="http://schemas.openxmlformats.org/officeDocument/2006/relationships/hyperlink" Target="https://www.lcsc.com/product-detail/Female-Headers_MINTRON-MTF185-103SY1_C358717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11" Type="http://schemas.openxmlformats.org/officeDocument/2006/relationships/hyperlink" Target="https://www.lcsc.com/product-detail/RF-Modules_DreamLNK-DL-TX1A-433M_C381208.html" TargetMode="External"/><Relationship Id="rId5" Type="http://schemas.openxmlformats.org/officeDocument/2006/relationships/hyperlink" Target="https://www.lcsc.com/product-detail/Ferrite-Beads_TDK-MMZ0603S601CT000_C275404.html" TargetMode="External"/><Relationship Id="rId10" Type="http://schemas.openxmlformats.org/officeDocument/2006/relationships/hyperlink" Target="https://www.lcsc.com/product-detail/Microcontroller-Units-MCUs-MPUs-SOCs_Microchip-Tech-ATTINY1616-MNR_C507118.html" TargetMode="External"/><Relationship Id="rId4" Type="http://schemas.openxmlformats.org/officeDocument/2006/relationships/hyperlink" Target="https://www.lcsc.com/product-detail/Pin-Headers_XFCN-PZ254V-11-05P_C492404.html" TargetMode="External"/><Relationship Id="rId9" Type="http://schemas.openxmlformats.org/officeDocument/2006/relationships/hyperlink" Target="https://www.lcsc.com/product-detail/Pin-Headers_XFCN-PZ254V-11-02P_C492401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3"/>
  <sheetViews>
    <sheetView tabSelected="1" topLeftCell="D1" workbookViewId="0">
      <selection activeCell="J28" sqref="J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2.71093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9"/>
      <c r="D2" s="11" t="s">
        <v>0</v>
      </c>
      <c r="E2" s="11"/>
      <c r="F2" s="49" t="s">
        <v>95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0" t="s">
        <v>96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40"/>
      <c r="D4" s="13" t="s">
        <v>2</v>
      </c>
      <c r="E4" s="13"/>
      <c r="F4" s="51" t="s">
        <v>96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40"/>
      <c r="D5" s="13" t="s">
        <v>3</v>
      </c>
      <c r="E5" s="13"/>
      <c r="F5" s="52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3" t="s">
        <v>94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1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5" t="s">
        <v>82</v>
      </c>
      <c r="P10" s="56">
        <v>3.1399999999999997E-2</v>
      </c>
      <c r="Q10" s="56">
        <f>P10*N10</f>
        <v>0.62799999999999989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64" t="s">
        <v>73</v>
      </c>
      <c r="D11" s="65" t="s">
        <v>8</v>
      </c>
      <c r="E11" s="66" t="s">
        <v>20</v>
      </c>
      <c r="F11" s="65" t="s">
        <v>30</v>
      </c>
      <c r="G11" s="66" t="s">
        <v>41</v>
      </c>
      <c r="H11" s="65" t="s">
        <v>80</v>
      </c>
      <c r="I11" s="65" t="s">
        <v>50</v>
      </c>
      <c r="J11" s="65" t="s">
        <v>83</v>
      </c>
      <c r="K11" s="66" t="s">
        <v>59</v>
      </c>
      <c r="L11" s="65">
        <v>7</v>
      </c>
      <c r="M11" s="65">
        <f t="shared" ref="M11:M21" si="1">L11*5</f>
        <v>35</v>
      </c>
      <c r="N11" s="65">
        <v>100</v>
      </c>
      <c r="O11" s="67" t="s">
        <v>82</v>
      </c>
      <c r="P11" s="68">
        <v>2.7000000000000001E-3</v>
      </c>
      <c r="Q11" s="68">
        <f t="shared" ref="Q11:Q20" si="2">P11*N11</f>
        <v>0.27</v>
      </c>
      <c r="R11" s="69"/>
      <c r="S11" s="65"/>
    </row>
    <row r="12" spans="1:19" ht="15.75" thickBot="1" x14ac:dyDescent="0.3">
      <c r="A12" s="1"/>
      <c r="B12" s="38">
        <f>ROW(B12) - ROW($B$9)</f>
        <v>3</v>
      </c>
      <c r="C12" s="61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5" t="s">
        <v>82</v>
      </c>
      <c r="P12" s="56">
        <v>5.4999999999999997E-3</v>
      </c>
      <c r="Q12" s="56">
        <f t="shared" si="2"/>
        <v>0.27499999999999997</v>
      </c>
      <c r="R12" s="48"/>
      <c r="S12" s="46"/>
    </row>
    <row r="13" spans="1:19" s="89" customFormat="1" ht="48.75" thickBot="1" x14ac:dyDescent="0.3">
      <c r="A13" s="81"/>
      <c r="B13" s="82">
        <f t="shared" si="0"/>
        <v>4</v>
      </c>
      <c r="C13" s="83" t="s">
        <v>74</v>
      </c>
      <c r="D13" s="84" t="s">
        <v>10</v>
      </c>
      <c r="E13" s="85" t="s">
        <v>22</v>
      </c>
      <c r="F13" s="84" t="s">
        <v>79</v>
      </c>
      <c r="G13" s="86" t="s">
        <v>31</v>
      </c>
      <c r="H13" s="84" t="s">
        <v>103</v>
      </c>
      <c r="I13" s="84" t="s">
        <v>51</v>
      </c>
      <c r="J13" s="84" t="s">
        <v>105</v>
      </c>
      <c r="K13" s="85" t="s">
        <v>80</v>
      </c>
      <c r="L13" s="84">
        <v>1</v>
      </c>
      <c r="M13" s="84">
        <f t="shared" si="1"/>
        <v>5</v>
      </c>
      <c r="N13" s="84">
        <v>10</v>
      </c>
      <c r="O13" s="87" t="s">
        <v>82</v>
      </c>
      <c r="P13" s="88">
        <v>3.5799999999999998E-2</v>
      </c>
      <c r="Q13" s="88">
        <f t="shared" si="2"/>
        <v>0.35799999999999998</v>
      </c>
      <c r="R13" s="70" t="s">
        <v>104</v>
      </c>
      <c r="S13" s="84"/>
    </row>
    <row r="14" spans="1:19" ht="15.75" thickBot="1" x14ac:dyDescent="0.3">
      <c r="A14" s="1"/>
      <c r="B14" s="38">
        <f>ROW(B14) - ROW($B$9)</f>
        <v>5</v>
      </c>
      <c r="C14" s="61" t="s">
        <v>74</v>
      </c>
      <c r="D14" s="46" t="s">
        <v>11</v>
      </c>
      <c r="E14" s="47" t="s">
        <v>91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85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5" t="s">
        <v>82</v>
      </c>
      <c r="P14" s="56">
        <v>2.4500000000000001E-2</v>
      </c>
      <c r="Q14" s="56">
        <f t="shared" si="2"/>
        <v>0.49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64" t="s">
        <v>75</v>
      </c>
      <c r="D15" s="65" t="s">
        <v>12</v>
      </c>
      <c r="E15" s="66" t="s">
        <v>23</v>
      </c>
      <c r="F15" s="65" t="s">
        <v>33</v>
      </c>
      <c r="G15" s="66" t="s">
        <v>44</v>
      </c>
      <c r="H15" s="65" t="s">
        <v>80</v>
      </c>
      <c r="I15" s="65" t="s">
        <v>53</v>
      </c>
      <c r="J15" s="65" t="s">
        <v>86</v>
      </c>
      <c r="K15" s="66" t="s">
        <v>80</v>
      </c>
      <c r="L15" s="65">
        <v>1</v>
      </c>
      <c r="M15" s="65">
        <f t="shared" si="1"/>
        <v>5</v>
      </c>
      <c r="N15" s="65">
        <v>50</v>
      </c>
      <c r="O15" s="67" t="s">
        <v>82</v>
      </c>
      <c r="P15" s="68">
        <v>1.3299999999999999E-2</v>
      </c>
      <c r="Q15" s="68">
        <f t="shared" si="2"/>
        <v>0.66499999999999992</v>
      </c>
      <c r="R15" s="69"/>
      <c r="S15" s="65"/>
    </row>
    <row r="16" spans="1:19" ht="15.75" thickBot="1" x14ac:dyDescent="0.3">
      <c r="A16" s="1"/>
      <c r="B16" s="38">
        <f>ROW(B16) - ROW($B$9)</f>
        <v>7</v>
      </c>
      <c r="C16" s="61" t="s">
        <v>74</v>
      </c>
      <c r="D16" s="46" t="s">
        <v>13</v>
      </c>
      <c r="E16" s="47" t="s">
        <v>24</v>
      </c>
      <c r="F16" s="46" t="s">
        <v>34</v>
      </c>
      <c r="G16" s="57">
        <v>61300211121</v>
      </c>
      <c r="H16" s="62" t="s">
        <v>97</v>
      </c>
      <c r="I16" s="46" t="s">
        <v>54</v>
      </c>
      <c r="J16" s="46" t="s">
        <v>98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5" t="s">
        <v>82</v>
      </c>
      <c r="P16" s="56">
        <v>1.35E-2</v>
      </c>
      <c r="Q16" s="56">
        <f t="shared" si="2"/>
        <v>0.67500000000000004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64" t="s">
        <v>76</v>
      </c>
      <c r="D17" s="65" t="s">
        <v>14</v>
      </c>
      <c r="E17" s="66" t="s">
        <v>25</v>
      </c>
      <c r="F17" s="65" t="s">
        <v>35</v>
      </c>
      <c r="G17" s="66" t="s">
        <v>45</v>
      </c>
      <c r="H17" s="65" t="s">
        <v>80</v>
      </c>
      <c r="I17" s="65" t="s">
        <v>50</v>
      </c>
      <c r="J17" s="65" t="s">
        <v>87</v>
      </c>
      <c r="K17" s="66" t="s">
        <v>61</v>
      </c>
      <c r="L17" s="65">
        <v>5</v>
      </c>
      <c r="M17" s="65">
        <f t="shared" si="1"/>
        <v>25</v>
      </c>
      <c r="N17" s="65">
        <v>100</v>
      </c>
      <c r="O17" s="55" t="s">
        <v>82</v>
      </c>
      <c r="P17" s="56">
        <v>1.2999999999999999E-3</v>
      </c>
      <c r="Q17" s="68">
        <f t="shared" si="2"/>
        <v>0.13</v>
      </c>
      <c r="R17" s="69"/>
      <c r="S17" s="65"/>
    </row>
    <row r="18" spans="1:19" ht="36.75" thickBot="1" x14ac:dyDescent="0.3">
      <c r="A18" s="1"/>
      <c r="B18" s="38">
        <f>ROW(B18) - ROW($B$9)</f>
        <v>9</v>
      </c>
      <c r="C18" s="61" t="s">
        <v>77</v>
      </c>
      <c r="D18" s="46" t="s">
        <v>15</v>
      </c>
      <c r="E18" s="47" t="s">
        <v>26</v>
      </c>
      <c r="F18" s="46" t="s">
        <v>79</v>
      </c>
      <c r="G18" s="58" t="s">
        <v>36</v>
      </c>
      <c r="H18" s="46" t="s">
        <v>80</v>
      </c>
      <c r="I18" s="46" t="s">
        <v>55</v>
      </c>
      <c r="J18" s="46" t="s">
        <v>88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5" t="s">
        <v>82</v>
      </c>
      <c r="P18" s="56">
        <v>5.8799999999999998E-2</v>
      </c>
      <c r="Q18" s="56">
        <f t="shared" si="2"/>
        <v>1.764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64" t="s">
        <v>78</v>
      </c>
      <c r="D19" s="65" t="s">
        <v>16</v>
      </c>
      <c r="E19" s="66" t="s">
        <v>27</v>
      </c>
      <c r="F19" s="65" t="s">
        <v>37</v>
      </c>
      <c r="G19" s="66" t="s">
        <v>46</v>
      </c>
      <c r="H19" s="65" t="s">
        <v>80</v>
      </c>
      <c r="I19" s="65" t="s">
        <v>56</v>
      </c>
      <c r="J19" s="65" t="s">
        <v>89</v>
      </c>
      <c r="K19" s="66" t="s">
        <v>80</v>
      </c>
      <c r="L19" s="65">
        <v>1</v>
      </c>
      <c r="M19" s="65">
        <f t="shared" si="1"/>
        <v>5</v>
      </c>
      <c r="N19" s="65">
        <v>6</v>
      </c>
      <c r="O19" s="67" t="s">
        <v>82</v>
      </c>
      <c r="P19" s="68">
        <v>0.70479999999999998</v>
      </c>
      <c r="Q19" s="68">
        <f t="shared" si="2"/>
        <v>4.2287999999999997</v>
      </c>
      <c r="R19" s="69"/>
      <c r="S19" s="65"/>
    </row>
    <row r="20" spans="1:19" ht="15.75" thickBot="1" x14ac:dyDescent="0.3">
      <c r="A20" s="1"/>
      <c r="B20" s="38">
        <f>ROW(B20) - ROW($B$9)</f>
        <v>11</v>
      </c>
      <c r="C20" s="61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4" t="s">
        <v>80</v>
      </c>
      <c r="I20" s="46" t="s">
        <v>57</v>
      </c>
      <c r="J20" s="46" t="s">
        <v>90</v>
      </c>
      <c r="K20" s="47" t="s">
        <v>80</v>
      </c>
      <c r="L20" s="54">
        <v>1</v>
      </c>
      <c r="M20" s="46">
        <f t="shared" si="1"/>
        <v>5</v>
      </c>
      <c r="N20" s="46">
        <v>6</v>
      </c>
      <c r="O20" s="55" t="s">
        <v>82</v>
      </c>
      <c r="P20" s="56">
        <v>0.88460000000000005</v>
      </c>
      <c r="Q20" s="56">
        <f t="shared" si="2"/>
        <v>5.3076000000000008</v>
      </c>
      <c r="R20" s="48"/>
      <c r="S20" s="46"/>
    </row>
    <row r="21" spans="1:19" ht="15.75" thickBot="1" x14ac:dyDescent="0.3">
      <c r="A21" s="1"/>
      <c r="B21" s="38">
        <f t="shared" ref="B21" si="3">ROW(B21) - ROW($B$9)</f>
        <v>12</v>
      </c>
      <c r="C21" s="61" t="s">
        <v>99</v>
      </c>
      <c r="D21" s="46" t="s">
        <v>80</v>
      </c>
      <c r="E21" s="47" t="s">
        <v>80</v>
      </c>
      <c r="F21" s="46" t="s">
        <v>79</v>
      </c>
      <c r="G21" s="47" t="s">
        <v>101</v>
      </c>
      <c r="H21" s="54" t="s">
        <v>80</v>
      </c>
      <c r="I21" s="46" t="s">
        <v>102</v>
      </c>
      <c r="J21" s="46" t="s">
        <v>100</v>
      </c>
      <c r="K21" s="47"/>
      <c r="L21" s="54">
        <v>1</v>
      </c>
      <c r="M21" s="46">
        <f t="shared" si="1"/>
        <v>5</v>
      </c>
      <c r="N21" s="46">
        <v>5</v>
      </c>
      <c r="O21" s="55" t="s">
        <v>82</v>
      </c>
      <c r="P21" s="56">
        <v>1.0251999999999999</v>
      </c>
      <c r="Q21" s="63">
        <f>P21*N21</f>
        <v>5.1259999999999994</v>
      </c>
      <c r="R21" s="48"/>
      <c r="S21" s="46"/>
    </row>
    <row r="22" spans="1:19" ht="19.5" thickBot="1" x14ac:dyDescent="0.3">
      <c r="A22" s="1"/>
      <c r="B22" s="33"/>
      <c r="C22" s="44"/>
      <c r="D22" s="34"/>
      <c r="E22" s="35"/>
      <c r="F22" s="36"/>
      <c r="G22" s="37"/>
      <c r="H22" s="37"/>
      <c r="I22" s="36"/>
      <c r="J22" s="36"/>
      <c r="K22" s="37"/>
      <c r="L22" s="37"/>
      <c r="M22" s="37"/>
      <c r="N22" s="79" t="s">
        <v>92</v>
      </c>
      <c r="O22" s="80"/>
      <c r="P22" s="80"/>
      <c r="Q22" s="59">
        <f>SUM(Q10:Q21)</f>
        <v>19.917400000000001</v>
      </c>
      <c r="R22" s="75"/>
      <c r="S22" s="76"/>
    </row>
    <row r="23" spans="1:19" ht="19.5" thickBot="1" x14ac:dyDescent="0.3">
      <c r="A23" s="1"/>
      <c r="B23" s="25"/>
      <c r="C23" s="45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79" t="s">
        <v>93</v>
      </c>
      <c r="O23" s="80"/>
      <c r="P23" s="80"/>
      <c r="Q23" s="60">
        <f>Q22/5</f>
        <v>3.9834800000000001</v>
      </c>
      <c r="R23" s="77"/>
      <c r="S23" s="78"/>
    </row>
  </sheetData>
  <mergeCells count="5">
    <mergeCell ref="K1:S1"/>
    <mergeCell ref="S3:S8"/>
    <mergeCell ref="R22:S23"/>
    <mergeCell ref="N22:P22"/>
    <mergeCell ref="N23:P23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8" r:id="rId7"/>
    <hyperlink ref="O19" r:id="rId8"/>
    <hyperlink ref="O16" r:id="rId9"/>
    <hyperlink ref="O20" r:id="rId10"/>
    <hyperlink ref="O21" r:id="rId11"/>
    <hyperlink ref="O13" r:id="rId12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2023-03-01T11:02:22Z</dcterms:modified>
</cp:coreProperties>
</file>