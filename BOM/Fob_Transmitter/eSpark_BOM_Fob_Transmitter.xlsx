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Fob_Transmitter\"/>
    </mc:Choice>
  </mc:AlternateContent>
  <xr:revisionPtr revIDLastSave="0" documentId="13_ncr:1_{3325A2C2-1FCA-4EB1-8471-942346E1F328}" xr6:coauthVersionLast="47" xr6:coauthVersionMax="47" xr10:uidLastSave="{00000000-0000-0000-0000-000000000000}"/>
  <bookViews>
    <workbookView xWindow="-5280" yWindow="334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21" i="1" s="1"/>
  <c r="Q22" i="1" s="1"/>
  <c r="Q17" i="1"/>
  <c r="Q18" i="1"/>
  <c r="Q19" i="1"/>
  <c r="Q20" i="1"/>
  <c r="Q10" i="1"/>
  <c r="M11" i="1"/>
  <c r="M12" i="1"/>
  <c r="M13" i="1"/>
  <c r="M14" i="1"/>
  <c r="M15" i="1"/>
  <c r="M16" i="1"/>
  <c r="M17" i="1"/>
  <c r="M18" i="1"/>
  <c r="M19" i="1"/>
  <c r="M20" i="1"/>
  <c r="M10" i="1"/>
  <c r="B20" i="1" l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<sst xmlns="http://schemas.openxmlformats.org/spreadsheetml/2006/main" count="137" uniqueCount="100">
  <si>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</si>
  <si>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</si>
  <si>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</si>
  <si>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</si>
  <si>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</si>
  <si>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</si>
  <si>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</si>
  <si>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</si>
  <si>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</si>
  <si>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</si>
  <si>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</si>
  <si>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</si>
  <si>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</si>
  <si>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</si>
  <si>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</si>
  <si>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</si>
  <si>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</si>
  <si>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</si>
  <si>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</si>
  <si>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</si>
  <si>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</si>
  <si>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</si>
  <si>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</si>
  <si>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</si>
  <si>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</si>
  <si>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</si>
  <si>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</si>
  <si>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</si>
  <si>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</si>
  <si>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</si>
  <si>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</si>
  <si>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</si>
  <si>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</si>
  <si>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</si>
  <si>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</si>
  <si>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</si>
  <si>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</si>
  <si>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</si>
  <si>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</si>
  <si>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</si>
  <si>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</si>
  <si>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</si>
  <si>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</si>
  <si>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</si>
  <si>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</si>
  <si>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</si>
  <si>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</si>
  <si>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</si>
  <si>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</si>
  <si>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</si>
  <si>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</si>
  <si>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</si>
  <si>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</si>
  <si>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</si>
  <si>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</si>
  <si>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</si>
  <si>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</si>
  <si>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</si>
  <si>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</si>
  <si>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</si>
  <si>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</si>
  <si>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</si>
  <si>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</si>
  <si>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</si>
  <si>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</si>
  <si>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</si>
  <si>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</si>
  <si>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</si>
  <si>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</si>
  <si>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</si>
  <si>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</si>
  <si>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</si>
  <si>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</si>
  <si>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</si>
  <si>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</si>
  <si>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</si>
  <si>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</si>
  <si>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</si>
  <si>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</si>
  <si>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</si>
  <si>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</si>
  <si>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</si>
  <si>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</si>
  <si>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</si>
  <si>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</si>
  <si>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C2935993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</si>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</sst>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9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actile-Switches_XKB-Connectivity-TS-1185EC-C-D-B_C318893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Chip-Resistor-Surface-Mount_YAGEO-RC0603FR-074K7L_C99782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Ferrite-Beads_TDK-MMZ0603S601CT000_C275404.html" TargetMode="External"/><Relationship Id="rId11" Type="http://schemas.openxmlformats.org/officeDocument/2006/relationships/hyperlink" Target="https://www.lcsc.com/product-detail/Pin-Headers_XFCN-PZ254V-11-02P_C492401.html" TargetMode="External"/><Relationship Id="rId5" Type="http://schemas.openxmlformats.org/officeDocument/2006/relationships/hyperlink" Target="https://www.lcsc.com/product-detail/Pin-Headers_XFCN-PZ254V-11-05P_C492404.html" TargetMode="External"/><Relationship Id="rId10" Type="http://schemas.openxmlformats.org/officeDocument/2006/relationships/hyperlink" Target="https://www.lcsc.com/product-detail/Microcontroller-Units-MCUs-MPUs-SOCs_Microchip-Tech-ATTINY1616-MNR_C507118.html" TargetMode="External"/><Relationship Id="rId4" Type="http://schemas.openxmlformats.org/officeDocument/2006/relationships/hyperlink" Target="https://www.lcsc.com/product-detail/Female-Headers_DEALON-DW254W-11-03-85_C2935993.html" TargetMode="External"/><Relationship Id="rId9" Type="http://schemas.openxmlformats.org/officeDocument/2006/relationships/hyperlink" Target="https://www.lcsc.com/product-detail/Linear-Voltage-Regulators-LDO_Texas-Instruments-LP5900SD-3-3-NOPB_C1319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2"/>
  <sheetViews>
    <sheetView tabSelected="1" workbookViewId="0">
      <selection activeCell="D30" sqref="D3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52" t="s">
        <v>96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3" t="s">
        <v>97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4" t="s">
        <v>97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40"/>
      <c r="D5" s="13" t="s">
        <v>3</v>
      </c>
      <c r="E5" s="13"/>
      <c r="F5" s="55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6" t="s">
        <v>95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9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8" t="s">
        <v>82</v>
      </c>
      <c r="P10" s="59">
        <v>3.49E-2</v>
      </c>
      <c r="Q10" s="59">
        <f>P10*N10</f>
        <v>0.69799999999999995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70" t="s">
        <v>73</v>
      </c>
      <c r="D11" s="49" t="s">
        <v>8</v>
      </c>
      <c r="E11" s="50" t="s">
        <v>20</v>
      </c>
      <c r="F11" s="49" t="s">
        <v>30</v>
      </c>
      <c r="G11" s="50" t="s">
        <v>41</v>
      </c>
      <c r="H11" s="49" t="s">
        <v>80</v>
      </c>
      <c r="I11" s="49" t="s">
        <v>50</v>
      </c>
      <c r="J11" s="49" t="s">
        <v>83</v>
      </c>
      <c r="K11" s="50" t="s">
        <v>59</v>
      </c>
      <c r="L11" s="49">
        <v>7</v>
      </c>
      <c r="M11" s="49">
        <f t="shared" ref="M11:M20" si="1">L11*5</f>
        <v>35</v>
      </c>
      <c r="N11" s="49">
        <v>100</v>
      </c>
      <c r="O11" s="61" t="s">
        <v>82</v>
      </c>
      <c r="P11" s="60">
        <v>3.3999999999999998E-3</v>
      </c>
      <c r="Q11" s="60">
        <f t="shared" ref="Q11:Q20" si="2">P11*N11</f>
        <v>0.33999999999999997</v>
      </c>
      <c r="R11" s="51"/>
      <c r="S11" s="49"/>
    </row>
    <row r="12" spans="1:19" ht="15.75" thickBot="1" x14ac:dyDescent="0.3">
      <c r="A12" s="1"/>
      <c r="B12" s="38">
        <f>ROW(B12) - ROW($B$9)</f>
        <v>3</v>
      </c>
      <c r="C12" s="69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8" t="s">
        <v>82</v>
      </c>
      <c r="P12" s="59">
        <v>5.8999999999999999E-3</v>
      </c>
      <c r="Q12" s="59">
        <f t="shared" si="2"/>
        <v>0.29499999999999998</v>
      </c>
      <c r="R12" s="48"/>
      <c r="S12" s="46"/>
    </row>
    <row r="13" spans="1:19" ht="24.75" thickBot="1" x14ac:dyDescent="0.3">
      <c r="A13" s="1"/>
      <c r="B13" s="38">
        <f t="shared" si="0"/>
        <v>4</v>
      </c>
      <c r="C13" s="70" t="s">
        <v>74</v>
      </c>
      <c r="D13" s="49" t="s">
        <v>10</v>
      </c>
      <c r="E13" s="50" t="s">
        <v>22</v>
      </c>
      <c r="F13" s="49" t="s">
        <v>79</v>
      </c>
      <c r="G13" s="63" t="s">
        <v>31</v>
      </c>
      <c r="H13" s="49" t="s">
        <v>80</v>
      </c>
      <c r="I13" s="49" t="s">
        <v>51</v>
      </c>
      <c r="J13" s="49" t="s">
        <v>85</v>
      </c>
      <c r="K13" s="50" t="s">
        <v>80</v>
      </c>
      <c r="L13" s="49">
        <v>1</v>
      </c>
      <c r="M13" s="49">
        <f t="shared" si="1"/>
        <v>5</v>
      </c>
      <c r="N13" s="49">
        <v>10</v>
      </c>
      <c r="O13" s="61" t="s">
        <v>82</v>
      </c>
      <c r="P13" s="60">
        <v>5.67E-2</v>
      </c>
      <c r="Q13" s="60">
        <f t="shared" si="2"/>
        <v>0.56699999999999995</v>
      </c>
      <c r="R13" s="51"/>
      <c r="S13" s="49"/>
    </row>
    <row r="14" spans="1:19" ht="15.75" thickBot="1" x14ac:dyDescent="0.3">
      <c r="A14" s="1"/>
      <c r="B14" s="38">
        <f>ROW(B14) - ROW($B$9)</f>
        <v>5</v>
      </c>
      <c r="C14" s="69" t="s">
        <v>74</v>
      </c>
      <c r="D14" s="46" t="s">
        <v>11</v>
      </c>
      <c r="E14" s="47" t="s">
        <v>92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86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8" t="s">
        <v>82</v>
      </c>
      <c r="P14" s="59">
        <v>2.7400000000000001E-2</v>
      </c>
      <c r="Q14" s="59">
        <f t="shared" si="2"/>
        <v>0.54800000000000004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70" t="s">
        <v>75</v>
      </c>
      <c r="D15" s="49" t="s">
        <v>12</v>
      </c>
      <c r="E15" s="50" t="s">
        <v>23</v>
      </c>
      <c r="F15" s="49" t="s">
        <v>33</v>
      </c>
      <c r="G15" s="50" t="s">
        <v>44</v>
      </c>
      <c r="H15" s="49" t="s">
        <v>80</v>
      </c>
      <c r="I15" s="49" t="s">
        <v>53</v>
      </c>
      <c r="J15" s="49" t="s">
        <v>87</v>
      </c>
      <c r="K15" s="50" t="s">
        <v>80</v>
      </c>
      <c r="L15" s="49">
        <v>1</v>
      </c>
      <c r="M15" s="49">
        <f t="shared" si="1"/>
        <v>5</v>
      </c>
      <c r="N15" s="49">
        <v>50</v>
      </c>
      <c r="O15" s="61" t="s">
        <v>82</v>
      </c>
      <c r="P15" s="60">
        <v>1.47E-2</v>
      </c>
      <c r="Q15" s="60">
        <f t="shared" si="2"/>
        <v>0.73499999999999999</v>
      </c>
      <c r="R15" s="51"/>
      <c r="S15" s="49"/>
    </row>
    <row r="16" spans="1:19" ht="15.75" thickBot="1" x14ac:dyDescent="0.3">
      <c r="A16" s="1"/>
      <c r="B16" s="38">
        <f>ROW(B16) - ROW($B$9)</f>
        <v>7</v>
      </c>
      <c r="C16" s="69" t="s">
        <v>74</v>
      </c>
      <c r="D16" s="46" t="s">
        <v>13</v>
      </c>
      <c r="E16" s="47" t="s">
        <v>24</v>
      </c>
      <c r="F16" s="46" t="s">
        <v>34</v>
      </c>
      <c r="G16" s="62">
        <v>61300211121</v>
      </c>
      <c r="H16" s="81" t="s">
        <v>98</v>
      </c>
      <c r="I16" s="46" t="s">
        <v>54</v>
      </c>
      <c r="J16" s="46" t="s">
        <v>99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8" t="s">
        <v>82</v>
      </c>
      <c r="P16" s="59">
        <v>1.2E-2</v>
      </c>
      <c r="Q16" s="59">
        <f t="shared" si="2"/>
        <v>0.6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70" t="s">
        <v>76</v>
      </c>
      <c r="D17" s="49" t="s">
        <v>14</v>
      </c>
      <c r="E17" s="50" t="s">
        <v>25</v>
      </c>
      <c r="F17" s="49" t="s">
        <v>35</v>
      </c>
      <c r="G17" s="50" t="s">
        <v>45</v>
      </c>
      <c r="H17" s="49" t="s">
        <v>80</v>
      </c>
      <c r="I17" s="49" t="s">
        <v>50</v>
      </c>
      <c r="J17" s="49" t="s">
        <v>88</v>
      </c>
      <c r="K17" s="50" t="s">
        <v>61</v>
      </c>
      <c r="L17" s="49">
        <v>5</v>
      </c>
      <c r="M17" s="49">
        <f t="shared" si="1"/>
        <v>25</v>
      </c>
      <c r="N17" s="49">
        <v>100</v>
      </c>
      <c r="O17" s="65" t="s">
        <v>82</v>
      </c>
      <c r="P17" s="66">
        <v>1.5E-3</v>
      </c>
      <c r="Q17" s="60">
        <f t="shared" si="2"/>
        <v>0.15</v>
      </c>
      <c r="R17" s="51"/>
      <c r="S17" s="49"/>
    </row>
    <row r="18" spans="1:19" ht="36.75" thickBot="1" x14ac:dyDescent="0.3">
      <c r="A18" s="1"/>
      <c r="B18" s="38">
        <f>ROW(B18) - ROW($B$9)</f>
        <v>9</v>
      </c>
      <c r="C18" s="69" t="s">
        <v>77</v>
      </c>
      <c r="D18" s="46" t="s">
        <v>15</v>
      </c>
      <c r="E18" s="47" t="s">
        <v>26</v>
      </c>
      <c r="F18" s="46" t="s">
        <v>79</v>
      </c>
      <c r="G18" s="64" t="s">
        <v>36</v>
      </c>
      <c r="H18" s="46" t="s">
        <v>80</v>
      </c>
      <c r="I18" s="46" t="s">
        <v>55</v>
      </c>
      <c r="J18" s="46" t="s">
        <v>89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8" t="s">
        <v>82</v>
      </c>
      <c r="P18" s="59">
        <v>6.4500000000000002E-2</v>
      </c>
      <c r="Q18" s="59">
        <f t="shared" si="2"/>
        <v>1.9350000000000001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70" t="s">
        <v>78</v>
      </c>
      <c r="D19" s="49" t="s">
        <v>16</v>
      </c>
      <c r="E19" s="50" t="s">
        <v>27</v>
      </c>
      <c r="F19" s="49" t="s">
        <v>37</v>
      </c>
      <c r="G19" s="50" t="s">
        <v>46</v>
      </c>
      <c r="H19" s="49" t="s">
        <v>80</v>
      </c>
      <c r="I19" s="49" t="s">
        <v>56</v>
      </c>
      <c r="J19" s="49" t="s">
        <v>90</v>
      </c>
      <c r="K19" s="50" t="s">
        <v>80</v>
      </c>
      <c r="L19" s="49">
        <v>1</v>
      </c>
      <c r="M19" s="49">
        <f t="shared" si="1"/>
        <v>5</v>
      </c>
      <c r="N19" s="49">
        <v>6</v>
      </c>
      <c r="O19" s="61" t="s">
        <v>82</v>
      </c>
      <c r="P19" s="60">
        <v>0.7863</v>
      </c>
      <c r="Q19" s="60">
        <f t="shared" si="2"/>
        <v>4.7178000000000004</v>
      </c>
      <c r="R19" s="51"/>
      <c r="S19" s="49"/>
    </row>
    <row r="20" spans="1:19" ht="15.75" thickBot="1" x14ac:dyDescent="0.3">
      <c r="A20" s="1"/>
      <c r="B20" s="38">
        <f>ROW(B20) - ROW($B$9)</f>
        <v>11</v>
      </c>
      <c r="C20" s="69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7" t="s">
        <v>80</v>
      </c>
      <c r="I20" s="46" t="s">
        <v>57</v>
      </c>
      <c r="J20" s="46" t="s">
        <v>91</v>
      </c>
      <c r="K20" s="47" t="s">
        <v>80</v>
      </c>
      <c r="L20" s="57">
        <v>1</v>
      </c>
      <c r="M20" s="46">
        <f t="shared" si="1"/>
        <v>5</v>
      </c>
      <c r="N20" s="46">
        <v>6</v>
      </c>
      <c r="O20" s="58" t="s">
        <v>82</v>
      </c>
      <c r="P20" s="59">
        <v>0.96660000000000001</v>
      </c>
      <c r="Q20" s="59">
        <f t="shared" si="2"/>
        <v>5.7995999999999999</v>
      </c>
      <c r="R20" s="48"/>
      <c r="S20" s="46"/>
    </row>
    <row r="21" spans="1:19" ht="19.5" thickBot="1" x14ac:dyDescent="0.3">
      <c r="A21" s="1"/>
      <c r="B21" s="33"/>
      <c r="C21" s="44"/>
      <c r="D21" s="34"/>
      <c r="E21" s="35"/>
      <c r="F21" s="36"/>
      <c r="G21" s="37"/>
      <c r="H21" s="37"/>
      <c r="I21" s="36"/>
      <c r="J21" s="36"/>
      <c r="K21" s="37"/>
      <c r="L21" s="37"/>
      <c r="M21" s="37"/>
      <c r="N21" s="79" t="s">
        <v>93</v>
      </c>
      <c r="O21" s="80"/>
      <c r="P21" s="80"/>
      <c r="Q21" s="67">
        <f>SUM(Q10:Q20)</f>
        <v>16.385399999999997</v>
      </c>
      <c r="R21" s="75"/>
      <c r="S21" s="76"/>
    </row>
    <row r="22" spans="1:19" ht="19.5" thickBot="1" x14ac:dyDescent="0.3">
      <c r="A22" s="1"/>
      <c r="B22" s="25"/>
      <c r="C22" s="45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79" t="s">
        <v>94</v>
      </c>
      <c r="O22" s="80"/>
      <c r="P22" s="80"/>
      <c r="Q22" s="68">
        <f>Q21/5</f>
        <v>3.2770799999999993</v>
      </c>
      <c r="R22" s="77"/>
      <c r="S22" s="78"/>
    </row>
  </sheetData>
  <mergeCells count="5">
    <mergeCell ref="K1:S1"/>
    <mergeCell ref="S3:S8"/>
    <mergeCell ref="R21:S22"/>
    <mergeCell ref="N21:P21"/>
    <mergeCell ref="N22:P22"/>
  </mergeCells>
  <hyperlinks>
    <hyperlink ref="O10" r:id="rId1" xr:uid="{9B08C246-1443-476F-8400-7BF3E1401704}"/>
    <hyperlink ref="O11" r:id="rId2" xr:uid="{B8781B98-3701-4BDE-BA8A-0948A879AEBE}"/>
    <hyperlink ref="O12" r:id="rId3" xr:uid="{6083E340-8613-4175-983D-DF68D511270B}"/>
    <hyperlink ref="O13" r:id="rId4" xr:uid="{4D21958E-FFB1-43C1-B536-08A12923A302}"/>
    <hyperlink ref="O14" r:id="rId5" xr:uid="{F5C5D409-72B6-4546-9CBC-54F64848BBEA}"/>
    <hyperlink ref="O15" r:id="rId6" xr:uid="{3C85C19D-6630-420B-9B9F-252B3AD39A5C}"/>
    <hyperlink ref="O17" r:id="rId7" xr:uid="{43FF55F8-7B69-4F51-A753-0C2F1852F8FC}"/>
    <hyperlink ref="O18" r:id="rId8" xr:uid="{149427FE-4837-4C89-82FC-B3262B718FBA}"/>
    <hyperlink ref="O19" r:id="rId9" xr:uid="{F0C766FB-E9F8-4AC6-97DF-8CEDF3D649EC}"/>
    <hyperlink ref="O20" r:id="rId10" xr:uid="{B20A26D6-3091-4797-B290-C5FE7261CE34}"/>
    <hyperlink ref="O16" r:id="rId11" xr:uid="{361F3121-5AA2-4220-A37E-D4519C47E9D6}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2022-09-07T17:00:05Z</dcterms:modified>
</cp:coreProperties>
</file>