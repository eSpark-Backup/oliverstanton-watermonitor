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Mains_Board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<sst xmlns="http://schemas.openxmlformats.org/spreadsheetml/2006/main" count="101" uniqueCount="82">
  <si>
    <t>#</t>
  </si>
  <si>
    <t>Item Type</t>
  </si>
  <si>
    <t>Capacitor</t>
  </si>
  <si>
    <t>Diodes</t>
  </si>
  <si>
    <t>Diode</t>
  </si>
  <si>
    <t>Connector</t>
  </si>
  <si>
    <t>Terminal Blocks</t>
  </si>
  <si>
    <t>RELAY</t>
  </si>
  <si>
    <t>Mosfet</t>
  </si>
  <si>
    <t>Resistor</t>
  </si>
  <si>
    <t>IC</t>
  </si>
  <si>
    <t>Designator</t>
  </si>
  <si>
    <t>C1</t>
  </si>
  <si>
    <t>D1, D2</t>
  </si>
  <si>
    <t>D3</t>
  </si>
  <si>
    <t>D4</t>
  </si>
  <si>
    <t>J1</t>
  </si>
  <si>
    <t>J2, J3, J4</t>
  </si>
  <si>
    <t>K1, K2</t>
  </si>
  <si>
    <t>Q1, Q2</t>
  </si>
  <si>
    <t>R1, R2, R3</t>
  </si>
  <si>
    <t>R4, R5</t>
  </si>
  <si>
    <t>R6, R7</t>
  </si>
  <si>
    <t>R8, R9</t>
  </si>
  <si>
    <t>U1</t>
  </si>
  <si>
    <t>Description</t>
  </si>
  <si>
    <t>CAP CER 0.1UF 50V X5R 0402</t>
  </si>
  <si>
    <t>DIODE SCHOTTKY 100V 1A SMA</t>
  </si>
  <si>
    <t>Independent Type 2.5V~2.9V 500mW 2.7V LL-34 Zener Diodes ROHS</t>
  </si>
  <si>
    <t>DIODE ZENER 3.3V 200MW SOD323F</t>
  </si>
  <si>
    <t>1x6P 6P PicoBlade(MX 1.25) Tin 6 -25℃~+85℃ 2A 1 1.25mm Brass Surface Mount,Vertical SMD,P=1.25mm Wire To Board Connector ROHS</t>
  </si>
  <si>
    <t>TERMINAL BLOCK, SCREW TYPE, 5.08</t>
  </si>
  <si>
    <t>RELAY GEN PURPOSE SPST 23A 12V</t>
  </si>
  <si>
    <t>60V 3A 1.7W 86mΩ@10V,3A N Channel SOT-23(TO-236) MOSFETs ROHS</t>
  </si>
  <si>
    <t>RES 0 OHM JUMPER 1/10W 0603</t>
  </si>
  <si>
    <t>RES 1K OHM 5% 1/16W 0402</t>
  </si>
  <si>
    <t>RES SMD 47K OHM 0.1% 1/16W 0402</t>
  </si>
  <si>
    <t>RES 220K OHM 1% 1/10W 0603</t>
  </si>
  <si>
    <t>OPTOISOLATOR 5.3KV TRANS 4SMD</t>
  </si>
  <si>
    <t>Footprint</t>
  </si>
  <si>
    <t>Cap-0402</t>
  </si>
  <si>
    <t>SMA</t>
  </si>
  <si>
    <t>LL-34</t>
  </si>
  <si>
    <t>SOD323F</t>
  </si>
  <si>
    <t>HC-1.25-6PLT</t>
  </si>
  <si>
    <t>TB008A-508-02BE</t>
  </si>
  <si>
    <t>G2RL-1A-E2-CV-HA DC12</t>
  </si>
  <si>
    <t>SOT-23</t>
  </si>
  <si>
    <t>Res-0603</t>
  </si>
  <si>
    <t>Res-0402</t>
  </si>
  <si>
    <t>SFH6156-2</t>
  </si>
  <si>
    <t>Manufacturer Part Number</t>
  </si>
  <si>
    <t>C1005X5R1H104K050BB</t>
  </si>
  <si>
    <t>STPS1H100A</t>
  </si>
  <si>
    <t>ZMM2V7</t>
  </si>
  <si>
    <t>MM3Z3V3B</t>
  </si>
  <si>
    <t>SI2310-HXY</t>
  </si>
  <si>
    <t>RC0603JR-070RL</t>
  </si>
  <si>
    <t>RC0402JR-071KL</t>
  </si>
  <si>
    <t>RT0402BRE0747KL</t>
  </si>
  <si>
    <t>RC0603FR-07220KL</t>
  </si>
  <si>
    <t>Manufacturer</t>
  </si>
  <si>
    <t>TDK</t>
  </si>
  <si>
    <t>STMicroelectronics</t>
  </si>
  <si>
    <t>HXY MOSFET</t>
  </si>
  <si>
    <t>ON Semiconductor / Fairchild</t>
  </si>
  <si>
    <t>HCTL</t>
  </si>
  <si>
    <t>Same Sky</t>
  </si>
  <si>
    <t>HXY</t>
  </si>
  <si>
    <t>Yageo</t>
  </si>
  <si>
    <t>Vishay</t>
  </si>
  <si>
    <t>0.1uF</t>
  </si>
  <si>
    <t>0R</t>
  </si>
  <si>
    <t>1K</t>
  </si>
  <si>
    <t>47K</t>
  </si>
  <si>
    <t>220K</t>
  </si>
  <si>
    <t>Quantity</t>
  </si>
  <si>
    <t>Remarks</t>
  </si>
  <si>
    <t>Value</t>
  </si>
  <si>
    <t>-</t>
  </si>
  <si>
    <t>Custom</t>
  </si>
  <si>
    <t>Omron Electronics Inc-EMC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</si>
</sst>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5"/>
  <sheetViews>
    <sheetView tabSelected="1" workbookViewId="0">
      <selection activeCell="N14" sqref="N1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11</v>
      </c>
      <c r="E2" s="6" t="s">
        <v>25</v>
      </c>
      <c r="F2" s="5" t="s">
        <v>39</v>
      </c>
      <c r="G2" s="6" t="s">
        <v>51</v>
      </c>
      <c r="H2" s="5" t="s">
        <v>61</v>
      </c>
      <c r="I2" s="6" t="s">
        <v>78</v>
      </c>
      <c r="J2" s="5" t="s">
        <v>76</v>
      </c>
      <c r="K2" s="5" t="s">
        <v>77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12</v>
      </c>
      <c r="E3" s="8" t="s">
        <v>26</v>
      </c>
      <c r="F3" s="7" t="s">
        <v>40</v>
      </c>
      <c r="G3" s="8" t="s">
        <v>52</v>
      </c>
      <c r="H3" s="7" t="s">
        <v>62</v>
      </c>
      <c r="I3" s="8" t="s">
        <v>71</v>
      </c>
      <c r="J3" s="7">
        <v>1</v>
      </c>
      <c r="K3" s="7"/>
    </row>
    <row r="4" spans="1:11" ht="15.75" thickBot="1" x14ac:dyDescent="0.3">
      <c r="A4" s="1"/>
      <c r="B4" s="11">
        <f t="shared" ref="B4:B14" si="0">ROW(B4) - ROW($B$2)</f>
        <v>2</v>
      </c>
      <c r="C4" s="13" t="s">
        <v>3</v>
      </c>
      <c r="D4" s="9" t="s">
        <v>13</v>
      </c>
      <c r="E4" s="10" t="s">
        <v>27</v>
      </c>
      <c r="F4" s="9" t="s">
        <v>41</v>
      </c>
      <c r="G4" s="10" t="s">
        <v>53</v>
      </c>
      <c r="H4" s="9" t="s">
        <v>63</v>
      </c>
      <c r="I4" s="10" t="s">
        <v>79</v>
      </c>
      <c r="J4" s="9">
        <v>2</v>
      </c>
      <c r="K4" s="9"/>
    </row>
    <row r="5" spans="1:11" ht="24.75" thickBot="1" x14ac:dyDescent="0.3">
      <c r="A5" s="1"/>
      <c r="B5" s="11">
        <f>ROW(B5) - ROW($B$2)</f>
        <v>3</v>
      </c>
      <c r="C5" s="12" t="s">
        <v>4</v>
      </c>
      <c r="D5" s="7" t="s">
        <v>14</v>
      </c>
      <c r="E5" s="8" t="s">
        <v>28</v>
      </c>
      <c r="F5" s="7" t="s">
        <v>42</v>
      </c>
      <c r="G5" s="8" t="s">
        <v>54</v>
      </c>
      <c r="H5" s="7" t="s">
        <v>64</v>
      </c>
      <c r="I5" s="10" t="s">
        <v>79</v>
      </c>
      <c r="J5" s="7">
        <v>1</v>
      </c>
      <c r="K5" s="7"/>
    </row>
    <row r="6" spans="1:11" ht="24.75" thickBot="1" x14ac:dyDescent="0.3">
      <c r="A6" s="1"/>
      <c r="B6" s="11">
        <f t="shared" si="0"/>
        <v>4</v>
      </c>
      <c r="C6" s="13" t="s">
        <v>4</v>
      </c>
      <c r="D6" s="9" t="s">
        <v>15</v>
      </c>
      <c r="E6" s="10" t="s">
        <v>29</v>
      </c>
      <c r="F6" s="9" t="s">
        <v>43</v>
      </c>
      <c r="G6" s="10" t="s">
        <v>55</v>
      </c>
      <c r="H6" s="9" t="s">
        <v>65</v>
      </c>
      <c r="I6" s="10" t="s">
        <v>79</v>
      </c>
      <c r="J6" s="9">
        <v>1</v>
      </c>
      <c r="K6" s="9"/>
    </row>
    <row r="7" spans="1:11" ht="60.75" thickBot="1" x14ac:dyDescent="0.3">
      <c r="A7" s="1"/>
      <c r="B7" s="11">
        <f>ROW(B7) - ROW($B$2)</f>
        <v>5</v>
      </c>
      <c r="C7" s="12" t="s">
        <v>5</v>
      </c>
      <c r="D7" s="7" t="s">
        <v>16</v>
      </c>
      <c r="E7" s="8" t="s">
        <v>30</v>
      </c>
      <c r="F7" s="9" t="s">
        <v>80</v>
      </c>
      <c r="G7" s="8" t="s">
        <v>44</v>
      </c>
      <c r="H7" s="7" t="s">
        <v>66</v>
      </c>
      <c r="I7" s="10" t="s">
        <v>79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6</v>
      </c>
      <c r="D8" s="9" t="s">
        <v>17</v>
      </c>
      <c r="E8" s="10" t="s">
        <v>31</v>
      </c>
      <c r="F8" s="9" t="s">
        <v>80</v>
      </c>
      <c r="G8" s="10" t="s">
        <v>45</v>
      </c>
      <c r="H8" s="9" t="s">
        <v>67</v>
      </c>
      <c r="I8" s="10" t="s">
        <v>79</v>
      </c>
      <c r="J8" s="9">
        <v>3</v>
      </c>
      <c r="K8" s="9"/>
    </row>
    <row r="9" spans="1:11" ht="24.75" thickBot="1" x14ac:dyDescent="0.3">
      <c r="A9" s="1"/>
      <c r="B9" s="11">
        <f>ROW(B9) - ROW($B$2)</f>
        <v>7</v>
      </c>
      <c r="C9" s="12" t="s">
        <v>7</v>
      </c>
      <c r="D9" s="7" t="s">
        <v>18</v>
      </c>
      <c r="E9" s="8" t="s">
        <v>32</v>
      </c>
      <c r="F9" s="9" t="s">
        <v>80</v>
      </c>
      <c r="G9" s="8" t="s">
        <v>46</v>
      </c>
      <c r="H9" s="7" t="s">
        <v>81</v>
      </c>
      <c r="I9" s="10" t="s">
        <v>79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8</v>
      </c>
      <c r="D10" s="9" t="s">
        <v>19</v>
      </c>
      <c r="E10" s="10" t="s">
        <v>33</v>
      </c>
      <c r="F10" s="9" t="s">
        <v>47</v>
      </c>
      <c r="G10" s="10" t="s">
        <v>56</v>
      </c>
      <c r="H10" s="9" t="s">
        <v>68</v>
      </c>
      <c r="I10" s="10" t="s">
        <v>79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9</v>
      </c>
      <c r="D11" s="7" t="s">
        <v>20</v>
      </c>
      <c r="E11" s="8" t="s">
        <v>34</v>
      </c>
      <c r="F11" s="7" t="s">
        <v>48</v>
      </c>
      <c r="G11" s="8" t="s">
        <v>57</v>
      </c>
      <c r="H11" s="7" t="s">
        <v>69</v>
      </c>
      <c r="I11" s="8" t="s">
        <v>72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9</v>
      </c>
      <c r="D12" s="9" t="s">
        <v>21</v>
      </c>
      <c r="E12" s="10" t="s">
        <v>35</v>
      </c>
      <c r="F12" s="9" t="s">
        <v>49</v>
      </c>
      <c r="G12" s="10" t="s">
        <v>58</v>
      </c>
      <c r="H12" s="9" t="s">
        <v>69</v>
      </c>
      <c r="I12" s="10" t="s">
        <v>73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9</v>
      </c>
      <c r="D13" s="7" t="s">
        <v>22</v>
      </c>
      <c r="E13" s="8" t="s">
        <v>36</v>
      </c>
      <c r="F13" s="7" t="s">
        <v>49</v>
      </c>
      <c r="G13" s="8" t="s">
        <v>59</v>
      </c>
      <c r="H13" s="7" t="s">
        <v>69</v>
      </c>
      <c r="I13" s="8" t="s">
        <v>74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9</v>
      </c>
      <c r="D14" s="9" t="s">
        <v>23</v>
      </c>
      <c r="E14" s="10" t="s">
        <v>37</v>
      </c>
      <c r="F14" s="9" t="s">
        <v>48</v>
      </c>
      <c r="G14" s="10" t="s">
        <v>60</v>
      </c>
      <c r="H14" s="9" t="s">
        <v>69</v>
      </c>
      <c r="I14" s="10" t="s">
        <v>75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10</v>
      </c>
      <c r="D15" s="7" t="s">
        <v>24</v>
      </c>
      <c r="E15" s="8" t="s">
        <v>38</v>
      </c>
      <c r="F15" s="9" t="s">
        <v>80</v>
      </c>
      <c r="G15" s="8" t="s">
        <v>50</v>
      </c>
      <c r="H15" s="7" t="s">
        <v>70</v>
      </c>
      <c r="I15" s="8" t="s">
        <v>79</v>
      </c>
      <c r="J15" s="7">
        <v>1</v>
      </c>
      <c r="K1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2025-07-23T09:32:24Z</dcterms:modified>
</cp:coreProperties>
</file>