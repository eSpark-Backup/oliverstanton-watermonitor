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500" activeTab="1"/>
  </bookViews>
  <sheets>
    <sheet name="5 Boards" sheetId="1" r:id="rId1"/>
    <sheet name="10 Boards" sheetId="3" r:id="rId2"/>
    <sheet name="100 Board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<sst xmlns="http://schemas.openxmlformats.org/spreadsheetml/2006/main" count="446" uniqueCount="114">
  <si>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</si>
  <si>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</si>
  <si>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</si>
  <si>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</si>
  <si>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</si>
  <si>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</si>
  <si>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</si>
  <si>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</si>
  <si>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</si>
  <si>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</si>
  <si>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</si>
  <si>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</si>
  <si>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</si>
  <si>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</si>
  <si>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</si>
  <si>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</si>
  <si>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 xml:space="preserve"> Remarks</t>
  </si>
  <si>
    <t>Capacitor</t>
  </si>
  <si>
    <t>C1</t>
  </si>
  <si>
    <t>CAP CER 0.1UF 50V X5R 0402</t>
  </si>
  <si>
    <t>Cap-0402</t>
  </si>
  <si>
    <t>C1005X5R1H104K050BB</t>
  </si>
  <si>
    <t>TDK</t>
  </si>
  <si>
    <t>-</t>
  </si>
  <si>
    <t>C2181865</t>
  </si>
  <si>
    <t>0.1uF</t>
  </si>
  <si>
    <t>LCSC</t>
  </si>
  <si>
    <t>Diodes</t>
  </si>
  <si>
    <t>D1, D2</t>
  </si>
  <si>
    <t>DIODE SCHOTTKY 100V 1A SMA</t>
  </si>
  <si>
    <t>SMA</t>
  </si>
  <si>
    <t>STPS1H100A</t>
  </si>
  <si>
    <t>STMicroelectronics</t>
  </si>
  <si>
    <t>C165701</t>
  </si>
  <si>
    <t>Diode</t>
  </si>
  <si>
    <t>D3</t>
  </si>
  <si>
    <t>Independent Type 2.5V~2.9V 500mW 2.7V LL-34 Zener Diodes ROHS</t>
  </si>
  <si>
    <t>LL-34</t>
  </si>
  <si>
    <t>ZMM2V7</t>
  </si>
  <si>
    <t>HXY MOSFET</t>
  </si>
  <si>
    <t>C2891738</t>
  </si>
  <si>
    <t>D4</t>
  </si>
  <si>
    <t>DIODE ZENER 3.3V 200MW SOD323F</t>
  </si>
  <si>
    <t>SOD323F</t>
  </si>
  <si>
    <t>MM3Z3V3B</t>
  </si>
  <si>
    <t>ON Semiconductor / Fairchild</t>
  </si>
  <si>
    <t>C2978865</t>
  </si>
  <si>
    <t>Connector</t>
  </si>
  <si>
    <t>J1</t>
  </si>
  <si>
    <t>1x6P 6P PicoBlade(MX 1.25) Tin 6 -25℃~+85℃ 2A 1 1.25mm Brass Surface Mount,Vertical SMD,P=1.25mm Wire To Board Connector ROHS</t>
  </si>
  <si>
    <t>Custom</t>
  </si>
  <si>
    <t>HC-1.25-6PLT</t>
  </si>
  <si>
    <t>HCTL</t>
  </si>
  <si>
    <t>C2845392</t>
  </si>
  <si>
    <t>Terminal Blocks</t>
  </si>
  <si>
    <t>J2, J3, J4</t>
  </si>
  <si>
    <t>TERMINAL BLOCK, SCREW TYPE, 5.08</t>
  </si>
  <si>
    <t>TB008A-508-02BE</t>
  </si>
  <si>
    <t>Same Sky</t>
  </si>
  <si>
    <t>Mouser</t>
  </si>
  <si>
    <t>RELAY</t>
  </si>
  <si>
    <t>K1, K2</t>
  </si>
  <si>
    <t>RELAY GEN PURPOSE SPST 23A 12V</t>
  </si>
  <si>
    <t>G2RL-1A-E2-CV-HA DC12</t>
  </si>
  <si>
    <t>Omron Electronics Inc-EMC Div</t>
  </si>
  <si>
    <t>Digikey</t>
  </si>
  <si>
    <t>Mosfet</t>
  </si>
  <si>
    <t>Q1, Q2</t>
  </si>
  <si>
    <t>60V 3A 1.7W 86mΩ@10V,3A N Channel SOT-23(TO-236) MOSFETs ROHS</t>
  </si>
  <si>
    <t>SOT-23</t>
  </si>
  <si>
    <t>SI2310-HXY</t>
  </si>
  <si>
    <t>HXY</t>
  </si>
  <si>
    <t>C4748716</t>
  </si>
  <si>
    <t>Resistor</t>
  </si>
  <si>
    <t>R1, R2, R3</t>
  </si>
  <si>
    <t>RES 0 OHM JUMPER 1/10W 0603</t>
  </si>
  <si>
    <t>Res-0603</t>
  </si>
  <si>
    <t>RC0603JR-070RL</t>
  </si>
  <si>
    <t>Yageo</t>
  </si>
  <si>
    <t>C95177</t>
  </si>
  <si>
    <t>0R</t>
  </si>
  <si>
    <t>0.0011</t>
  </si>
  <si>
    <t>R4, R5</t>
  </si>
  <si>
    <t>RES 1K OHM 5% 1/16W 0402</t>
  </si>
  <si>
    <t>Res-0402</t>
  </si>
  <si>
    <t>RC0402JR-071KL</t>
  </si>
  <si>
    <t>C105637</t>
  </si>
  <si>
    <t>1K</t>
  </si>
  <si>
    <t>R6, R7</t>
  </si>
  <si>
    <t>RES SMD 47K OHM 0.1% 1/16W 0402</t>
  </si>
  <si>
    <t>RT0402BRE0747KL</t>
  </si>
  <si>
    <t>C853293</t>
  </si>
  <si>
    <t>47K</t>
  </si>
  <si>
    <t>R8, R9</t>
  </si>
  <si>
    <t>RES 220K OHM 1% 1/10W 0603</t>
  </si>
  <si>
    <t>RC0603FR-07220KL</t>
  </si>
  <si>
    <t>C123420</t>
  </si>
  <si>
    <t>220K</t>
  </si>
  <si>
    <t>IC</t>
  </si>
  <si>
    <t>U1</t>
  </si>
  <si>
    <t>OPTOISOLATOR 5.3KV TRANS 4SMD</t>
  </si>
  <si>
    <t>SFH6156-2</t>
  </si>
  <si>
    <t>Vishay</t>
  </si>
  <si>
    <t>C5156027</t>
  </si>
  <si>
    <t xml:space="preserve">Total Component Cost </t>
  </si>
  <si>
    <t>Single Board Cost</t>
  </si>
  <si>
    <t>Quantity (10 Boards)</t>
  </si>
  <si>
    <t>MOQ (10 Boards)</t>
  </si>
  <si>
    <t>Unit Cost (10 Boards)</t>
  </si>
  <si>
    <t>Total Cost (10 Boards)</t>
  </si>
  <si>
    <t>Quantity (100 Boards)</t>
  </si>
  <si>
    <t>MOQ (100 Boards)</t>
  </si>
  <si>
    <t>Unit Cost (100 Boards)</t>
  </si>
  <si>
    <t>Total Cost (100 Boards)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</si>
</sst>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00"/>
    <numFmt numFmtId="179" formatCode="&quot;$&quot;#,##0.00"/>
  </numFmts>
  <fonts count="30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indexed="12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indexed="12"/>
      <name val="宋体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6" borderId="13" applyNumberFormat="0" applyAlignment="0" applyProtection="0">
      <alignment vertical="center"/>
    </xf>
    <xf numFmtId="0" fontId="20" fillId="7" borderId="14" applyNumberFormat="0" applyAlignment="0" applyProtection="0">
      <alignment vertical="center"/>
    </xf>
    <xf numFmtId="0" fontId="21" fillId="7" borderId="13" applyNumberFormat="0" applyAlignment="0" applyProtection="0">
      <alignment vertical="center"/>
    </xf>
    <xf numFmtId="0" fontId="22" fillId="8" borderId="15" applyNumberFormat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2" borderId="3" xfId="6" applyFont="1" applyFill="1" applyBorder="1" applyAlignment="1">
      <alignment horizontal="center" vertical="center" wrapText="1"/>
    </xf>
    <xf numFmtId="178" fontId="5" fillId="2" borderId="3" xfId="0" applyNumberFormat="1" applyFont="1" applyFill="1" applyBorder="1" applyAlignment="1">
      <alignment horizontal="center" vertical="center" wrapText="1"/>
    </xf>
    <xf numFmtId="0" fontId="6" fillId="2" borderId="4" xfId="6" applyFont="1" applyFill="1" applyBorder="1" applyAlignment="1">
      <alignment horizontal="center" vertical="center" wrapText="1"/>
    </xf>
    <xf numFmtId="178" fontId="5" fillId="2" borderId="4" xfId="0" applyNumberFormat="1" applyFont="1" applyFill="1" applyBorder="1" applyAlignment="1">
      <alignment horizontal="center" vertical="center" wrapText="1"/>
    </xf>
    <xf numFmtId="0" fontId="6" fillId="0" borderId="4" xfId="6" applyFont="1" applyBorder="1" applyAlignment="1">
      <alignment horizontal="center" vertical="center" wrapText="1"/>
    </xf>
    <xf numFmtId="178" fontId="5" fillId="2" borderId="7" xfId="0" applyNumberFormat="1" applyFont="1" applyFill="1" applyBorder="1" applyAlignment="1">
      <alignment horizontal="center" vertical="center" wrapText="1"/>
    </xf>
    <xf numFmtId="0" fontId="7" fillId="0" borderId="4" xfId="6" applyFont="1" applyBorder="1" applyAlignment="1">
      <alignment horizontal="center" vertical="center" wrapText="1"/>
    </xf>
    <xf numFmtId="0" fontId="8" fillId="4" borderId="5" xfId="0" applyFont="1" applyFill="1" applyBorder="1" applyAlignment="1" applyProtection="1">
      <alignment horizontal="center" vertical="top"/>
      <protection locked="0"/>
    </xf>
    <xf numFmtId="0" fontId="8" fillId="4" borderId="8" xfId="0" applyFont="1" applyFill="1" applyBorder="1" applyAlignment="1" applyProtection="1">
      <alignment horizontal="center" vertical="top"/>
      <protection locked="0"/>
    </xf>
    <xf numFmtId="179" fontId="9" fillId="4" borderId="2" xfId="0" applyNumberFormat="1" applyFont="1" applyFill="1" applyBorder="1" applyAlignment="1">
      <alignment horizontal="center" vertical="center" wrapText="1"/>
    </xf>
    <xf numFmtId="179" fontId="9" fillId="4" borderId="9" xfId="0" applyNumberFormat="1" applyFont="1" applyFill="1" applyBorder="1" applyAlignment="1">
      <alignment horizontal="center" vertical="center"/>
    </xf>
    <xf numFmtId="0" fontId="7" fillId="2" borderId="3" xfId="6" applyFont="1" applyFill="1" applyBorder="1" applyAlignment="1">
      <alignment horizontal="center" vertical="center" wrapText="1"/>
    </xf>
    <xf numFmtId="0" fontId="7" fillId="2" borderId="4" xfId="6" applyFont="1" applyFill="1" applyBorder="1" applyAlignment="1">
      <alignment horizontal="center" vertical="center" wrapText="1"/>
    </xf>
    <xf numFmtId="0" fontId="7" fillId="0" borderId="4" xfId="6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Chip-Resistor-Surface-Mount_YAGEO-RC0402JR-071KL_C105637.html?s_z=n_C105637" TargetMode="External"/><Relationship Id="rId8" Type="http://schemas.openxmlformats.org/officeDocument/2006/relationships/hyperlink" Target="https://lcsc.com/product-detail/MOSFETs_HXY-MOSFET-SI2310-HXY_C4748716.html?s_z=n_C4748716" TargetMode="External"/><Relationship Id="rId7" Type="http://schemas.openxmlformats.org/officeDocument/2006/relationships/hyperlink" Target="https://lcsc.com/product-detail/Wire-To-Board-Connector_HCTL-HC-1-25-6PLT_C2845392.html?s_z=n_C2845392" TargetMode="External"/><Relationship Id="rId6" Type="http://schemas.openxmlformats.org/officeDocument/2006/relationships/hyperlink" Target="https://lcsc.com/product-detail/Zener-Diodes_EIC-Semicon-MM3Z3V3B_C2978865.html?s_z=n_C2978865" TargetMode="External"/><Relationship Id="rId5" Type="http://schemas.openxmlformats.org/officeDocument/2006/relationships/hyperlink" Target="https://lcsc.com/product-detail/Zener-Diodes_YONGYUTAI-ZMM2V7_C2891738.html?s_z=n_C2891738" TargetMode="External"/><Relationship Id="rId4" Type="http://schemas.openxmlformats.org/officeDocument/2006/relationships/hyperlink" Target="https://lcsc.com/product-detail/Schottky-Diodes_ST-STPS1H100A_C165701.html?s_z=n_C165701" TargetMode="External"/><Relationship Id="rId3" Type="http://schemas.openxmlformats.org/officeDocument/2006/relationships/hyperlink" Target="https://lcsc.com/product-detail/Multilayer-Ceramic-Capacitors-MLCC-SMD-SMT_TDK-C1005X5R1H104K050BB_C2181865.html?s_z=n_C2181865" TargetMode="External"/><Relationship Id="rId2" Type="http://schemas.openxmlformats.org/officeDocument/2006/relationships/hyperlink" Target="https://www.digikey.com/en/products/detail/omron-electronics-inc-emc-div/G2RL-1A-E2-CV-HA-DC12/10070630?s=N4IgTCBcDaIOJgEoBkC0BGAgqgomVAwgGqoASmABACIHoQC6AvkA" TargetMode="External"/><Relationship Id="rId12" Type="http://schemas.openxmlformats.org/officeDocument/2006/relationships/hyperlink" Target="https://lcsc.com/product-detail/Transistor-Photovoltaic-Output-Optoisolators_VISHAY-SFH6156-2_C5156027.html?s_z=n_C5156027" TargetMode="External"/><Relationship Id="rId11" Type="http://schemas.openxmlformats.org/officeDocument/2006/relationships/hyperlink" Target="https://lcsc.com/product-detail/Chip-Resistor-Surface-Mount_YAGEO-RC0603FR-07220KL_C123420.html?s_z=n_C123420" TargetMode="External"/><Relationship Id="rId10" Type="http://schemas.openxmlformats.org/officeDocument/2006/relationships/hyperlink" Target="https://lcsc.com/product-detail/Chip-Resistor-Surface-Mount_YAGEO-RT0402BRE0747KL_C853293.html?s_z=n_C853293" TargetMode="External"/><Relationship Id="rId1" Type="http://schemas.openxmlformats.org/officeDocument/2006/relationships/hyperlink" Target="https://eu.mouser.com/ProductDetail/Same-Sky/TB008A-508-02BE?qs=vLWxofP3U2w5I2Hxj8y2hQ%3D%3D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Chip-Resistor-Surface-Mount_YAGEO-RC0402JR-071KL_C105637.html?s_z=n_C105637" TargetMode="External"/><Relationship Id="rId8" Type="http://schemas.openxmlformats.org/officeDocument/2006/relationships/hyperlink" Target="https://lcsc.com/product-detail/MOSFETs_HXY-MOSFET-SI2310-HXY_C4748716.html?s_z=n_C4748716" TargetMode="External"/><Relationship Id="rId7" Type="http://schemas.openxmlformats.org/officeDocument/2006/relationships/hyperlink" Target="https://lcsc.com/product-detail/Wire-To-Board-Connector_HCTL-HC-1-25-6PLT_C2845392.html?s_z=n_C2845392" TargetMode="External"/><Relationship Id="rId6" Type="http://schemas.openxmlformats.org/officeDocument/2006/relationships/hyperlink" Target="https://lcsc.com/product-detail/Zener-Diodes_EIC-Semicon-MM3Z3V3B_C2978865.html?s_z=n_C2978865" TargetMode="External"/><Relationship Id="rId5" Type="http://schemas.openxmlformats.org/officeDocument/2006/relationships/hyperlink" Target="https://lcsc.com/product-detail/Zener-Diodes_YONGYUTAI-ZMM2V7_C2891738.html?s_z=n_C2891738" TargetMode="External"/><Relationship Id="rId4" Type="http://schemas.openxmlformats.org/officeDocument/2006/relationships/hyperlink" Target="https://lcsc.com/product-detail/Schottky-Diodes_ST-STPS1H100A_C165701.html?s_z=n_C165701" TargetMode="External"/><Relationship Id="rId3" Type="http://schemas.openxmlformats.org/officeDocument/2006/relationships/hyperlink" Target="https://lcsc.com/product-detail/Multilayer-Ceramic-Capacitors-MLCC-SMD-SMT_TDK-C1005X5R1H104K050BB_C2181865.html?s_z=n_C2181865" TargetMode="External"/><Relationship Id="rId2" Type="http://schemas.openxmlformats.org/officeDocument/2006/relationships/hyperlink" Target="https://www.digikey.com/en/products/detail/omron-electronics-inc-emc-div/G2RL-1A-E2-CV-HA-DC12/10070630?s=N4IgTCBcDaIOJgEoBkC0BGAgqgomVAwgGqoASmABACIHoQC6AvkA" TargetMode="External"/><Relationship Id="rId12" Type="http://schemas.openxmlformats.org/officeDocument/2006/relationships/hyperlink" Target="https://lcsc.com/product-detail/Transistor-Photovoltaic-Output-Optoisolators_VISHAY-SFH6156-2_C5156027.html?s_z=n_C5156027" TargetMode="External"/><Relationship Id="rId11" Type="http://schemas.openxmlformats.org/officeDocument/2006/relationships/hyperlink" Target="https://lcsc.com/product-detail/Chip-Resistor-Surface-Mount_YAGEO-RC0603FR-07220KL_C123420.html?s_z=n_C123420" TargetMode="External"/><Relationship Id="rId10" Type="http://schemas.openxmlformats.org/officeDocument/2006/relationships/hyperlink" Target="https://lcsc.com/product-detail/Chip-Resistor-Surface-Mount_YAGEO-RT0402BRE0747KL_C853293.html?s_z=n_C853293" TargetMode="External"/><Relationship Id="rId1" Type="http://schemas.openxmlformats.org/officeDocument/2006/relationships/hyperlink" Target="https://eu.mouser.com/ProductDetail/Same-Sky/TB008A-508-02BE?qs=vLWxofP3U2w5I2Hxj8y2hQ%3D%3D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Chip-Resistor-Surface-Mount_YAGEO-RC0402JR-071KL_C105637.html?s_z=n_C105637" TargetMode="External"/><Relationship Id="rId8" Type="http://schemas.openxmlformats.org/officeDocument/2006/relationships/hyperlink" Target="https://lcsc.com/product-detail/MOSFETs_HXY-MOSFET-SI2310-HXY_C4748716.html?s_z=n_C4748716" TargetMode="External"/><Relationship Id="rId7" Type="http://schemas.openxmlformats.org/officeDocument/2006/relationships/hyperlink" Target="https://lcsc.com/product-detail/Wire-To-Board-Connector_HCTL-HC-1-25-6PLT_C2845392.html?s_z=n_C2845392" TargetMode="External"/><Relationship Id="rId6" Type="http://schemas.openxmlformats.org/officeDocument/2006/relationships/hyperlink" Target="https://lcsc.com/product-detail/Zener-Diodes_EIC-Semicon-MM3Z3V3B_C2978865.html?s_z=n_C2978865" TargetMode="External"/><Relationship Id="rId5" Type="http://schemas.openxmlformats.org/officeDocument/2006/relationships/hyperlink" Target="https://lcsc.com/product-detail/Zener-Diodes_YONGYUTAI-ZMM2V7_C2891738.html?s_z=n_C2891738" TargetMode="External"/><Relationship Id="rId4" Type="http://schemas.openxmlformats.org/officeDocument/2006/relationships/hyperlink" Target="https://lcsc.com/product-detail/Schottky-Diodes_ST-STPS1H100A_C165701.html?s_z=n_C165701" TargetMode="External"/><Relationship Id="rId3" Type="http://schemas.openxmlformats.org/officeDocument/2006/relationships/hyperlink" Target="https://lcsc.com/product-detail/Multilayer-Ceramic-Capacitors-MLCC-SMD-SMT_TDK-C1005X5R1H104K050BB_C2181865.html?s_z=n_C2181865" TargetMode="External"/><Relationship Id="rId2" Type="http://schemas.openxmlformats.org/officeDocument/2006/relationships/hyperlink" Target="https://www.digikey.com/en/products/detail/omron-electronics-inc-emc-div/G2RL-1A-E2-CV-HA-DC12/10070630?s=N4IgTCBcDaIOJgEoBkC0BGAgqgomVAwgGqoASmABACIHoQC6AvkA" TargetMode="External"/><Relationship Id="rId12" Type="http://schemas.openxmlformats.org/officeDocument/2006/relationships/hyperlink" Target="https://lcsc.com/product-detail/Transistor-Photovoltaic-Output-Optoisolators_VISHAY-SFH6156-2_C5156027.html?s_z=n_C5156027" TargetMode="External"/><Relationship Id="rId11" Type="http://schemas.openxmlformats.org/officeDocument/2006/relationships/hyperlink" Target="https://lcsc.com/product-detail/Chip-Resistor-Surface-Mount_YAGEO-RC0603FR-07220KL_C123420.html?s_z=n_C123420" TargetMode="External"/><Relationship Id="rId10" Type="http://schemas.openxmlformats.org/officeDocument/2006/relationships/hyperlink" Target="https://lcsc.com/product-detail/Chip-Resistor-Surface-Mount_YAGEO-RT0402BRE0747KL_C853293.html?s_z=n_C853293" TargetMode="External"/><Relationship Id="rId1" Type="http://schemas.openxmlformats.org/officeDocument/2006/relationships/hyperlink" Target="https://eu.mouser.com/ProductDetail/Same-Sky/TB008A-508-02BE?qs=vLWxofP3U2w5I2Hxj8y2hQ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29"/>
  <sheetViews>
    <sheetView topLeftCell="I6" workbookViewId="0">
      <selection activeCell="M20" sqref="M20"/>
    </sheetView>
  </sheetViews>
  <sheetFormatPr defaultColWidth="9" defaultRowHeight="15"/>
  <cols>
    <col min="2" max="2" width="3.14285714285714" style="30" customWidth="1"/>
    <col min="3" max="3" width="18" style="30" customWidth="1"/>
    <col min="4" max="4" width="27.4285714285714" customWidth="1"/>
    <col min="5" max="5" width="30.8571428571429" customWidth="1"/>
    <col min="6" max="6" width="22.2857142857143" customWidth="1"/>
    <col min="7" max="7" width="33.4285714285714" customWidth="1"/>
    <col min="8" max="8" width="21.4285714285714" customWidth="1"/>
    <col min="9" max="9" width="21.5714285714286" customWidth="1"/>
    <col min="10" max="10" width="17" customWidth="1"/>
    <col min="11" max="11" width="6.14285714285714" customWidth="1"/>
    <col min="12" max="12" width="8.71428571428571" customWidth="1"/>
    <col min="13" max="13" width="18.2857142857143" customWidth="1"/>
    <col min="14" max="14" width="15.1428571428571" customWidth="1"/>
    <col min="15" max="15" width="7.71428571428571" customWidth="1"/>
    <col min="16" max="16" width="18.7142857142857" customWidth="1"/>
    <col min="17" max="17" width="19.2857142857143" customWidth="1"/>
    <col min="18" max="18" width="16.5714285714286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3"/>
      <c r="L1" s="13"/>
      <c r="M1" s="13"/>
      <c r="N1" s="13"/>
      <c r="O1" s="13"/>
      <c r="P1" s="13"/>
      <c r="Q1" s="13"/>
      <c r="R1" s="13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14" t="s">
        <v>12</v>
      </c>
      <c r="O2" s="5" t="s">
        <v>13</v>
      </c>
      <c r="P2" s="15" t="s">
        <v>14</v>
      </c>
      <c r="Q2" s="5" t="s">
        <v>15</v>
      </c>
      <c r="R2" s="5" t="s">
        <v>16</v>
      </c>
    </row>
    <row r="3" spans="1:18">
      <c r="A3" s="2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1</v>
      </c>
      <c r="M3" s="9">
        <f>L3*5</f>
        <v>5</v>
      </c>
      <c r="N3" s="9">
        <v>5</v>
      </c>
      <c r="O3" s="27" t="s">
        <v>26</v>
      </c>
      <c r="P3" s="17">
        <v>0.0985</v>
      </c>
      <c r="Q3" s="17">
        <f>P3*N3</f>
        <v>0.4925</v>
      </c>
      <c r="R3" s="9"/>
    </row>
    <row r="4" spans="1:18">
      <c r="A4" s="2"/>
      <c r="B4" s="10">
        <f t="shared" ref="B4:B15" si="0">ROW(B4)-ROW($B$2)</f>
        <v>2</v>
      </c>
      <c r="C4" s="11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  <c r="I4" s="9" t="s">
        <v>23</v>
      </c>
      <c r="J4" s="12" t="s">
        <v>33</v>
      </c>
      <c r="K4" s="12" t="s">
        <v>23</v>
      </c>
      <c r="L4" s="12">
        <v>2</v>
      </c>
      <c r="M4" s="12">
        <f t="shared" ref="M4:M5" si="1">L4*5</f>
        <v>10</v>
      </c>
      <c r="N4" s="12">
        <v>10</v>
      </c>
      <c r="O4" s="28" t="s">
        <v>26</v>
      </c>
      <c r="P4" s="19">
        <v>0.0819</v>
      </c>
      <c r="Q4" s="19">
        <f t="shared" ref="Q4:Q5" si="2">P4*N4</f>
        <v>0.819</v>
      </c>
      <c r="R4" s="12"/>
    </row>
    <row r="5" ht="24" spans="1:18">
      <c r="A5" s="2"/>
      <c r="B5" s="7">
        <f t="shared" si="0"/>
        <v>3</v>
      </c>
      <c r="C5" s="8" t="s">
        <v>34</v>
      </c>
      <c r="D5" s="9" t="s">
        <v>35</v>
      </c>
      <c r="E5" s="9" t="s">
        <v>36</v>
      </c>
      <c r="F5" s="9" t="s">
        <v>37</v>
      </c>
      <c r="G5" s="9" t="s">
        <v>38</v>
      </c>
      <c r="H5" s="9" t="s">
        <v>39</v>
      </c>
      <c r="I5" s="9" t="s">
        <v>23</v>
      </c>
      <c r="J5" s="9" t="s">
        <v>40</v>
      </c>
      <c r="K5" s="12" t="s">
        <v>23</v>
      </c>
      <c r="L5" s="9">
        <v>1</v>
      </c>
      <c r="M5" s="9">
        <f t="shared" si="1"/>
        <v>5</v>
      </c>
      <c r="N5" s="9">
        <v>50</v>
      </c>
      <c r="O5" s="28" t="s">
        <v>26</v>
      </c>
      <c r="P5" s="17">
        <v>0.0081</v>
      </c>
      <c r="Q5" s="17">
        <f t="shared" si="2"/>
        <v>0.405</v>
      </c>
      <c r="R5" s="9"/>
    </row>
    <row r="6" ht="24" spans="1:18">
      <c r="A6" s="2"/>
      <c r="B6" s="10">
        <f t="shared" si="0"/>
        <v>4</v>
      </c>
      <c r="C6" s="11" t="s">
        <v>34</v>
      </c>
      <c r="D6" s="12" t="s">
        <v>41</v>
      </c>
      <c r="E6" s="12" t="s">
        <v>42</v>
      </c>
      <c r="F6" s="12" t="s">
        <v>43</v>
      </c>
      <c r="G6" s="12" t="s">
        <v>44</v>
      </c>
      <c r="H6" s="12" t="s">
        <v>45</v>
      </c>
      <c r="I6" s="9" t="s">
        <v>23</v>
      </c>
      <c r="J6" s="12" t="s">
        <v>46</v>
      </c>
      <c r="K6" s="12" t="s">
        <v>23</v>
      </c>
      <c r="L6" s="12">
        <v>1</v>
      </c>
      <c r="M6" s="12">
        <f t="shared" ref="M6:M7" si="3">L6*5</f>
        <v>5</v>
      </c>
      <c r="N6" s="12">
        <v>10</v>
      </c>
      <c r="O6" s="28" t="s">
        <v>26</v>
      </c>
      <c r="P6" s="19">
        <v>0.0448</v>
      </c>
      <c r="Q6" s="19">
        <f t="shared" ref="Q6:Q7" si="4">P6*N6</f>
        <v>0.448</v>
      </c>
      <c r="R6" s="12"/>
    </row>
    <row r="7" ht="48" spans="1:18">
      <c r="A7" s="2"/>
      <c r="B7" s="7">
        <f t="shared" si="0"/>
        <v>5</v>
      </c>
      <c r="C7" s="8" t="s">
        <v>47</v>
      </c>
      <c r="D7" s="9" t="s">
        <v>48</v>
      </c>
      <c r="E7" s="9" t="s">
        <v>49</v>
      </c>
      <c r="F7" s="12" t="s">
        <v>50</v>
      </c>
      <c r="G7" s="9" t="s">
        <v>51</v>
      </c>
      <c r="H7" s="9" t="s">
        <v>52</v>
      </c>
      <c r="I7" s="9" t="s">
        <v>23</v>
      </c>
      <c r="J7" s="9" t="s">
        <v>53</v>
      </c>
      <c r="K7" s="12" t="s">
        <v>23</v>
      </c>
      <c r="L7" s="9">
        <v>1</v>
      </c>
      <c r="M7" s="9">
        <f t="shared" si="3"/>
        <v>5</v>
      </c>
      <c r="N7" s="9">
        <v>5</v>
      </c>
      <c r="O7" s="28" t="s">
        <v>26</v>
      </c>
      <c r="P7" s="17">
        <v>0.1088</v>
      </c>
      <c r="Q7" s="17">
        <f t="shared" si="4"/>
        <v>0.544</v>
      </c>
      <c r="R7" s="9"/>
    </row>
    <row r="8" spans="1:18">
      <c r="A8" s="2"/>
      <c r="B8" s="10">
        <f t="shared" si="0"/>
        <v>6</v>
      </c>
      <c r="C8" s="11" t="s">
        <v>54</v>
      </c>
      <c r="D8" s="12" t="s">
        <v>55</v>
      </c>
      <c r="E8" s="12" t="s">
        <v>56</v>
      </c>
      <c r="F8" s="12" t="s">
        <v>50</v>
      </c>
      <c r="G8" s="12" t="s">
        <v>57</v>
      </c>
      <c r="H8" s="12" t="s">
        <v>58</v>
      </c>
      <c r="I8" s="9" t="s">
        <v>23</v>
      </c>
      <c r="J8" s="12" t="s">
        <v>23</v>
      </c>
      <c r="K8" s="12" t="s">
        <v>23</v>
      </c>
      <c r="L8" s="12">
        <v>3</v>
      </c>
      <c r="M8" s="12">
        <f t="shared" ref="M8:M9" si="5">L8*5</f>
        <v>15</v>
      </c>
      <c r="N8" s="12">
        <v>15</v>
      </c>
      <c r="O8" s="29" t="s">
        <v>59</v>
      </c>
      <c r="P8" s="21">
        <v>0.63</v>
      </c>
      <c r="Q8" s="19">
        <f t="shared" ref="Q8:Q9" si="6">P8*N8</f>
        <v>9.45</v>
      </c>
      <c r="R8" s="12"/>
    </row>
    <row r="9" ht="24" spans="1:18">
      <c r="A9" s="2"/>
      <c r="B9" s="7">
        <f t="shared" si="0"/>
        <v>7</v>
      </c>
      <c r="C9" s="8" t="s">
        <v>60</v>
      </c>
      <c r="D9" s="9" t="s">
        <v>61</v>
      </c>
      <c r="E9" s="9" t="s">
        <v>62</v>
      </c>
      <c r="F9" s="12" t="s">
        <v>50</v>
      </c>
      <c r="G9" s="9" t="s">
        <v>63</v>
      </c>
      <c r="H9" s="9" t="s">
        <v>64</v>
      </c>
      <c r="I9" s="9" t="s">
        <v>23</v>
      </c>
      <c r="J9" s="9" t="s">
        <v>23</v>
      </c>
      <c r="K9" s="12" t="s">
        <v>23</v>
      </c>
      <c r="L9" s="9">
        <v>2</v>
      </c>
      <c r="M9" s="9">
        <f t="shared" si="5"/>
        <v>10</v>
      </c>
      <c r="N9" s="9">
        <v>10</v>
      </c>
      <c r="O9" s="29" t="s">
        <v>65</v>
      </c>
      <c r="P9" s="17">
        <v>4.01</v>
      </c>
      <c r="Q9" s="17">
        <f t="shared" si="6"/>
        <v>40.1</v>
      </c>
      <c r="R9" s="9"/>
    </row>
    <row r="10" ht="24" spans="1:18">
      <c r="A10" s="2"/>
      <c r="B10" s="10">
        <f t="shared" si="0"/>
        <v>8</v>
      </c>
      <c r="C10" s="11" t="s">
        <v>66</v>
      </c>
      <c r="D10" s="12" t="s">
        <v>67</v>
      </c>
      <c r="E10" s="12" t="s">
        <v>68</v>
      </c>
      <c r="F10" s="12" t="s">
        <v>69</v>
      </c>
      <c r="G10" s="12" t="s">
        <v>70</v>
      </c>
      <c r="H10" s="12" t="s">
        <v>71</v>
      </c>
      <c r="I10" s="9" t="s">
        <v>23</v>
      </c>
      <c r="J10" s="12" t="s">
        <v>72</v>
      </c>
      <c r="K10" s="12" t="s">
        <v>23</v>
      </c>
      <c r="L10" s="12">
        <v>2</v>
      </c>
      <c r="M10" s="12">
        <f t="shared" ref="M10:M11" si="7">L10*5</f>
        <v>10</v>
      </c>
      <c r="N10" s="12">
        <v>10</v>
      </c>
      <c r="O10" s="29" t="s">
        <v>26</v>
      </c>
      <c r="P10" s="19">
        <v>0.0274</v>
      </c>
      <c r="Q10" s="19">
        <f t="shared" ref="Q10:Q11" si="8">P10*N10</f>
        <v>0.274</v>
      </c>
      <c r="R10" s="12"/>
    </row>
    <row r="11" spans="1:18">
      <c r="A11" s="2"/>
      <c r="B11" s="7">
        <f t="shared" si="0"/>
        <v>9</v>
      </c>
      <c r="C11" s="8" t="s">
        <v>73</v>
      </c>
      <c r="D11" s="9" t="s">
        <v>74</v>
      </c>
      <c r="E11" s="9" t="s">
        <v>75</v>
      </c>
      <c r="F11" s="9" t="s">
        <v>76</v>
      </c>
      <c r="G11" s="9" t="s">
        <v>77</v>
      </c>
      <c r="H11" s="9" t="s">
        <v>78</v>
      </c>
      <c r="I11" s="9" t="s">
        <v>23</v>
      </c>
      <c r="J11" s="9" t="s">
        <v>79</v>
      </c>
      <c r="K11" s="9" t="s">
        <v>80</v>
      </c>
      <c r="L11" s="9">
        <v>3</v>
      </c>
      <c r="M11" s="9">
        <f t="shared" si="7"/>
        <v>15</v>
      </c>
      <c r="N11" s="9">
        <v>100</v>
      </c>
      <c r="O11" s="29" t="str">
        <f t="shared" ref="O11" si="9">HYPERLINK(AB11,"LCSC")</f>
        <v>LCSC</v>
      </c>
      <c r="P11" s="21" t="s">
        <v>81</v>
      </c>
      <c r="Q11" s="17">
        <f t="shared" si="8"/>
        <v>0.11</v>
      </c>
      <c r="R11" s="9"/>
    </row>
    <row r="12" spans="1:18">
      <c r="A12" s="2"/>
      <c r="B12" s="10">
        <f t="shared" si="0"/>
        <v>10</v>
      </c>
      <c r="C12" s="11" t="s">
        <v>73</v>
      </c>
      <c r="D12" s="12" t="s">
        <v>82</v>
      </c>
      <c r="E12" s="12" t="s">
        <v>83</v>
      </c>
      <c r="F12" s="12" t="s">
        <v>84</v>
      </c>
      <c r="G12" s="12" t="s">
        <v>85</v>
      </c>
      <c r="H12" s="12" t="s">
        <v>78</v>
      </c>
      <c r="I12" s="9" t="s">
        <v>23</v>
      </c>
      <c r="J12" s="12" t="s">
        <v>86</v>
      </c>
      <c r="K12" s="12" t="s">
        <v>87</v>
      </c>
      <c r="L12" s="12">
        <v>2</v>
      </c>
      <c r="M12" s="12">
        <f t="shared" ref="M12:M13" si="10">L12*5</f>
        <v>10</v>
      </c>
      <c r="N12" s="12">
        <v>100</v>
      </c>
      <c r="O12" s="29" t="s">
        <v>26</v>
      </c>
      <c r="P12" s="19">
        <v>0.0006</v>
      </c>
      <c r="Q12" s="19">
        <f t="shared" ref="Q12:Q13" si="11">P12*N12</f>
        <v>0.06</v>
      </c>
      <c r="R12" s="12"/>
    </row>
    <row r="13" spans="1:18">
      <c r="A13" s="2"/>
      <c r="B13" s="7">
        <f t="shared" si="0"/>
        <v>11</v>
      </c>
      <c r="C13" s="8" t="s">
        <v>73</v>
      </c>
      <c r="D13" s="9" t="s">
        <v>88</v>
      </c>
      <c r="E13" s="9" t="s">
        <v>89</v>
      </c>
      <c r="F13" s="9" t="s">
        <v>84</v>
      </c>
      <c r="G13" s="9" t="s">
        <v>90</v>
      </c>
      <c r="H13" s="9" t="s">
        <v>78</v>
      </c>
      <c r="I13" s="9" t="s">
        <v>23</v>
      </c>
      <c r="J13" s="9" t="s">
        <v>91</v>
      </c>
      <c r="K13" s="9" t="s">
        <v>92</v>
      </c>
      <c r="L13" s="9">
        <v>2</v>
      </c>
      <c r="M13" s="9">
        <f t="shared" si="10"/>
        <v>10</v>
      </c>
      <c r="N13" s="9">
        <v>20</v>
      </c>
      <c r="O13" s="29" t="s">
        <v>26</v>
      </c>
      <c r="P13" s="17">
        <v>0.0203</v>
      </c>
      <c r="Q13" s="17">
        <f t="shared" si="11"/>
        <v>0.406</v>
      </c>
      <c r="R13" s="9"/>
    </row>
    <row r="14" spans="1:18">
      <c r="A14" s="2"/>
      <c r="B14" s="10">
        <f t="shared" si="0"/>
        <v>12</v>
      </c>
      <c r="C14" s="11" t="s">
        <v>73</v>
      </c>
      <c r="D14" s="12" t="s">
        <v>93</v>
      </c>
      <c r="E14" s="12" t="s">
        <v>94</v>
      </c>
      <c r="F14" s="12" t="s">
        <v>76</v>
      </c>
      <c r="G14" s="12" t="s">
        <v>95</v>
      </c>
      <c r="H14" s="12" t="s">
        <v>78</v>
      </c>
      <c r="I14" s="9" t="s">
        <v>23</v>
      </c>
      <c r="J14" s="12" t="s">
        <v>96</v>
      </c>
      <c r="K14" s="12" t="s">
        <v>97</v>
      </c>
      <c r="L14" s="12">
        <v>2</v>
      </c>
      <c r="M14" s="12">
        <f t="shared" ref="M14:M15" si="12">L14*5</f>
        <v>10</v>
      </c>
      <c r="N14" s="12">
        <v>100</v>
      </c>
      <c r="O14" s="29" t="s">
        <v>26</v>
      </c>
      <c r="P14" s="19">
        <v>0.0012</v>
      </c>
      <c r="Q14" s="19">
        <f t="shared" ref="Q14:Q15" si="13">P14*N14</f>
        <v>0.12</v>
      </c>
      <c r="R14" s="12"/>
    </row>
    <row r="15" ht="15.75" spans="1:18">
      <c r="A15" s="2"/>
      <c r="B15" s="7">
        <f t="shared" si="0"/>
        <v>13</v>
      </c>
      <c r="C15" s="8" t="s">
        <v>98</v>
      </c>
      <c r="D15" s="9" t="s">
        <v>99</v>
      </c>
      <c r="E15" s="9" t="s">
        <v>100</v>
      </c>
      <c r="F15" s="12" t="s">
        <v>50</v>
      </c>
      <c r="G15" s="9" t="s">
        <v>101</v>
      </c>
      <c r="H15" s="9" t="s">
        <v>102</v>
      </c>
      <c r="I15" s="9" t="s">
        <v>23</v>
      </c>
      <c r="J15" s="9" t="s">
        <v>103</v>
      </c>
      <c r="K15" s="9" t="s">
        <v>23</v>
      </c>
      <c r="L15" s="9">
        <v>1</v>
      </c>
      <c r="M15" s="9">
        <f t="shared" si="12"/>
        <v>5</v>
      </c>
      <c r="N15" s="9">
        <v>5</v>
      </c>
      <c r="O15" s="29" t="s">
        <v>26</v>
      </c>
      <c r="P15" s="17">
        <v>0.4611</v>
      </c>
      <c r="Q15" s="17">
        <f t="shared" si="13"/>
        <v>2.3055</v>
      </c>
      <c r="R15" s="9"/>
    </row>
    <row r="16" ht="19.5" spans="1:18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3" t="s">
        <v>104</v>
      </c>
      <c r="O16" s="24"/>
      <c r="P16" s="24"/>
      <c r="Q16" s="25">
        <f>SUM(Q3:Q15)</f>
        <v>55.534</v>
      </c>
      <c r="R16" s="2"/>
    </row>
    <row r="17" ht="19.5" spans="1:18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3" t="s">
        <v>105</v>
      </c>
      <c r="O17" s="24"/>
      <c r="P17" s="24"/>
      <c r="Q17" s="26">
        <f>Q16/5</f>
        <v>11.1068</v>
      </c>
      <c r="R17" s="2"/>
    </row>
    <row r="29" spans="13:13">
      <c r="M29" s="31"/>
    </row>
  </sheetData>
  <mergeCells count="3">
    <mergeCell ref="K1:R1"/>
    <mergeCell ref="N16:P16"/>
    <mergeCell ref="N17:P17"/>
  </mergeCells>
  <hyperlinks>
    <hyperlink ref="O8" r:id="rId1" display="Mouser"/>
    <hyperlink ref="O9" r:id="rId2" display="Digikey"/>
    <hyperlink ref="O3" r:id="rId3" display="LCSC"/>
    <hyperlink ref="O4" r:id="rId4" display="LCSC"/>
    <hyperlink ref="O5" r:id="rId5" display="LCSC"/>
    <hyperlink ref="O6" r:id="rId6" display="LCSC"/>
    <hyperlink ref="O7" r:id="rId7" display="LCSC"/>
    <hyperlink ref="O10" r:id="rId8" display="LCSC"/>
    <hyperlink ref="O12" r:id="rId9" display="LCSC"/>
    <hyperlink ref="O13" r:id="rId10" display="LCSC"/>
    <hyperlink ref="O14" r:id="rId11" display="LCSC"/>
    <hyperlink ref="O15" r:id="rId12" display="LCSC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"/>
  <sheetViews>
    <sheetView tabSelected="1" topLeftCell="G11" workbookViewId="0">
      <selection activeCell="I17" sqref="I17"/>
    </sheetView>
  </sheetViews>
  <sheetFormatPr defaultColWidth="9.14285714285714" defaultRowHeight="15"/>
  <cols>
    <col min="2" max="2" width="3.57142857142857" customWidth="1"/>
    <col min="3" max="3" width="10.4285714285714" customWidth="1"/>
    <col min="4" max="4" width="11.2857142857143" customWidth="1"/>
    <col min="5" max="5" width="28" customWidth="1"/>
    <col min="6" max="6" width="12.8571428571429" customWidth="1"/>
    <col min="7" max="7" width="27.2857142857143" customWidth="1"/>
    <col min="8" max="8" width="14.1428571428571" customWidth="1"/>
    <col min="9" max="9" width="23.1428571428571" customWidth="1"/>
    <col min="10" max="10" width="18.2857142857143" customWidth="1"/>
    <col min="11" max="11" width="6.71428571428571" customWidth="1"/>
    <col min="12" max="12" width="9.28571428571429" customWidth="1"/>
    <col min="13" max="13" width="19.5714285714286" customWidth="1"/>
    <col min="14" max="14" width="16.2857142857143" customWidth="1"/>
    <col min="15" max="15" width="8.28571428571429" customWidth="1"/>
    <col min="16" max="16" width="20.1428571428571" customWidth="1"/>
    <col min="17" max="17" width="20.7142857142857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3"/>
      <c r="L1" s="13"/>
      <c r="M1" s="13"/>
      <c r="N1" s="13"/>
      <c r="O1" s="13"/>
      <c r="P1" s="13"/>
      <c r="Q1" s="13"/>
      <c r="R1" s="13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106</v>
      </c>
      <c r="N2" s="14" t="s">
        <v>107</v>
      </c>
      <c r="O2" s="5" t="s">
        <v>13</v>
      </c>
      <c r="P2" s="15" t="s">
        <v>108</v>
      </c>
      <c r="Q2" s="5" t="s">
        <v>109</v>
      </c>
      <c r="R2" s="5" t="s">
        <v>16</v>
      </c>
    </row>
    <row r="3" spans="1:18">
      <c r="A3" s="2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1</v>
      </c>
      <c r="M3" s="9">
        <f>L3*10</f>
        <v>10</v>
      </c>
      <c r="N3" s="9">
        <v>10</v>
      </c>
      <c r="O3" s="27" t="s">
        <v>26</v>
      </c>
      <c r="P3" s="17">
        <v>0.0985</v>
      </c>
      <c r="Q3" s="17">
        <f t="shared" ref="Q3:Q15" si="0">P3*N3</f>
        <v>0.985</v>
      </c>
      <c r="R3" s="9"/>
    </row>
    <row r="4" ht="48" spans="1:18">
      <c r="A4" s="2"/>
      <c r="B4" s="10">
        <f>ROW(B4)-ROW($B$2)</f>
        <v>2</v>
      </c>
      <c r="C4" s="11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  <c r="I4" s="9" t="s">
        <v>23</v>
      </c>
      <c r="J4" s="12" t="s">
        <v>33</v>
      </c>
      <c r="K4" s="12" t="s">
        <v>23</v>
      </c>
      <c r="L4" s="12">
        <v>2</v>
      </c>
      <c r="M4" s="9">
        <f t="shared" ref="M4:M15" si="1">L4*10</f>
        <v>20</v>
      </c>
      <c r="N4" s="12">
        <v>20</v>
      </c>
      <c r="O4" s="28" t="s">
        <v>26</v>
      </c>
      <c r="P4" s="19">
        <v>0.0819</v>
      </c>
      <c r="Q4" s="19">
        <f t="shared" si="0"/>
        <v>1.638</v>
      </c>
      <c r="R4" s="12"/>
    </row>
    <row r="5" ht="96" spans="1:18">
      <c r="A5" s="2"/>
      <c r="B5" s="7">
        <f>ROW(B5)-ROW($B$2)</f>
        <v>3</v>
      </c>
      <c r="C5" s="8" t="s">
        <v>34</v>
      </c>
      <c r="D5" s="9" t="s">
        <v>35</v>
      </c>
      <c r="E5" s="9" t="s">
        <v>36</v>
      </c>
      <c r="F5" s="9" t="s">
        <v>37</v>
      </c>
      <c r="G5" s="9" t="s">
        <v>38</v>
      </c>
      <c r="H5" s="9" t="s">
        <v>39</v>
      </c>
      <c r="I5" s="9" t="s">
        <v>23</v>
      </c>
      <c r="J5" s="9" t="s">
        <v>40</v>
      </c>
      <c r="K5" s="12" t="s">
        <v>23</v>
      </c>
      <c r="L5" s="9">
        <v>1</v>
      </c>
      <c r="M5" s="9">
        <f t="shared" si="1"/>
        <v>10</v>
      </c>
      <c r="N5" s="9">
        <v>50</v>
      </c>
      <c r="O5" s="28" t="s">
        <v>26</v>
      </c>
      <c r="P5" s="17">
        <v>0.0081</v>
      </c>
      <c r="Q5" s="17">
        <f t="shared" si="0"/>
        <v>0.405</v>
      </c>
      <c r="R5" s="9"/>
    </row>
    <row r="6" ht="48" spans="1:18">
      <c r="A6" s="2"/>
      <c r="B6" s="10">
        <f>ROW(B6)-ROW($B$2)</f>
        <v>4</v>
      </c>
      <c r="C6" s="11" t="s">
        <v>34</v>
      </c>
      <c r="D6" s="12" t="s">
        <v>41</v>
      </c>
      <c r="E6" s="12" t="s">
        <v>42</v>
      </c>
      <c r="F6" s="12" t="s">
        <v>43</v>
      </c>
      <c r="G6" s="12" t="s">
        <v>44</v>
      </c>
      <c r="H6" s="12" t="s">
        <v>45</v>
      </c>
      <c r="I6" s="9" t="s">
        <v>23</v>
      </c>
      <c r="J6" s="12" t="s">
        <v>46</v>
      </c>
      <c r="K6" s="12" t="s">
        <v>23</v>
      </c>
      <c r="L6" s="12">
        <v>1</v>
      </c>
      <c r="M6" s="9">
        <f t="shared" si="1"/>
        <v>10</v>
      </c>
      <c r="N6" s="12">
        <v>10</v>
      </c>
      <c r="O6" s="28" t="s">
        <v>26</v>
      </c>
      <c r="P6" s="19">
        <v>0.0448</v>
      </c>
      <c r="Q6" s="19">
        <f t="shared" si="0"/>
        <v>0.448</v>
      </c>
      <c r="R6" s="12"/>
    </row>
    <row r="7" ht="180" spans="1:18">
      <c r="A7" s="2"/>
      <c r="B7" s="7">
        <f>ROW(B7)-ROW($B$2)</f>
        <v>5</v>
      </c>
      <c r="C7" s="8" t="s">
        <v>47</v>
      </c>
      <c r="D7" s="9" t="s">
        <v>48</v>
      </c>
      <c r="E7" s="9" t="s">
        <v>49</v>
      </c>
      <c r="F7" s="12" t="s">
        <v>50</v>
      </c>
      <c r="G7" s="9" t="s">
        <v>51</v>
      </c>
      <c r="H7" s="9" t="s">
        <v>52</v>
      </c>
      <c r="I7" s="9" t="s">
        <v>23</v>
      </c>
      <c r="J7" s="9" t="s">
        <v>53</v>
      </c>
      <c r="K7" s="12" t="s">
        <v>23</v>
      </c>
      <c r="L7" s="9">
        <v>1</v>
      </c>
      <c r="M7" s="9">
        <f t="shared" si="1"/>
        <v>10</v>
      </c>
      <c r="N7" s="9">
        <v>10</v>
      </c>
      <c r="O7" s="28" t="s">
        <v>26</v>
      </c>
      <c r="P7" s="17">
        <v>0.1088</v>
      </c>
      <c r="Q7" s="17">
        <f t="shared" si="0"/>
        <v>1.088</v>
      </c>
      <c r="R7" s="9"/>
    </row>
    <row r="8" ht="48" spans="1:18">
      <c r="A8" s="2"/>
      <c r="B8" s="10">
        <f>ROW(B8)-ROW($B$2)</f>
        <v>6</v>
      </c>
      <c r="C8" s="11" t="s">
        <v>54</v>
      </c>
      <c r="D8" s="12" t="s">
        <v>55</v>
      </c>
      <c r="E8" s="12" t="s">
        <v>56</v>
      </c>
      <c r="F8" s="12" t="s">
        <v>50</v>
      </c>
      <c r="G8" s="12" t="s">
        <v>57</v>
      </c>
      <c r="H8" s="12" t="s">
        <v>58</v>
      </c>
      <c r="I8" s="9" t="s">
        <v>23</v>
      </c>
      <c r="J8" s="12" t="s">
        <v>23</v>
      </c>
      <c r="K8" s="12" t="s">
        <v>23</v>
      </c>
      <c r="L8" s="12">
        <v>3</v>
      </c>
      <c r="M8" s="9">
        <f t="shared" si="1"/>
        <v>30</v>
      </c>
      <c r="N8" s="12">
        <v>30</v>
      </c>
      <c r="O8" s="29" t="s">
        <v>59</v>
      </c>
      <c r="P8" s="21">
        <v>0.63</v>
      </c>
      <c r="Q8" s="19">
        <f t="shared" si="0"/>
        <v>18.9</v>
      </c>
      <c r="R8" s="12"/>
    </row>
    <row r="9" ht="48" spans="1:18">
      <c r="A9" s="2"/>
      <c r="B9" s="7">
        <f>ROW(B9)-ROW($B$2)</f>
        <v>7</v>
      </c>
      <c r="C9" s="8" t="s">
        <v>60</v>
      </c>
      <c r="D9" s="9" t="s">
        <v>61</v>
      </c>
      <c r="E9" s="9" t="s">
        <v>62</v>
      </c>
      <c r="F9" s="12" t="s">
        <v>50</v>
      </c>
      <c r="G9" s="9" t="s">
        <v>63</v>
      </c>
      <c r="H9" s="9" t="s">
        <v>64</v>
      </c>
      <c r="I9" s="9" t="s">
        <v>23</v>
      </c>
      <c r="J9" s="9" t="s">
        <v>23</v>
      </c>
      <c r="K9" s="12" t="s">
        <v>23</v>
      </c>
      <c r="L9" s="9">
        <v>2</v>
      </c>
      <c r="M9" s="9">
        <f t="shared" si="1"/>
        <v>20</v>
      </c>
      <c r="N9" s="9">
        <v>20</v>
      </c>
      <c r="O9" s="29" t="s">
        <v>65</v>
      </c>
      <c r="P9" s="17">
        <v>4.01</v>
      </c>
      <c r="Q9" s="17">
        <f t="shared" si="0"/>
        <v>80.2</v>
      </c>
      <c r="R9" s="9"/>
    </row>
    <row r="10" ht="108" spans="1:18">
      <c r="A10" s="2"/>
      <c r="B10" s="10">
        <f>ROW(B10)-ROW($B$2)</f>
        <v>8</v>
      </c>
      <c r="C10" s="11" t="s">
        <v>66</v>
      </c>
      <c r="D10" s="12" t="s">
        <v>67</v>
      </c>
      <c r="E10" s="12" t="s">
        <v>68</v>
      </c>
      <c r="F10" s="12" t="s">
        <v>69</v>
      </c>
      <c r="G10" s="12" t="s">
        <v>70</v>
      </c>
      <c r="H10" s="12" t="s">
        <v>71</v>
      </c>
      <c r="I10" s="9" t="s">
        <v>23</v>
      </c>
      <c r="J10" s="12" t="s">
        <v>72</v>
      </c>
      <c r="K10" s="12" t="s">
        <v>23</v>
      </c>
      <c r="L10" s="12">
        <v>2</v>
      </c>
      <c r="M10" s="9">
        <f t="shared" si="1"/>
        <v>20</v>
      </c>
      <c r="N10" s="12">
        <v>10</v>
      </c>
      <c r="O10" s="29" t="s">
        <v>26</v>
      </c>
      <c r="P10" s="19">
        <v>0.0274</v>
      </c>
      <c r="Q10" s="19">
        <f t="shared" si="0"/>
        <v>0.274</v>
      </c>
      <c r="R10" s="12"/>
    </row>
    <row r="11" ht="48" spans="1:18">
      <c r="A11" s="2"/>
      <c r="B11" s="7">
        <f>ROW(B11)-ROW($B$2)</f>
        <v>9</v>
      </c>
      <c r="C11" s="8" t="s">
        <v>73</v>
      </c>
      <c r="D11" s="9" t="s">
        <v>74</v>
      </c>
      <c r="E11" s="9" t="s">
        <v>75</v>
      </c>
      <c r="F11" s="9" t="s">
        <v>76</v>
      </c>
      <c r="G11" s="9" t="s">
        <v>77</v>
      </c>
      <c r="H11" s="9" t="s">
        <v>78</v>
      </c>
      <c r="I11" s="9" t="s">
        <v>23</v>
      </c>
      <c r="J11" s="9" t="s">
        <v>79</v>
      </c>
      <c r="K11" s="9" t="s">
        <v>80</v>
      </c>
      <c r="L11" s="9">
        <v>3</v>
      </c>
      <c r="M11" s="9">
        <f t="shared" si="1"/>
        <v>30</v>
      </c>
      <c r="N11" s="9">
        <v>100</v>
      </c>
      <c r="O11" s="29" t="str">
        <f>HYPERLINK(AB11,"LCSC")</f>
        <v>LCSC</v>
      </c>
      <c r="P11" s="21" t="s">
        <v>81</v>
      </c>
      <c r="Q11" s="17">
        <f t="shared" si="0"/>
        <v>0.11</v>
      </c>
      <c r="R11" s="9"/>
    </row>
    <row r="12" ht="48" spans="1:18">
      <c r="A12" s="2"/>
      <c r="B12" s="10">
        <f>ROW(B12)-ROW($B$2)</f>
        <v>10</v>
      </c>
      <c r="C12" s="11" t="s">
        <v>73</v>
      </c>
      <c r="D12" s="12" t="s">
        <v>82</v>
      </c>
      <c r="E12" s="12" t="s">
        <v>83</v>
      </c>
      <c r="F12" s="12" t="s">
        <v>84</v>
      </c>
      <c r="G12" s="12" t="s">
        <v>85</v>
      </c>
      <c r="H12" s="12" t="s">
        <v>78</v>
      </c>
      <c r="I12" s="9" t="s">
        <v>23</v>
      </c>
      <c r="J12" s="12" t="s">
        <v>86</v>
      </c>
      <c r="K12" s="12" t="s">
        <v>87</v>
      </c>
      <c r="L12" s="12">
        <v>2</v>
      </c>
      <c r="M12" s="9">
        <f t="shared" si="1"/>
        <v>20</v>
      </c>
      <c r="N12" s="12">
        <v>100</v>
      </c>
      <c r="O12" s="29" t="s">
        <v>26</v>
      </c>
      <c r="P12" s="19">
        <v>0.0006</v>
      </c>
      <c r="Q12" s="19">
        <f t="shared" si="0"/>
        <v>0.06</v>
      </c>
      <c r="R12" s="12"/>
    </row>
    <row r="13" ht="60" spans="1:18">
      <c r="A13" s="2"/>
      <c r="B13" s="7">
        <f>ROW(B13)-ROW($B$2)</f>
        <v>11</v>
      </c>
      <c r="C13" s="8" t="s">
        <v>73</v>
      </c>
      <c r="D13" s="9" t="s">
        <v>88</v>
      </c>
      <c r="E13" s="9" t="s">
        <v>89</v>
      </c>
      <c r="F13" s="9" t="s">
        <v>84</v>
      </c>
      <c r="G13" s="9" t="s">
        <v>90</v>
      </c>
      <c r="H13" s="9" t="s">
        <v>78</v>
      </c>
      <c r="I13" s="9" t="s">
        <v>23</v>
      </c>
      <c r="J13" s="9" t="s">
        <v>91</v>
      </c>
      <c r="K13" s="9" t="s">
        <v>92</v>
      </c>
      <c r="L13" s="9">
        <v>2</v>
      </c>
      <c r="M13" s="9">
        <f t="shared" si="1"/>
        <v>20</v>
      </c>
      <c r="N13" s="9">
        <v>20</v>
      </c>
      <c r="O13" s="29" t="s">
        <v>26</v>
      </c>
      <c r="P13" s="17">
        <v>0.0203</v>
      </c>
      <c r="Q13" s="17">
        <f t="shared" si="0"/>
        <v>0.406</v>
      </c>
      <c r="R13" s="9"/>
    </row>
    <row r="14" ht="48" spans="1:18">
      <c r="A14" s="2"/>
      <c r="B14" s="10">
        <f>ROW(B14)-ROW($B$2)</f>
        <v>12</v>
      </c>
      <c r="C14" s="11" t="s">
        <v>73</v>
      </c>
      <c r="D14" s="12" t="s">
        <v>93</v>
      </c>
      <c r="E14" s="12" t="s">
        <v>94</v>
      </c>
      <c r="F14" s="12" t="s">
        <v>76</v>
      </c>
      <c r="G14" s="12" t="s">
        <v>95</v>
      </c>
      <c r="H14" s="12" t="s">
        <v>78</v>
      </c>
      <c r="I14" s="9" t="s">
        <v>23</v>
      </c>
      <c r="J14" s="12" t="s">
        <v>96</v>
      </c>
      <c r="K14" s="12" t="s">
        <v>97</v>
      </c>
      <c r="L14" s="12">
        <v>2</v>
      </c>
      <c r="M14" s="9">
        <f t="shared" si="1"/>
        <v>20</v>
      </c>
      <c r="N14" s="12">
        <v>100</v>
      </c>
      <c r="O14" s="29" t="s">
        <v>26</v>
      </c>
      <c r="P14" s="19">
        <v>0.0012</v>
      </c>
      <c r="Q14" s="19">
        <f t="shared" si="0"/>
        <v>0.12</v>
      </c>
      <c r="R14" s="12"/>
    </row>
    <row r="15" ht="48.75" spans="1:18">
      <c r="A15" s="2"/>
      <c r="B15" s="7">
        <f>ROW(B15)-ROW($B$2)</f>
        <v>13</v>
      </c>
      <c r="C15" s="8" t="s">
        <v>98</v>
      </c>
      <c r="D15" s="9" t="s">
        <v>99</v>
      </c>
      <c r="E15" s="9" t="s">
        <v>100</v>
      </c>
      <c r="F15" s="12" t="s">
        <v>50</v>
      </c>
      <c r="G15" s="9" t="s">
        <v>101</v>
      </c>
      <c r="H15" s="9" t="s">
        <v>102</v>
      </c>
      <c r="I15" s="9" t="s">
        <v>23</v>
      </c>
      <c r="J15" s="9" t="s">
        <v>103</v>
      </c>
      <c r="K15" s="9" t="s">
        <v>23</v>
      </c>
      <c r="L15" s="9">
        <v>1</v>
      </c>
      <c r="M15" s="9">
        <f t="shared" si="1"/>
        <v>10</v>
      </c>
      <c r="N15" s="9">
        <v>10</v>
      </c>
      <c r="O15" s="29" t="s">
        <v>26</v>
      </c>
      <c r="P15" s="17">
        <v>0.4611</v>
      </c>
      <c r="Q15" s="17">
        <f t="shared" si="0"/>
        <v>4.611</v>
      </c>
      <c r="R15" s="9"/>
    </row>
    <row r="16" ht="19.5" spans="1:18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3" t="s">
        <v>104</v>
      </c>
      <c r="O16" s="24"/>
      <c r="P16" s="24"/>
      <c r="Q16" s="25">
        <f>SUM(Q3:Q15)</f>
        <v>109.245</v>
      </c>
      <c r="R16" s="2"/>
    </row>
    <row r="17" ht="19.5" spans="1:18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3" t="s">
        <v>105</v>
      </c>
      <c r="O17" s="24"/>
      <c r="P17" s="24"/>
      <c r="Q17" s="26">
        <f>Q16/10</f>
        <v>10.9245</v>
      </c>
      <c r="R17" s="2"/>
    </row>
  </sheetData>
  <mergeCells count="3">
    <mergeCell ref="K1:R1"/>
    <mergeCell ref="N16:P16"/>
    <mergeCell ref="N17:P17"/>
  </mergeCells>
  <hyperlinks>
    <hyperlink ref="O8" r:id="rId1" display="Mouser"/>
    <hyperlink ref="O9" r:id="rId2" display="Digikey"/>
    <hyperlink ref="O3" r:id="rId3" display="LCSC"/>
    <hyperlink ref="O4" r:id="rId4" display="LCSC"/>
    <hyperlink ref="O5" r:id="rId5" display="LCSC"/>
    <hyperlink ref="O6" r:id="rId6" display="LCSC"/>
    <hyperlink ref="O7" r:id="rId7" display="LCSC"/>
    <hyperlink ref="O10" r:id="rId8" display="LCSC"/>
    <hyperlink ref="O12" r:id="rId9" display="LCSC"/>
    <hyperlink ref="O13" r:id="rId10" display="LCSC"/>
    <hyperlink ref="O14" r:id="rId11" display="LCSC"/>
    <hyperlink ref="O15" r:id="rId12" display="LCSC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"/>
  <sheetViews>
    <sheetView topLeftCell="H7" workbookViewId="0">
      <selection activeCell="I23" sqref="I23"/>
    </sheetView>
  </sheetViews>
  <sheetFormatPr defaultColWidth="9" defaultRowHeight="15"/>
  <cols>
    <col min="2" max="2" width="3" customWidth="1"/>
    <col min="3" max="3" width="16.1428571428571" customWidth="1"/>
    <col min="4" max="4" width="10.5714285714286" customWidth="1"/>
    <col min="5" max="5" width="26.1428571428571" customWidth="1"/>
    <col min="6" max="6" width="12.7142857142857" customWidth="1"/>
    <col min="7" max="7" width="25.2857142857143" customWidth="1"/>
    <col min="8" max="8" width="15.7142857142857" customWidth="1"/>
    <col min="9" max="9" width="21.5714285714286" customWidth="1"/>
    <col min="10" max="10" width="17" customWidth="1"/>
    <col min="11" max="11" width="6.14285714285714" customWidth="1"/>
    <col min="12" max="12" width="8.71428571428571" customWidth="1"/>
    <col min="13" max="13" width="20.2857142857143" customWidth="1"/>
    <col min="14" max="14" width="17.2857142857143" customWidth="1"/>
    <col min="15" max="15" width="7.71428571428571" customWidth="1"/>
    <col min="16" max="16" width="20.7142857142857" customWidth="1"/>
    <col min="17" max="17" width="21.4285714285714" customWidth="1"/>
    <col min="18" max="18" width="9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3"/>
      <c r="L1" s="13"/>
      <c r="M1" s="13"/>
      <c r="N1" s="13"/>
      <c r="O1" s="13"/>
      <c r="P1" s="13"/>
      <c r="Q1" s="13"/>
      <c r="R1" s="13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110</v>
      </c>
      <c r="N2" s="14" t="s">
        <v>111</v>
      </c>
      <c r="O2" s="5" t="s">
        <v>13</v>
      </c>
      <c r="P2" s="15" t="s">
        <v>112</v>
      </c>
      <c r="Q2" s="5" t="s">
        <v>113</v>
      </c>
      <c r="R2" s="5" t="s">
        <v>16</v>
      </c>
    </row>
    <row r="3" s="1" customFormat="1" spans="1:18">
      <c r="A3" s="6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1</v>
      </c>
      <c r="M3" s="9">
        <f>L3*100</f>
        <v>100</v>
      </c>
      <c r="N3" s="9">
        <v>100</v>
      </c>
      <c r="O3" s="16" t="s">
        <v>26</v>
      </c>
      <c r="P3" s="17">
        <v>0.0795</v>
      </c>
      <c r="Q3" s="17">
        <f>P3*N3</f>
        <v>7.95</v>
      </c>
      <c r="R3" s="9"/>
    </row>
    <row r="4" s="1" customFormat="1" spans="1:18">
      <c r="A4" s="6"/>
      <c r="B4" s="10">
        <f t="shared" ref="B4:B15" si="0">ROW(B4)-ROW($B$2)</f>
        <v>2</v>
      </c>
      <c r="C4" s="11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  <c r="I4" s="9" t="s">
        <v>23</v>
      </c>
      <c r="J4" s="12" t="s">
        <v>33</v>
      </c>
      <c r="K4" s="12" t="s">
        <v>23</v>
      </c>
      <c r="L4" s="12">
        <v>2</v>
      </c>
      <c r="M4" s="9">
        <f t="shared" ref="M4:M15" si="1">L4*100</f>
        <v>200</v>
      </c>
      <c r="N4" s="12">
        <v>200</v>
      </c>
      <c r="O4" s="18" t="s">
        <v>26</v>
      </c>
      <c r="P4" s="19">
        <v>0.0689</v>
      </c>
      <c r="Q4" s="19">
        <f t="shared" ref="Q4:Q5" si="2">P4*N4</f>
        <v>13.78</v>
      </c>
      <c r="R4" s="12"/>
    </row>
    <row r="5" s="1" customFormat="1" ht="36" spans="1:18">
      <c r="A5" s="6"/>
      <c r="B5" s="7">
        <f t="shared" si="0"/>
        <v>3</v>
      </c>
      <c r="C5" s="8" t="s">
        <v>34</v>
      </c>
      <c r="D5" s="9" t="s">
        <v>35</v>
      </c>
      <c r="E5" s="9" t="s">
        <v>36</v>
      </c>
      <c r="F5" s="9" t="s">
        <v>37</v>
      </c>
      <c r="G5" s="9" t="s">
        <v>38</v>
      </c>
      <c r="H5" s="9" t="s">
        <v>39</v>
      </c>
      <c r="I5" s="9" t="s">
        <v>23</v>
      </c>
      <c r="J5" s="9" t="s">
        <v>40</v>
      </c>
      <c r="K5" s="12" t="s">
        <v>23</v>
      </c>
      <c r="L5" s="9">
        <v>1</v>
      </c>
      <c r="M5" s="9">
        <f t="shared" si="1"/>
        <v>100</v>
      </c>
      <c r="N5" s="9">
        <v>100</v>
      </c>
      <c r="O5" s="18" t="s">
        <v>26</v>
      </c>
      <c r="P5" s="17">
        <v>0.0081</v>
      </c>
      <c r="Q5" s="17">
        <f t="shared" si="2"/>
        <v>0.81</v>
      </c>
      <c r="R5" s="9"/>
    </row>
    <row r="6" s="1" customFormat="1" ht="24" spans="1:18">
      <c r="A6" s="6"/>
      <c r="B6" s="10">
        <f t="shared" si="0"/>
        <v>4</v>
      </c>
      <c r="C6" s="11" t="s">
        <v>34</v>
      </c>
      <c r="D6" s="12" t="s">
        <v>41</v>
      </c>
      <c r="E6" s="12" t="s">
        <v>42</v>
      </c>
      <c r="F6" s="12" t="s">
        <v>43</v>
      </c>
      <c r="G6" s="12" t="s">
        <v>44</v>
      </c>
      <c r="H6" s="12" t="s">
        <v>45</v>
      </c>
      <c r="I6" s="9" t="s">
        <v>23</v>
      </c>
      <c r="J6" s="12" t="s">
        <v>46</v>
      </c>
      <c r="K6" s="12" t="s">
        <v>23</v>
      </c>
      <c r="L6" s="12">
        <v>1</v>
      </c>
      <c r="M6" s="9">
        <f t="shared" si="1"/>
        <v>100</v>
      </c>
      <c r="N6" s="12">
        <v>100</v>
      </c>
      <c r="O6" s="18" t="s">
        <v>26</v>
      </c>
      <c r="P6" s="19">
        <v>0.0354</v>
      </c>
      <c r="Q6" s="19">
        <f t="shared" ref="Q6:Q7" si="3">P6*N6</f>
        <v>3.54</v>
      </c>
      <c r="R6" s="12"/>
    </row>
    <row r="7" s="1" customFormat="1" ht="60" spans="1:18">
      <c r="A7" s="6"/>
      <c r="B7" s="7">
        <f t="shared" si="0"/>
        <v>5</v>
      </c>
      <c r="C7" s="8" t="s">
        <v>47</v>
      </c>
      <c r="D7" s="9" t="s">
        <v>48</v>
      </c>
      <c r="E7" s="9" t="s">
        <v>49</v>
      </c>
      <c r="F7" s="12" t="s">
        <v>50</v>
      </c>
      <c r="G7" s="9" t="s">
        <v>51</v>
      </c>
      <c r="H7" s="9" t="s">
        <v>52</v>
      </c>
      <c r="I7" s="9" t="s">
        <v>23</v>
      </c>
      <c r="J7" s="9" t="s">
        <v>53</v>
      </c>
      <c r="K7" s="12" t="s">
        <v>23</v>
      </c>
      <c r="L7" s="9">
        <v>1</v>
      </c>
      <c r="M7" s="9">
        <f t="shared" si="1"/>
        <v>100</v>
      </c>
      <c r="N7" s="9">
        <v>100</v>
      </c>
      <c r="O7" s="18" t="s">
        <v>26</v>
      </c>
      <c r="P7" s="17">
        <v>0.0874</v>
      </c>
      <c r="Q7" s="17">
        <f t="shared" si="3"/>
        <v>8.74</v>
      </c>
      <c r="R7" s="9"/>
    </row>
    <row r="8" s="1" customFormat="1" ht="24" spans="1:18">
      <c r="A8" s="6"/>
      <c r="B8" s="10">
        <f t="shared" si="0"/>
        <v>6</v>
      </c>
      <c r="C8" s="11" t="s">
        <v>54</v>
      </c>
      <c r="D8" s="12" t="s">
        <v>55</v>
      </c>
      <c r="E8" s="12" t="s">
        <v>56</v>
      </c>
      <c r="F8" s="12" t="s">
        <v>50</v>
      </c>
      <c r="G8" s="12" t="s">
        <v>57</v>
      </c>
      <c r="H8" s="12" t="s">
        <v>58</v>
      </c>
      <c r="I8" s="9" t="s">
        <v>23</v>
      </c>
      <c r="J8" s="12" t="s">
        <v>23</v>
      </c>
      <c r="K8" s="12" t="s">
        <v>23</v>
      </c>
      <c r="L8" s="12">
        <v>3</v>
      </c>
      <c r="M8" s="9">
        <f t="shared" si="1"/>
        <v>300</v>
      </c>
      <c r="N8" s="12">
        <v>300</v>
      </c>
      <c r="O8" s="20" t="s">
        <v>59</v>
      </c>
      <c r="P8" s="21">
        <v>0.291</v>
      </c>
      <c r="Q8" s="19">
        <f t="shared" ref="Q8:Q9" si="4">P8*N8</f>
        <v>87.3</v>
      </c>
      <c r="R8" s="12"/>
    </row>
    <row r="9" s="1" customFormat="1" ht="24" spans="1:18">
      <c r="A9" s="6"/>
      <c r="B9" s="7">
        <f t="shared" si="0"/>
        <v>7</v>
      </c>
      <c r="C9" s="8" t="s">
        <v>60</v>
      </c>
      <c r="D9" s="9" t="s">
        <v>61</v>
      </c>
      <c r="E9" s="9" t="s">
        <v>62</v>
      </c>
      <c r="F9" s="12" t="s">
        <v>50</v>
      </c>
      <c r="G9" s="9" t="s">
        <v>63</v>
      </c>
      <c r="H9" s="9" t="s">
        <v>64</v>
      </c>
      <c r="I9" s="9" t="s">
        <v>23</v>
      </c>
      <c r="J9" s="9" t="s">
        <v>23</v>
      </c>
      <c r="K9" s="12" t="s">
        <v>23</v>
      </c>
      <c r="L9" s="9">
        <v>2</v>
      </c>
      <c r="M9" s="9">
        <f t="shared" si="1"/>
        <v>200</v>
      </c>
      <c r="N9" s="9">
        <v>200</v>
      </c>
      <c r="O9" s="20" t="s">
        <v>65</v>
      </c>
      <c r="P9" s="17">
        <v>2.7244</v>
      </c>
      <c r="Q9" s="17">
        <f t="shared" si="4"/>
        <v>544.88</v>
      </c>
      <c r="R9" s="9"/>
    </row>
    <row r="10" s="1" customFormat="1" ht="36" spans="1:18">
      <c r="A10" s="6"/>
      <c r="B10" s="10">
        <f t="shared" si="0"/>
        <v>8</v>
      </c>
      <c r="C10" s="11" t="s">
        <v>66</v>
      </c>
      <c r="D10" s="12" t="s">
        <v>67</v>
      </c>
      <c r="E10" s="12" t="s">
        <v>68</v>
      </c>
      <c r="F10" s="12" t="s">
        <v>69</v>
      </c>
      <c r="G10" s="12" t="s">
        <v>70</v>
      </c>
      <c r="H10" s="12" t="s">
        <v>71</v>
      </c>
      <c r="I10" s="9" t="s">
        <v>23</v>
      </c>
      <c r="J10" s="12" t="s">
        <v>72</v>
      </c>
      <c r="K10" s="12" t="s">
        <v>23</v>
      </c>
      <c r="L10" s="12">
        <v>2</v>
      </c>
      <c r="M10" s="9">
        <f t="shared" si="1"/>
        <v>200</v>
      </c>
      <c r="N10" s="12">
        <v>200</v>
      </c>
      <c r="O10" s="20" t="s">
        <v>26</v>
      </c>
      <c r="P10" s="19">
        <v>0.0228</v>
      </c>
      <c r="Q10" s="19">
        <f t="shared" ref="Q10:Q11" si="5">P10*N10</f>
        <v>4.56</v>
      </c>
      <c r="R10" s="12"/>
    </row>
    <row r="11" s="1" customFormat="1" spans="1:18">
      <c r="A11" s="6"/>
      <c r="B11" s="7">
        <f t="shared" si="0"/>
        <v>9</v>
      </c>
      <c r="C11" s="8" t="s">
        <v>73</v>
      </c>
      <c r="D11" s="9" t="s">
        <v>74</v>
      </c>
      <c r="E11" s="9" t="s">
        <v>75</v>
      </c>
      <c r="F11" s="9" t="s">
        <v>76</v>
      </c>
      <c r="G11" s="9" t="s">
        <v>77</v>
      </c>
      <c r="H11" s="9" t="s">
        <v>78</v>
      </c>
      <c r="I11" s="9" t="s">
        <v>23</v>
      </c>
      <c r="J11" s="9" t="s">
        <v>79</v>
      </c>
      <c r="K11" s="9" t="s">
        <v>80</v>
      </c>
      <c r="L11" s="9">
        <v>3</v>
      </c>
      <c r="M11" s="9">
        <f t="shared" si="1"/>
        <v>300</v>
      </c>
      <c r="N11" s="9">
        <v>300</v>
      </c>
      <c r="O11" s="22" t="str">
        <f t="shared" ref="O11" si="6">HYPERLINK(AB11,"LCSC")</f>
        <v>LCSC</v>
      </c>
      <c r="P11" s="21">
        <v>0.0011</v>
      </c>
      <c r="Q11" s="17">
        <f t="shared" si="5"/>
        <v>0.33</v>
      </c>
      <c r="R11" s="9"/>
    </row>
    <row r="12" s="1" customFormat="1" spans="1:18">
      <c r="A12" s="6"/>
      <c r="B12" s="10">
        <f t="shared" si="0"/>
        <v>10</v>
      </c>
      <c r="C12" s="11" t="s">
        <v>73</v>
      </c>
      <c r="D12" s="12" t="s">
        <v>82</v>
      </c>
      <c r="E12" s="12" t="s">
        <v>83</v>
      </c>
      <c r="F12" s="12" t="s">
        <v>84</v>
      </c>
      <c r="G12" s="12" t="s">
        <v>85</v>
      </c>
      <c r="H12" s="12" t="s">
        <v>78</v>
      </c>
      <c r="I12" s="9" t="s">
        <v>23</v>
      </c>
      <c r="J12" s="12" t="s">
        <v>86</v>
      </c>
      <c r="K12" s="12" t="s">
        <v>87</v>
      </c>
      <c r="L12" s="12">
        <v>2</v>
      </c>
      <c r="M12" s="9">
        <f t="shared" si="1"/>
        <v>200</v>
      </c>
      <c r="N12" s="12">
        <v>200</v>
      </c>
      <c r="O12" s="22" t="s">
        <v>26</v>
      </c>
      <c r="P12" s="19">
        <v>0.0006</v>
      </c>
      <c r="Q12" s="19">
        <f t="shared" ref="Q12:Q13" si="7">P12*N12</f>
        <v>0.12</v>
      </c>
      <c r="R12" s="12"/>
    </row>
    <row r="13" s="1" customFormat="1" ht="24" spans="1:18">
      <c r="A13" s="6"/>
      <c r="B13" s="7">
        <f t="shared" si="0"/>
        <v>11</v>
      </c>
      <c r="C13" s="8" t="s">
        <v>73</v>
      </c>
      <c r="D13" s="9" t="s">
        <v>88</v>
      </c>
      <c r="E13" s="9" t="s">
        <v>89</v>
      </c>
      <c r="F13" s="9" t="s">
        <v>84</v>
      </c>
      <c r="G13" s="9" t="s">
        <v>90</v>
      </c>
      <c r="H13" s="9" t="s">
        <v>78</v>
      </c>
      <c r="I13" s="9" t="s">
        <v>23</v>
      </c>
      <c r="J13" s="9" t="s">
        <v>91</v>
      </c>
      <c r="K13" s="9" t="s">
        <v>92</v>
      </c>
      <c r="L13" s="9">
        <v>2</v>
      </c>
      <c r="M13" s="9">
        <f t="shared" si="1"/>
        <v>200</v>
      </c>
      <c r="N13" s="9">
        <v>200</v>
      </c>
      <c r="O13" s="22" t="s">
        <v>26</v>
      </c>
      <c r="P13" s="17">
        <v>0.0203</v>
      </c>
      <c r="Q13" s="17">
        <f t="shared" si="7"/>
        <v>4.06</v>
      </c>
      <c r="R13" s="9"/>
    </row>
    <row r="14" s="1" customFormat="1" spans="1:18">
      <c r="A14" s="6"/>
      <c r="B14" s="10">
        <f t="shared" si="0"/>
        <v>12</v>
      </c>
      <c r="C14" s="11" t="s">
        <v>73</v>
      </c>
      <c r="D14" s="12" t="s">
        <v>93</v>
      </c>
      <c r="E14" s="12" t="s">
        <v>94</v>
      </c>
      <c r="F14" s="12" t="s">
        <v>76</v>
      </c>
      <c r="G14" s="12" t="s">
        <v>95</v>
      </c>
      <c r="H14" s="12" t="s">
        <v>78</v>
      </c>
      <c r="I14" s="9" t="s">
        <v>23</v>
      </c>
      <c r="J14" s="12" t="s">
        <v>96</v>
      </c>
      <c r="K14" s="12" t="s">
        <v>97</v>
      </c>
      <c r="L14" s="12">
        <v>2</v>
      </c>
      <c r="M14" s="9">
        <f t="shared" si="1"/>
        <v>200</v>
      </c>
      <c r="N14" s="12">
        <v>200</v>
      </c>
      <c r="O14" s="22" t="s">
        <v>26</v>
      </c>
      <c r="P14" s="19">
        <v>0.0012</v>
      </c>
      <c r="Q14" s="19">
        <f t="shared" ref="Q14:Q15" si="8">P14*N14</f>
        <v>0.24</v>
      </c>
      <c r="R14" s="12"/>
    </row>
    <row r="15" s="1" customFormat="1" ht="24.75" spans="1:18">
      <c r="A15" s="6"/>
      <c r="B15" s="7">
        <f t="shared" si="0"/>
        <v>13</v>
      </c>
      <c r="C15" s="8" t="s">
        <v>98</v>
      </c>
      <c r="D15" s="9" t="s">
        <v>99</v>
      </c>
      <c r="E15" s="9" t="s">
        <v>100</v>
      </c>
      <c r="F15" s="12" t="s">
        <v>50</v>
      </c>
      <c r="G15" s="9" t="s">
        <v>101</v>
      </c>
      <c r="H15" s="9" t="s">
        <v>102</v>
      </c>
      <c r="I15" s="9" t="s">
        <v>23</v>
      </c>
      <c r="J15" s="9" t="s">
        <v>103</v>
      </c>
      <c r="K15" s="9" t="s">
        <v>23</v>
      </c>
      <c r="L15" s="9">
        <v>1</v>
      </c>
      <c r="M15" s="9">
        <f t="shared" si="1"/>
        <v>100</v>
      </c>
      <c r="N15" s="9">
        <v>100</v>
      </c>
      <c r="O15" s="22" t="s">
        <v>26</v>
      </c>
      <c r="P15" s="17">
        <v>0.4611</v>
      </c>
      <c r="Q15" s="17">
        <f t="shared" si="8"/>
        <v>46.11</v>
      </c>
      <c r="R15" s="9"/>
    </row>
    <row r="16" ht="19.5" spans="1:18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3" t="s">
        <v>104</v>
      </c>
      <c r="O16" s="24"/>
      <c r="P16" s="24"/>
      <c r="Q16" s="25">
        <f>SUM(Q3:Q15)</f>
        <v>722.42</v>
      </c>
      <c r="R16" s="2"/>
    </row>
    <row r="17" ht="19.5" spans="1:18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3" t="s">
        <v>105</v>
      </c>
      <c r="O17" s="24"/>
      <c r="P17" s="24"/>
      <c r="Q17" s="26">
        <f>Q16/100</f>
        <v>7.2242</v>
      </c>
      <c r="R17" s="2"/>
    </row>
  </sheetData>
  <mergeCells count="3">
    <mergeCell ref="K1:R1"/>
    <mergeCell ref="N16:P16"/>
    <mergeCell ref="N17:P17"/>
  </mergeCells>
  <hyperlinks>
    <hyperlink ref="O8" r:id="rId1" display="Mouser"/>
    <hyperlink ref="O9" r:id="rId2" display="Digikey"/>
    <hyperlink ref="O3" r:id="rId3" display="LCSC"/>
    <hyperlink ref="O4" r:id="rId4" display="LCSC"/>
    <hyperlink ref="O5" r:id="rId5" display="LCSC"/>
    <hyperlink ref="O6" r:id="rId6" display="LCSC"/>
    <hyperlink ref="O7" r:id="rId7" display="LCSC"/>
    <hyperlink ref="O10" r:id="rId8" display="LCSC"/>
    <hyperlink ref="O12" r:id="rId9" display="LCSC"/>
    <hyperlink ref="O13" r:id="rId10" display="LCSC"/>
    <hyperlink ref="O14" r:id="rId11" display="LCSC"/>
    <hyperlink ref="O15" r:id="rId12" display="LCSC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5 Boards</vt:lpstr>
      <vt:lpstr>10 Boards</vt:lpstr>
      <vt:lpstr>100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2025-09-11T15:13:43Z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3A3AFB08611E4173B0DF3225C0A04A47_12</vt:lpwstr>
  </property>
  <property fmtid="{D5CDD505-2E9C-101B-9397-08002B2CF9AE}" pid="3" name="KSOProductBuildVer">
    <vt:lpwstr>2057-12.2.0.21931</vt:lpwstr>
  </property>
</Properties>
</file>