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Mains_Board\Deliverables\BOM\"/>
    </mc:Choice>
  </mc:AlternateContent>
  <bookViews>
    <workbookView xWindow="28680" yWindow="-120" windowWidth="29040" windowHeight="15840" activeTab="1"/>
  </bookViews>
  <sheets>
    <sheet name="5 Boards" sheetId="1" r:id="rId1"/>
    <sheet name="100 Boards" sheetId="2" r:id="rId2"/>
  </sheets>
  <calcPr calcId="162913"/>
</workbook>
</file>

<file path=xl/calcChain.xml><?xml version="1.0" encoding="utf-8"?>
<calcChain xmlns="http://schemas.openxmlformats.org/spreadsheetml/2006/main">
  <c r="Q17" i="2" l="1"/>
  <c r="M4" i="2"/>
  <c r="M5" i="2"/>
  <c r="M6" i="2"/>
  <c r="M7" i="2"/>
  <c r="M8" i="2"/>
  <c r="M9" i="2"/>
  <c r="M10" i="2"/>
  <c r="M11" i="2"/>
  <c r="M12" i="2"/>
  <c r="M13" i="2"/>
  <c r="M14" i="2"/>
  <c r="M15" i="2"/>
  <c r="M3" i="2"/>
  <c r="Q15" i="2" l="1"/>
  <c r="B15" i="2"/>
  <c r="Q14" i="2"/>
  <c r="B14" i="2"/>
  <c r="Q13" i="2"/>
  <c r="B13" i="2"/>
  <c r="Q12" i="2"/>
  <c r="B12" i="2"/>
  <c r="Q11" i="2"/>
  <c r="O11" i="2"/>
  <c r="B11" i="2"/>
  <c r="Q10" i="2"/>
  <c r="B10" i="2"/>
  <c r="Q9" i="2"/>
  <c r="B9" i="2"/>
  <c r="Q8" i="2"/>
  <c r="B8" i="2"/>
  <c r="Q7" i="2"/>
  <c r="B7" i="2"/>
  <c r="Q6" i="2"/>
  <c r="B6" i="2"/>
  <c r="Q5" i="2"/>
  <c r="B5" i="2"/>
  <c r="Q4" i="2"/>
  <c r="B4" i="2"/>
  <c r="Q3" i="2"/>
  <c r="Q16" i="2" s="1"/>
  <c r="B3" i="2"/>
  <c r="Q16" i="1" l="1"/>
  <c r="O11" i="1"/>
  <c r="Q15" i="1" l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/>
  <c r="M9" i="1"/>
  <c r="B9" i="1"/>
  <c r="Q8" i="1"/>
  <c r="M8" i="1"/>
  <c r="B8" i="1"/>
  <c r="Q7" i="1"/>
  <c r="M7" i="1"/>
  <c r="B7" i="1"/>
  <c r="Q6" i="1"/>
  <c r="M6" i="1"/>
  <c r="B6" i="1"/>
  <c r="Q5" i="1"/>
  <c r="M5" i="1"/>
  <c r="B5" i="1"/>
  <c r="Q17" i="1" l="1"/>
  <c r="Q4" i="1"/>
  <c r="Q3" i="1"/>
  <c r="M4" i="1"/>
  <c r="M3" i="1"/>
  <c r="B4" i="1"/>
  <c r="B3" i="1"/>
</calcChain>
</file>

<file path=xl/sharedStrings.xml><?xml version="1.0" encoding="utf-8"?>
<sst xmlns="http://schemas.openxmlformats.org/spreadsheetml/2006/main" count="298" uniqueCount="110">
  <si>
    <t>#</t>
  </si>
  <si>
    <t xml:space="preserve">Total Component Cost </t>
  </si>
  <si>
    <t>Single Board Cost</t>
  </si>
  <si>
    <t>Item Type</t>
  </si>
  <si>
    <t>Capacitor</t>
  </si>
  <si>
    <t>Diodes</t>
  </si>
  <si>
    <t>Diode</t>
  </si>
  <si>
    <t>Connector</t>
  </si>
  <si>
    <t>Terminal Blocks</t>
  </si>
  <si>
    <t>RELAY</t>
  </si>
  <si>
    <t>Mosfet</t>
  </si>
  <si>
    <t>Resistor</t>
  </si>
  <si>
    <t>IC</t>
  </si>
  <si>
    <t>Designator</t>
  </si>
  <si>
    <t>C1</t>
  </si>
  <si>
    <t>D1, D2</t>
  </si>
  <si>
    <t>D3</t>
  </si>
  <si>
    <t>D4</t>
  </si>
  <si>
    <t>J1</t>
  </si>
  <si>
    <t>J2, J3, J4</t>
  </si>
  <si>
    <t>K1, K2</t>
  </si>
  <si>
    <t>Q1, Q2</t>
  </si>
  <si>
    <t>R1, R2, R3</t>
  </si>
  <si>
    <t>R4, R5</t>
  </si>
  <si>
    <t>R6, R7</t>
  </si>
  <si>
    <t>R8, R9</t>
  </si>
  <si>
    <t>U1</t>
  </si>
  <si>
    <t>Description</t>
  </si>
  <si>
    <t>CAP CER 0.1UF 50V X5R 0402</t>
  </si>
  <si>
    <t>DIODE SCHOTTKY 100V 1A SMA</t>
  </si>
  <si>
    <t>Independent Type 2.5V~2.9V 500mW 2.7V LL-34 Zener Diodes ROHS</t>
  </si>
  <si>
    <t>DIODE ZENER 3.3V 200MW SOD323F</t>
  </si>
  <si>
    <t>1x6P 6P PicoBlade(MX 1.25) Tin 6 -25℃~+85℃ 2A 1 1.25mm Brass Surface Mount,Vertical SMD,P=1.25mm Wire To Board Connector ROHS</t>
  </si>
  <si>
    <t>TERMINAL BLOCK, SCREW TYPE, 5.08</t>
  </si>
  <si>
    <t>RELAY GEN PURPOSE SPST 23A 12V</t>
  </si>
  <si>
    <t>60V 3A 1.7W 86mΩ@10V,3A N Channel SOT-23(TO-236) MOSFETs ROHS</t>
  </si>
  <si>
    <t>RES 0 OHM JUMPER 1/10W 0603</t>
  </si>
  <si>
    <t>RES 1K OHM 5% 1/16W 0402</t>
  </si>
  <si>
    <t>RES SMD 47K OHM 0.1% 1/16W 0402</t>
  </si>
  <si>
    <t>RES 220K OHM 1% 1/10W 0603</t>
  </si>
  <si>
    <t>OPTOISOLATOR 5.3KV TRANS 4SMD</t>
  </si>
  <si>
    <t>Footprint</t>
  </si>
  <si>
    <t>Cap-0402</t>
  </si>
  <si>
    <t>SMA</t>
  </si>
  <si>
    <t>LL-34</t>
  </si>
  <si>
    <t>SOD323F</t>
  </si>
  <si>
    <t>HC-1.25-6PLT</t>
  </si>
  <si>
    <t>TB008A-508-02BE</t>
  </si>
  <si>
    <t>G2RL-1A-E2-CV-HA DC12</t>
  </si>
  <si>
    <t>SOT-23</t>
  </si>
  <si>
    <t>Res-0603</t>
  </si>
  <si>
    <t>Res-0402</t>
  </si>
  <si>
    <t>SFH6156-2</t>
  </si>
  <si>
    <t>Manufacturer Part Number</t>
  </si>
  <si>
    <t>C1005X5R1H104K050BB</t>
  </si>
  <si>
    <t>STPS1H100A</t>
  </si>
  <si>
    <t>ZMM2V7</t>
  </si>
  <si>
    <t>MM3Z3V3B</t>
  </si>
  <si>
    <t>SI2310-HXY</t>
  </si>
  <si>
    <t>RC0603JR-070RL</t>
  </si>
  <si>
    <t>RC0402JR-071KL</t>
  </si>
  <si>
    <t>RT0402BRE0747KL</t>
  </si>
  <si>
    <t>RC0603FR-07220KL</t>
  </si>
  <si>
    <t>Manufacturer</t>
  </si>
  <si>
    <t>TDK</t>
  </si>
  <si>
    <t>STMicroelectronics</t>
  </si>
  <si>
    <t>HXY MOSFET</t>
  </si>
  <si>
    <t>ON Semiconductor / Fairchild</t>
  </si>
  <si>
    <t>HCTL</t>
  </si>
  <si>
    <t>Same Sky</t>
  </si>
  <si>
    <t>HXY</t>
  </si>
  <si>
    <t>Yageo</t>
  </si>
  <si>
    <t>Vishay</t>
  </si>
  <si>
    <t>LCSC Part Number</t>
  </si>
  <si>
    <t>C2181865</t>
  </si>
  <si>
    <t>C165701</t>
  </si>
  <si>
    <t>C2891738</t>
  </si>
  <si>
    <t>C2978865</t>
  </si>
  <si>
    <t>C2845392</t>
  </si>
  <si>
    <t>C4748716</t>
  </si>
  <si>
    <t>C95177</t>
  </si>
  <si>
    <t>C105637</t>
  </si>
  <si>
    <t>C853293</t>
  </si>
  <si>
    <t>C123420</t>
  </si>
  <si>
    <t>C5156027</t>
  </si>
  <si>
    <t>0.1uF</t>
  </si>
  <si>
    <t>0R</t>
  </si>
  <si>
    <t>1K</t>
  </si>
  <si>
    <t>47K</t>
  </si>
  <si>
    <t>220K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</si>
  <si>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</si>
  <si>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</si>
  <si>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</si>
  <si>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</si>
  <si>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</si>
  <si>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</si>
  <si>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</si>
  <si>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</si>
  <si>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 xml:space="preserve"> Remarks</t>
  </si>
  <si>
    <t>Mouser</t>
  </si>
  <si>
    <t>0.0011</t>
  </si>
  <si>
    <t>-</t>
  </si>
  <si>
    <t>Custom</t>
  </si>
  <si>
    <t>Digikey</t>
  </si>
  <si>
    <t>Omron Electronics Inc-EMC Div</t>
  </si>
  <si>
    <t>LCSC</t>
  </si>
  <si>
    <t>Quantity (100 Boards)</t>
  </si>
  <si>
    <t>MOQ (100 Boards)</t>
  </si>
  <si>
    <t>Unit Cost (100 Boards)</t>
  </si>
  <si>
    <t>Total Cost (100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</si>
</sst>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5" fontId="3" fillId="3" borderId="3" xfId="0" quotePrefix="1" applyNumberFormat="1" applyFont="1" applyFill="1" applyBorder="1" applyAlignment="1">
      <alignment horizontal="center" vertical="center" wrapText="1"/>
    </xf>
    <xf numFmtId="165" fontId="3" fillId="3" borderId="7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3" borderId="6" xfId="0" applyFont="1" applyFill="1" applyBorder="1" applyAlignment="1" applyProtection="1">
      <alignment horizontal="center" vertical="top"/>
      <protection locked="0"/>
    </xf>
    <xf numFmtId="0" fontId="8" fillId="3" borderId="2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0" borderId="5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OSFETs_HXY-MOSFET-SI2310-HXY_C4748716.html?s_z=n_C4748716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Multilayer-Ceramic-Capacitors-MLCC-SMD-SMT_TDK-C1005X5R1H104K050BB_C2181865.html?s_z=n_C2181865" TargetMode="External"/><Relationship Id="rId7" Type="http://schemas.openxmlformats.org/officeDocument/2006/relationships/hyperlink" Target="https://lcsc.com/product-detail/Wire-To-Board-Connector_HCTL-HC-1-25-6PLT_C2845392.html?s_z=n_C2845392" TargetMode="External"/><Relationship Id="rId12" Type="http://schemas.openxmlformats.org/officeDocument/2006/relationships/hyperlink" Target="https://lcsc.com/product-detail/Transistor-Photovoltaic-Output-Optoisolators_VISHAY-SFH6156-2_C5156027.html?s_z=n_C5156027" TargetMode="External"/><Relationship Id="rId2" Type="http://schemas.openxmlformats.org/officeDocument/2006/relationships/hyperlink" Target="https://www.digikey.com/en/products/detail/omron-electronics-inc-emc-div/G2RL-1A-E2-CV-HA-DC12/10070630?s=N4IgTCBcDaIOJgEoBkC0BGAgqgomVAwgGqoASmABACIHoQC6AvkA" TargetMode="External"/><Relationship Id="rId1" Type="http://schemas.openxmlformats.org/officeDocument/2006/relationships/hyperlink" Target="https://eu.mouser.com/ProductDetail/Same-Sky/TB008A-508-02BE?qs=vLWxofP3U2w5I2Hxj8y2hQ%3D%3D" TargetMode="External"/><Relationship Id="rId6" Type="http://schemas.openxmlformats.org/officeDocument/2006/relationships/hyperlink" Target="https://lcsc.com/product-detail/Zener-Diodes_EIC-Semicon-MM3Z3V3B_C2978865.html?s_z=n_C2978865" TargetMode="External"/><Relationship Id="rId11" Type="http://schemas.openxmlformats.org/officeDocument/2006/relationships/hyperlink" Target="https://lcsc.com/product-detail/Chip-Resistor-Surface-Mount_YAGEO-RC0603FR-07220KL_C123420.html?s_z=n_C123420" TargetMode="External"/><Relationship Id="rId5" Type="http://schemas.openxmlformats.org/officeDocument/2006/relationships/hyperlink" Target="https://lcsc.com/product-detail/Zener-Diodes_YONGYUTAI-ZMM2V7_C2891738.html?s_z=n_C2891738" TargetMode="External"/><Relationship Id="rId10" Type="http://schemas.openxmlformats.org/officeDocument/2006/relationships/hyperlink" Target="https://lcsc.com/product-detail/Chip-Resistor-Surface-Mount_YAGEO-RT0402BRE0747KL_C853293.html?s_z=n_C853293" TargetMode="External"/><Relationship Id="rId4" Type="http://schemas.openxmlformats.org/officeDocument/2006/relationships/hyperlink" Target="https://lcsc.com/product-detail/Schottky-Diodes_ST-STPS1H100A_C165701.html?s_z=n_C165701" TargetMode="External"/><Relationship Id="rId9" Type="http://schemas.openxmlformats.org/officeDocument/2006/relationships/hyperlink" Target="https://lcsc.com/product-detail/Chip-Resistor-Surface-Mount_YAGEO-RC0402JR-071KL_C105637.html?s_z=n_C10563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OSFETs_HXY-MOSFET-SI2310-HXY_C4748716.html?s_z=n_C4748716" TargetMode="External"/><Relationship Id="rId3" Type="http://schemas.openxmlformats.org/officeDocument/2006/relationships/hyperlink" Target="https://lcsc.com/product-detail/Multilayer-Ceramic-Capacitors-MLCC-SMD-SMT_TDK-C1005X5R1H104K050BB_C2181865.html?s_z=n_C2181865" TargetMode="External"/><Relationship Id="rId7" Type="http://schemas.openxmlformats.org/officeDocument/2006/relationships/hyperlink" Target="https://lcsc.com/product-detail/Wire-To-Board-Connector_HCTL-HC-1-25-6PLT_C2845392.html?s_z=n_C2845392" TargetMode="External"/><Relationship Id="rId12" Type="http://schemas.openxmlformats.org/officeDocument/2006/relationships/hyperlink" Target="https://lcsc.com/product-detail/Transistor-Photovoltaic-Output-Optoisolators_VISHAY-SFH6156-2_C5156027.html?s_z=n_C5156027" TargetMode="External"/><Relationship Id="rId2" Type="http://schemas.openxmlformats.org/officeDocument/2006/relationships/hyperlink" Target="https://www.digikey.com/en/products/detail/omron-electronics-inc-emc-div/G2RL-1A-E2-CV-HA-DC12/10070630?s=N4IgTCBcDaIOJgEoBkC0BGAgqgomVAwgGqoASmABACIHoQC6AvkA" TargetMode="External"/><Relationship Id="rId1" Type="http://schemas.openxmlformats.org/officeDocument/2006/relationships/hyperlink" Target="https://eu.mouser.com/ProductDetail/Same-Sky/TB008A-508-02BE?qs=vLWxofP3U2w5I2Hxj8y2hQ%3D%3D" TargetMode="External"/><Relationship Id="rId6" Type="http://schemas.openxmlformats.org/officeDocument/2006/relationships/hyperlink" Target="https://lcsc.com/product-detail/Zener-Diodes_EIC-Semicon-MM3Z3V3B_C2978865.html?s_z=n_C2978865" TargetMode="External"/><Relationship Id="rId11" Type="http://schemas.openxmlformats.org/officeDocument/2006/relationships/hyperlink" Target="https://lcsc.com/product-detail/Chip-Resistor-Surface-Mount_YAGEO-RC0603FR-07220KL_C123420.html?s_z=n_C123420" TargetMode="External"/><Relationship Id="rId5" Type="http://schemas.openxmlformats.org/officeDocument/2006/relationships/hyperlink" Target="https://lcsc.com/product-detail/Zener-Diodes_YONGYUTAI-ZMM2V7_C2891738.html?s_z=n_C2891738" TargetMode="External"/><Relationship Id="rId10" Type="http://schemas.openxmlformats.org/officeDocument/2006/relationships/hyperlink" Target="https://lcsc.com/product-detail/Chip-Resistor-Surface-Mount_YAGEO-RT0402BRE0747KL_C853293.html?s_z=n_C853293" TargetMode="External"/><Relationship Id="rId4" Type="http://schemas.openxmlformats.org/officeDocument/2006/relationships/hyperlink" Target="https://lcsc.com/product-detail/Schottky-Diodes_ST-STPS1H100A_C165701.html?s_z=n_C165701" TargetMode="External"/><Relationship Id="rId9" Type="http://schemas.openxmlformats.org/officeDocument/2006/relationships/hyperlink" Target="https://lcsc.com/product-detail/Chip-Resistor-Surface-Mount_YAGEO-RC0402JR-071KL_C105637.html?s_z=n_C105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9"/>
  <sheetViews>
    <sheetView topLeftCell="F1" workbookViewId="0">
      <selection sqref="A1:R17"/>
    </sheetView>
  </sheetViews>
  <sheetFormatPr defaultRowHeight="15"/>
  <cols>
    <col min="2" max="2" width="3.140625" style="4" customWidth="1"/>
    <col min="3" max="3" width="18" style="4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710937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3"/>
      <c r="C1" s="3"/>
      <c r="D1" s="2"/>
      <c r="E1" s="2"/>
      <c r="F1" s="2"/>
      <c r="G1" s="2"/>
      <c r="H1" s="2"/>
      <c r="I1" s="2"/>
      <c r="J1" s="2"/>
      <c r="K1" s="23"/>
      <c r="L1" s="23"/>
      <c r="M1" s="23"/>
      <c r="N1" s="23"/>
      <c r="O1" s="23"/>
      <c r="P1" s="23"/>
      <c r="Q1" s="23"/>
      <c r="R1" s="23"/>
    </row>
    <row r="2" spans="1:18" ht="15.75" thickBot="1">
      <c r="A2" s="1"/>
      <c r="B2" s="5" t="s">
        <v>0</v>
      </c>
      <c r="C2" s="5" t="s">
        <v>3</v>
      </c>
      <c r="D2" s="5" t="s">
        <v>13</v>
      </c>
      <c r="E2" s="5" t="s">
        <v>27</v>
      </c>
      <c r="F2" s="5" t="s">
        <v>41</v>
      </c>
      <c r="G2" s="5" t="s">
        <v>53</v>
      </c>
      <c r="H2" s="5" t="s">
        <v>63</v>
      </c>
      <c r="I2" s="5" t="s">
        <v>91</v>
      </c>
      <c r="J2" s="5" t="s">
        <v>73</v>
      </c>
      <c r="K2" s="5" t="s">
        <v>92</v>
      </c>
      <c r="L2" s="5" t="s">
        <v>90</v>
      </c>
      <c r="M2" s="5" t="s">
        <v>93</v>
      </c>
      <c r="N2" s="17" t="s">
        <v>94</v>
      </c>
      <c r="O2" s="5" t="s">
        <v>95</v>
      </c>
      <c r="P2" s="18" t="s">
        <v>96</v>
      </c>
      <c r="Q2" s="5" t="s">
        <v>97</v>
      </c>
      <c r="R2" s="5" t="s">
        <v>98</v>
      </c>
    </row>
    <row r="3" spans="1:18">
      <c r="A3" s="1"/>
      <c r="B3" s="8">
        <f>ROW(B3) - ROW($B$2)</f>
        <v>1</v>
      </c>
      <c r="C3" s="14" t="s">
        <v>4</v>
      </c>
      <c r="D3" s="6" t="s">
        <v>14</v>
      </c>
      <c r="E3" s="6" t="s">
        <v>28</v>
      </c>
      <c r="F3" s="6" t="s">
        <v>42</v>
      </c>
      <c r="G3" s="6" t="s">
        <v>54</v>
      </c>
      <c r="H3" s="6" t="s">
        <v>64</v>
      </c>
      <c r="I3" s="6" t="s">
        <v>101</v>
      </c>
      <c r="J3" s="6" t="s">
        <v>74</v>
      </c>
      <c r="K3" s="6" t="s">
        <v>85</v>
      </c>
      <c r="L3" s="6">
        <v>1</v>
      </c>
      <c r="M3" s="6">
        <f>L3*5</f>
        <v>5</v>
      </c>
      <c r="N3" s="6">
        <v>5</v>
      </c>
      <c r="O3" s="21" t="s">
        <v>105</v>
      </c>
      <c r="P3" s="7">
        <v>9.8500000000000004E-2</v>
      </c>
      <c r="Q3" s="7">
        <f>P3*N3</f>
        <v>0.49250000000000005</v>
      </c>
      <c r="R3" s="6"/>
    </row>
    <row r="4" spans="1:18">
      <c r="A4" s="1"/>
      <c r="B4" s="9">
        <f t="shared" ref="B4:B14" si="0">ROW(B4) - ROW($B$2)</f>
        <v>2</v>
      </c>
      <c r="C4" s="15" t="s">
        <v>5</v>
      </c>
      <c r="D4" s="12" t="s">
        <v>15</v>
      </c>
      <c r="E4" s="12" t="s">
        <v>29</v>
      </c>
      <c r="F4" s="12" t="s">
        <v>43</v>
      </c>
      <c r="G4" s="12" t="s">
        <v>55</v>
      </c>
      <c r="H4" s="12" t="s">
        <v>65</v>
      </c>
      <c r="I4" s="6" t="s">
        <v>101</v>
      </c>
      <c r="J4" s="12" t="s">
        <v>75</v>
      </c>
      <c r="K4" s="12" t="s">
        <v>101</v>
      </c>
      <c r="L4" s="12">
        <v>2</v>
      </c>
      <c r="M4" s="12">
        <f t="shared" ref="M4" si="1">L4*5</f>
        <v>10</v>
      </c>
      <c r="N4" s="12">
        <v>10</v>
      </c>
      <c r="O4" s="22" t="s">
        <v>105</v>
      </c>
      <c r="P4" s="13">
        <v>8.1900000000000001E-2</v>
      </c>
      <c r="Q4" s="13">
        <f t="shared" ref="Q4" si="2">P4*N4</f>
        <v>0.81899999999999995</v>
      </c>
      <c r="R4" s="12"/>
    </row>
    <row r="5" spans="1:18" ht="24">
      <c r="A5" s="1"/>
      <c r="B5" s="8">
        <f>ROW(B5) - ROW($B$2)</f>
        <v>3</v>
      </c>
      <c r="C5" s="14" t="s">
        <v>6</v>
      </c>
      <c r="D5" s="6" t="s">
        <v>16</v>
      </c>
      <c r="E5" s="6" t="s">
        <v>30</v>
      </c>
      <c r="F5" s="6" t="s">
        <v>44</v>
      </c>
      <c r="G5" s="6" t="s">
        <v>56</v>
      </c>
      <c r="H5" s="6" t="s">
        <v>66</v>
      </c>
      <c r="I5" s="6" t="s">
        <v>101</v>
      </c>
      <c r="J5" s="6" t="s">
        <v>76</v>
      </c>
      <c r="K5" s="12" t="s">
        <v>101</v>
      </c>
      <c r="L5" s="6">
        <v>1</v>
      </c>
      <c r="M5" s="6">
        <f>L5*5</f>
        <v>5</v>
      </c>
      <c r="N5" s="6">
        <v>50</v>
      </c>
      <c r="O5" s="22" t="s">
        <v>105</v>
      </c>
      <c r="P5" s="7">
        <v>8.0999999999999996E-3</v>
      </c>
      <c r="Q5" s="7">
        <f>P5*N5</f>
        <v>0.40499999999999997</v>
      </c>
      <c r="R5" s="6"/>
    </row>
    <row r="6" spans="1:18" ht="24">
      <c r="A6" s="1"/>
      <c r="B6" s="9">
        <f t="shared" si="0"/>
        <v>4</v>
      </c>
      <c r="C6" s="15" t="s">
        <v>6</v>
      </c>
      <c r="D6" s="12" t="s">
        <v>17</v>
      </c>
      <c r="E6" s="12" t="s">
        <v>31</v>
      </c>
      <c r="F6" s="12" t="s">
        <v>45</v>
      </c>
      <c r="G6" s="12" t="s">
        <v>57</v>
      </c>
      <c r="H6" s="12" t="s">
        <v>67</v>
      </c>
      <c r="I6" s="6" t="s">
        <v>101</v>
      </c>
      <c r="J6" s="12" t="s">
        <v>77</v>
      </c>
      <c r="K6" s="12" t="s">
        <v>101</v>
      </c>
      <c r="L6" s="12">
        <v>1</v>
      </c>
      <c r="M6" s="12">
        <f t="shared" ref="M6" si="3">L6*5</f>
        <v>5</v>
      </c>
      <c r="N6" s="12">
        <v>10</v>
      </c>
      <c r="O6" s="22" t="s">
        <v>105</v>
      </c>
      <c r="P6" s="13">
        <v>4.48E-2</v>
      </c>
      <c r="Q6" s="13">
        <f t="shared" ref="Q6" si="4">P6*N6</f>
        <v>0.44800000000000001</v>
      </c>
      <c r="R6" s="12"/>
    </row>
    <row r="7" spans="1:18" ht="48">
      <c r="A7" s="1"/>
      <c r="B7" s="8">
        <f>ROW(B7) - ROW($B$2)</f>
        <v>5</v>
      </c>
      <c r="C7" s="14" t="s">
        <v>7</v>
      </c>
      <c r="D7" s="6" t="s">
        <v>18</v>
      </c>
      <c r="E7" s="6" t="s">
        <v>32</v>
      </c>
      <c r="F7" s="12" t="s">
        <v>102</v>
      </c>
      <c r="G7" s="6" t="s">
        <v>46</v>
      </c>
      <c r="H7" s="6" t="s">
        <v>68</v>
      </c>
      <c r="I7" s="6" t="s">
        <v>101</v>
      </c>
      <c r="J7" s="6" t="s">
        <v>78</v>
      </c>
      <c r="K7" s="12" t="s">
        <v>101</v>
      </c>
      <c r="L7" s="6">
        <v>1</v>
      </c>
      <c r="M7" s="6">
        <f>L7*5</f>
        <v>5</v>
      </c>
      <c r="N7" s="6">
        <v>5</v>
      </c>
      <c r="O7" s="22" t="s">
        <v>105</v>
      </c>
      <c r="P7" s="7">
        <v>0.10879999999999999</v>
      </c>
      <c r="Q7" s="7">
        <f>P7*N7</f>
        <v>0.54399999999999993</v>
      </c>
      <c r="R7" s="6"/>
    </row>
    <row r="8" spans="1:18">
      <c r="A8" s="1"/>
      <c r="B8" s="9">
        <f t="shared" si="0"/>
        <v>6</v>
      </c>
      <c r="C8" s="15" t="s">
        <v>8</v>
      </c>
      <c r="D8" s="12" t="s">
        <v>19</v>
      </c>
      <c r="E8" s="12" t="s">
        <v>33</v>
      </c>
      <c r="F8" s="12" t="s">
        <v>102</v>
      </c>
      <c r="G8" s="12" t="s">
        <v>47</v>
      </c>
      <c r="H8" s="12" t="s">
        <v>69</v>
      </c>
      <c r="I8" s="6" t="s">
        <v>101</v>
      </c>
      <c r="J8" s="12" t="s">
        <v>101</v>
      </c>
      <c r="K8" s="12" t="s">
        <v>101</v>
      </c>
      <c r="L8" s="12">
        <v>3</v>
      </c>
      <c r="M8" s="12">
        <f t="shared" ref="M8" si="5">L8*5</f>
        <v>15</v>
      </c>
      <c r="N8" s="12">
        <v>15</v>
      </c>
      <c r="O8" s="19" t="s">
        <v>99</v>
      </c>
      <c r="P8" s="20">
        <v>0.63</v>
      </c>
      <c r="Q8" s="13">
        <f t="shared" ref="Q8" si="6">P8*N8</f>
        <v>9.4499999999999993</v>
      </c>
      <c r="R8" s="12"/>
    </row>
    <row r="9" spans="1:18" ht="24">
      <c r="A9" s="1"/>
      <c r="B9" s="8">
        <f>ROW(B9) - ROW($B$2)</f>
        <v>7</v>
      </c>
      <c r="C9" s="14" t="s">
        <v>9</v>
      </c>
      <c r="D9" s="6" t="s">
        <v>20</v>
      </c>
      <c r="E9" s="6" t="s">
        <v>34</v>
      </c>
      <c r="F9" s="12" t="s">
        <v>102</v>
      </c>
      <c r="G9" s="6" t="s">
        <v>48</v>
      </c>
      <c r="H9" s="6" t="s">
        <v>104</v>
      </c>
      <c r="I9" s="6" t="s">
        <v>101</v>
      </c>
      <c r="J9" s="6" t="s">
        <v>101</v>
      </c>
      <c r="K9" s="12" t="s">
        <v>101</v>
      </c>
      <c r="L9" s="6">
        <v>2</v>
      </c>
      <c r="M9" s="6">
        <f>L9*5</f>
        <v>10</v>
      </c>
      <c r="N9" s="6">
        <v>10</v>
      </c>
      <c r="O9" s="19" t="s">
        <v>103</v>
      </c>
      <c r="P9" s="7">
        <v>4.01</v>
      </c>
      <c r="Q9" s="7">
        <f>P9*N9</f>
        <v>40.099999999999994</v>
      </c>
      <c r="R9" s="6"/>
    </row>
    <row r="10" spans="1:18" ht="24">
      <c r="A10" s="1"/>
      <c r="B10" s="9">
        <f t="shared" si="0"/>
        <v>8</v>
      </c>
      <c r="C10" s="15" t="s">
        <v>10</v>
      </c>
      <c r="D10" s="12" t="s">
        <v>21</v>
      </c>
      <c r="E10" s="12" t="s">
        <v>35</v>
      </c>
      <c r="F10" s="12" t="s">
        <v>49</v>
      </c>
      <c r="G10" s="12" t="s">
        <v>58</v>
      </c>
      <c r="H10" s="12" t="s">
        <v>70</v>
      </c>
      <c r="I10" s="6" t="s">
        <v>101</v>
      </c>
      <c r="J10" s="12" t="s">
        <v>79</v>
      </c>
      <c r="K10" s="12" t="s">
        <v>101</v>
      </c>
      <c r="L10" s="12">
        <v>2</v>
      </c>
      <c r="M10" s="12">
        <f t="shared" ref="M10" si="7">L10*5</f>
        <v>10</v>
      </c>
      <c r="N10" s="12">
        <v>10</v>
      </c>
      <c r="O10" s="19" t="s">
        <v>105</v>
      </c>
      <c r="P10" s="13">
        <v>2.7400000000000001E-2</v>
      </c>
      <c r="Q10" s="13">
        <f t="shared" ref="Q10" si="8">P10*N10</f>
        <v>0.27400000000000002</v>
      </c>
      <c r="R10" s="12"/>
    </row>
    <row r="11" spans="1:18">
      <c r="A11" s="1"/>
      <c r="B11" s="8">
        <f>ROW(B11) - ROW($B$2)</f>
        <v>9</v>
      </c>
      <c r="C11" s="14" t="s">
        <v>11</v>
      </c>
      <c r="D11" s="6" t="s">
        <v>22</v>
      </c>
      <c r="E11" s="6" t="s">
        <v>36</v>
      </c>
      <c r="F11" s="6" t="s">
        <v>50</v>
      </c>
      <c r="G11" s="6" t="s">
        <v>59</v>
      </c>
      <c r="H11" s="6" t="s">
        <v>71</v>
      </c>
      <c r="I11" s="6" t="s">
        <v>101</v>
      </c>
      <c r="J11" s="6" t="s">
        <v>80</v>
      </c>
      <c r="K11" s="6" t="s">
        <v>86</v>
      </c>
      <c r="L11" s="6">
        <v>3</v>
      </c>
      <c r="M11" s="6">
        <f>L11*5</f>
        <v>15</v>
      </c>
      <c r="N11" s="6">
        <v>100</v>
      </c>
      <c r="O11" s="19" t="str">
        <f t="shared" ref="O11" si="9">HYPERLINK(AB11, "LCSC")</f>
        <v>LCSC</v>
      </c>
      <c r="P11" s="20" t="s">
        <v>100</v>
      </c>
      <c r="Q11" s="7">
        <f>P11*N11</f>
        <v>0.11</v>
      </c>
      <c r="R11" s="6"/>
    </row>
    <row r="12" spans="1:18">
      <c r="A12" s="1"/>
      <c r="B12" s="9">
        <f t="shared" si="0"/>
        <v>10</v>
      </c>
      <c r="C12" s="15" t="s">
        <v>11</v>
      </c>
      <c r="D12" s="12" t="s">
        <v>23</v>
      </c>
      <c r="E12" s="12" t="s">
        <v>37</v>
      </c>
      <c r="F12" s="12" t="s">
        <v>51</v>
      </c>
      <c r="G12" s="12" t="s">
        <v>60</v>
      </c>
      <c r="H12" s="12" t="s">
        <v>71</v>
      </c>
      <c r="I12" s="6" t="s">
        <v>101</v>
      </c>
      <c r="J12" s="12" t="s">
        <v>81</v>
      </c>
      <c r="K12" s="12" t="s">
        <v>87</v>
      </c>
      <c r="L12" s="12">
        <v>2</v>
      </c>
      <c r="M12" s="12">
        <f t="shared" ref="M12" si="10">L12*5</f>
        <v>10</v>
      </c>
      <c r="N12" s="12">
        <v>100</v>
      </c>
      <c r="O12" s="19" t="s">
        <v>105</v>
      </c>
      <c r="P12" s="13">
        <v>5.9999999999999995E-4</v>
      </c>
      <c r="Q12" s="13">
        <f t="shared" ref="Q12" si="11">P12*N12</f>
        <v>0.06</v>
      </c>
      <c r="R12" s="12"/>
    </row>
    <row r="13" spans="1:18">
      <c r="A13" s="1"/>
      <c r="B13" s="8">
        <f>ROW(B13) - ROW($B$2)</f>
        <v>11</v>
      </c>
      <c r="C13" s="14" t="s">
        <v>11</v>
      </c>
      <c r="D13" s="6" t="s">
        <v>24</v>
      </c>
      <c r="E13" s="6" t="s">
        <v>38</v>
      </c>
      <c r="F13" s="6" t="s">
        <v>51</v>
      </c>
      <c r="G13" s="6" t="s">
        <v>61</v>
      </c>
      <c r="H13" s="6" t="s">
        <v>71</v>
      </c>
      <c r="I13" s="6" t="s">
        <v>101</v>
      </c>
      <c r="J13" s="6" t="s">
        <v>82</v>
      </c>
      <c r="K13" s="6" t="s">
        <v>88</v>
      </c>
      <c r="L13" s="6">
        <v>2</v>
      </c>
      <c r="M13" s="6">
        <f>L13*5</f>
        <v>10</v>
      </c>
      <c r="N13" s="6">
        <v>20</v>
      </c>
      <c r="O13" s="19" t="s">
        <v>105</v>
      </c>
      <c r="P13" s="7">
        <v>2.0299999999999999E-2</v>
      </c>
      <c r="Q13" s="7">
        <f>P13*N13</f>
        <v>0.40599999999999997</v>
      </c>
      <c r="R13" s="6"/>
    </row>
    <row r="14" spans="1:18">
      <c r="A14" s="1"/>
      <c r="B14" s="9">
        <f t="shared" si="0"/>
        <v>12</v>
      </c>
      <c r="C14" s="15" t="s">
        <v>11</v>
      </c>
      <c r="D14" s="12" t="s">
        <v>25</v>
      </c>
      <c r="E14" s="12" t="s">
        <v>39</v>
      </c>
      <c r="F14" s="12" t="s">
        <v>50</v>
      </c>
      <c r="G14" s="12" t="s">
        <v>62</v>
      </c>
      <c r="H14" s="12" t="s">
        <v>71</v>
      </c>
      <c r="I14" s="6" t="s">
        <v>101</v>
      </c>
      <c r="J14" s="12" t="s">
        <v>83</v>
      </c>
      <c r="K14" s="12" t="s">
        <v>89</v>
      </c>
      <c r="L14" s="12">
        <v>2</v>
      </c>
      <c r="M14" s="12">
        <f t="shared" ref="M14" si="12">L14*5</f>
        <v>10</v>
      </c>
      <c r="N14" s="12">
        <v>100</v>
      </c>
      <c r="O14" s="19" t="s">
        <v>105</v>
      </c>
      <c r="P14" s="13">
        <v>1.1999999999999999E-3</v>
      </c>
      <c r="Q14" s="13">
        <f t="shared" ref="Q14" si="13">P14*N14</f>
        <v>0.12</v>
      </c>
      <c r="R14" s="12"/>
    </row>
    <row r="15" spans="1:18" ht="15.75" thickBot="1">
      <c r="A15" s="1"/>
      <c r="B15" s="8">
        <f>ROW(B15) - ROW($B$2)</f>
        <v>13</v>
      </c>
      <c r="C15" s="14" t="s">
        <v>12</v>
      </c>
      <c r="D15" s="6" t="s">
        <v>26</v>
      </c>
      <c r="E15" s="6" t="s">
        <v>40</v>
      </c>
      <c r="F15" s="12" t="s">
        <v>102</v>
      </c>
      <c r="G15" s="6" t="s">
        <v>52</v>
      </c>
      <c r="H15" s="6" t="s">
        <v>72</v>
      </c>
      <c r="I15" s="6" t="s">
        <v>101</v>
      </c>
      <c r="J15" s="6" t="s">
        <v>84</v>
      </c>
      <c r="K15" s="6" t="s">
        <v>101</v>
      </c>
      <c r="L15" s="6">
        <v>1</v>
      </c>
      <c r="M15" s="6">
        <f>L15*5</f>
        <v>5</v>
      </c>
      <c r="N15" s="6">
        <v>5</v>
      </c>
      <c r="O15" s="19" t="s">
        <v>105</v>
      </c>
      <c r="P15" s="7">
        <v>0.46110000000000001</v>
      </c>
      <c r="Q15" s="7">
        <f>P15*N15</f>
        <v>2.3054999999999999</v>
      </c>
      <c r="R15" s="6"/>
    </row>
    <row r="16" spans="1:18" ht="19.5" thickBo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4" t="s">
        <v>1</v>
      </c>
      <c r="O16" s="25"/>
      <c r="P16" s="25"/>
      <c r="Q16" s="10">
        <f>SUM(Q3:Q15)</f>
        <v>55.533999999999999</v>
      </c>
      <c r="R16" s="1"/>
    </row>
    <row r="17" spans="1:18" ht="19.5" thickBo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4" t="s">
        <v>2</v>
      </c>
      <c r="O17" s="25"/>
      <c r="P17" s="25"/>
      <c r="Q17" s="11">
        <f>Q16/5</f>
        <v>11.1068</v>
      </c>
      <c r="R17" s="1"/>
    </row>
    <row r="29" spans="1:18">
      <c r="M29" s="16"/>
    </row>
  </sheetData>
  <mergeCells count="3">
    <mergeCell ref="K1:R1"/>
    <mergeCell ref="N16:P16"/>
    <mergeCell ref="N17:P17"/>
  </mergeCells>
  <hyperlinks>
    <hyperlink ref="O8" r:id="rId1"/>
    <hyperlink ref="O9" r:id="rId2"/>
    <hyperlink ref="O3" r:id="rId3"/>
    <hyperlink ref="O4" r:id="rId4"/>
    <hyperlink ref="O5" r:id="rId5"/>
    <hyperlink ref="O6" r:id="rId6"/>
    <hyperlink ref="O7" r:id="rId7"/>
    <hyperlink ref="O10" r:id="rId8"/>
    <hyperlink ref="O12" r:id="rId9"/>
    <hyperlink ref="O13" r:id="rId10"/>
    <hyperlink ref="O14" r:id="rId11"/>
    <hyperlink ref="O15" r:id="rId12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E20" sqref="E20"/>
    </sheetView>
  </sheetViews>
  <sheetFormatPr defaultRowHeight="15"/>
  <cols>
    <col min="2" max="2" width="3" bestFit="1" customWidth="1"/>
    <col min="3" max="3" width="16.140625" customWidth="1"/>
    <col min="4" max="4" width="10.5703125" bestFit="1" customWidth="1"/>
    <col min="5" max="5" width="26.140625" customWidth="1"/>
    <col min="6" max="6" width="12.7109375" customWidth="1"/>
    <col min="7" max="7" width="25.28515625" bestFit="1" customWidth="1"/>
    <col min="8" max="8" width="15.710937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7.7109375" bestFit="1" customWidth="1"/>
    <col min="16" max="16" width="20.7109375" bestFit="1" customWidth="1"/>
    <col min="17" max="17" width="21.42578125" bestFit="1" customWidth="1"/>
    <col min="18" max="18" width="9" bestFit="1" customWidth="1"/>
  </cols>
  <sheetData>
    <row r="1" spans="1:18" ht="15.75" thickBot="1">
      <c r="A1" s="1"/>
      <c r="B1" s="3"/>
      <c r="C1" s="3"/>
      <c r="D1" s="2"/>
      <c r="E1" s="2"/>
      <c r="F1" s="2"/>
      <c r="G1" s="2"/>
      <c r="H1" s="2"/>
      <c r="I1" s="2"/>
      <c r="J1" s="2"/>
      <c r="K1" s="23"/>
      <c r="L1" s="23"/>
      <c r="M1" s="23"/>
      <c r="N1" s="23"/>
      <c r="O1" s="23"/>
      <c r="P1" s="23"/>
      <c r="Q1" s="23"/>
      <c r="R1" s="23"/>
    </row>
    <row r="2" spans="1:18" ht="15.75" thickBot="1">
      <c r="A2" s="1"/>
      <c r="B2" s="5" t="s">
        <v>0</v>
      </c>
      <c r="C2" s="5" t="s">
        <v>3</v>
      </c>
      <c r="D2" s="5" t="s">
        <v>13</v>
      </c>
      <c r="E2" s="5" t="s">
        <v>27</v>
      </c>
      <c r="F2" s="5" t="s">
        <v>41</v>
      </c>
      <c r="G2" s="5" t="s">
        <v>53</v>
      </c>
      <c r="H2" s="5" t="s">
        <v>63</v>
      </c>
      <c r="I2" s="5" t="s">
        <v>91</v>
      </c>
      <c r="J2" s="5" t="s">
        <v>73</v>
      </c>
      <c r="K2" s="5" t="s">
        <v>92</v>
      </c>
      <c r="L2" s="5" t="s">
        <v>90</v>
      </c>
      <c r="M2" s="5" t="s">
        <v>106</v>
      </c>
      <c r="N2" s="17" t="s">
        <v>107</v>
      </c>
      <c r="O2" s="5" t="s">
        <v>95</v>
      </c>
      <c r="P2" s="18" t="s">
        <v>108</v>
      </c>
      <c r="Q2" s="5" t="s">
        <v>109</v>
      </c>
      <c r="R2" s="5" t="s">
        <v>98</v>
      </c>
    </row>
    <row r="3" spans="1:18" s="27" customFormat="1">
      <c r="A3" s="26"/>
      <c r="B3" s="8">
        <f>ROW(B3) - ROW($B$2)</f>
        <v>1</v>
      </c>
      <c r="C3" s="14" t="s">
        <v>4</v>
      </c>
      <c r="D3" s="6" t="s">
        <v>14</v>
      </c>
      <c r="E3" s="6" t="s">
        <v>28</v>
      </c>
      <c r="F3" s="6" t="s">
        <v>42</v>
      </c>
      <c r="G3" s="6" t="s">
        <v>54</v>
      </c>
      <c r="H3" s="6" t="s">
        <v>64</v>
      </c>
      <c r="I3" s="6" t="s">
        <v>101</v>
      </c>
      <c r="J3" s="6" t="s">
        <v>74</v>
      </c>
      <c r="K3" s="6" t="s">
        <v>85</v>
      </c>
      <c r="L3" s="6">
        <v>1</v>
      </c>
      <c r="M3" s="6">
        <f>L3*100</f>
        <v>100</v>
      </c>
      <c r="N3" s="6">
        <v>5</v>
      </c>
      <c r="O3" s="21" t="s">
        <v>105</v>
      </c>
      <c r="P3" s="7">
        <v>9.8500000000000004E-2</v>
      </c>
      <c r="Q3" s="7">
        <f>P3*N3</f>
        <v>0.49250000000000005</v>
      </c>
      <c r="R3" s="6"/>
    </row>
    <row r="4" spans="1:18" s="27" customFormat="1">
      <c r="A4" s="26"/>
      <c r="B4" s="9">
        <f t="shared" ref="B4:B14" si="0">ROW(B4) - ROW($B$2)</f>
        <v>2</v>
      </c>
      <c r="C4" s="15" t="s">
        <v>5</v>
      </c>
      <c r="D4" s="12" t="s">
        <v>15</v>
      </c>
      <c r="E4" s="12" t="s">
        <v>29</v>
      </c>
      <c r="F4" s="12" t="s">
        <v>43</v>
      </c>
      <c r="G4" s="12" t="s">
        <v>55</v>
      </c>
      <c r="H4" s="12" t="s">
        <v>65</v>
      </c>
      <c r="I4" s="6" t="s">
        <v>101</v>
      </c>
      <c r="J4" s="12" t="s">
        <v>75</v>
      </c>
      <c r="K4" s="12" t="s">
        <v>101</v>
      </c>
      <c r="L4" s="12">
        <v>2</v>
      </c>
      <c r="M4" s="6">
        <f t="shared" ref="M4:M15" si="1">L4*100</f>
        <v>200</v>
      </c>
      <c r="N4" s="12">
        <v>10</v>
      </c>
      <c r="O4" s="22" t="s">
        <v>105</v>
      </c>
      <c r="P4" s="13">
        <v>8.1900000000000001E-2</v>
      </c>
      <c r="Q4" s="13">
        <f t="shared" ref="Q4" si="2">P4*N4</f>
        <v>0.81899999999999995</v>
      </c>
      <c r="R4" s="12"/>
    </row>
    <row r="5" spans="1:18" s="27" customFormat="1" ht="36">
      <c r="A5" s="26"/>
      <c r="B5" s="8">
        <f>ROW(B5) - ROW($B$2)</f>
        <v>3</v>
      </c>
      <c r="C5" s="14" t="s">
        <v>6</v>
      </c>
      <c r="D5" s="6" t="s">
        <v>16</v>
      </c>
      <c r="E5" s="6" t="s">
        <v>30</v>
      </c>
      <c r="F5" s="6" t="s">
        <v>44</v>
      </c>
      <c r="G5" s="6" t="s">
        <v>56</v>
      </c>
      <c r="H5" s="6" t="s">
        <v>66</v>
      </c>
      <c r="I5" s="6" t="s">
        <v>101</v>
      </c>
      <c r="J5" s="6" t="s">
        <v>76</v>
      </c>
      <c r="K5" s="12" t="s">
        <v>101</v>
      </c>
      <c r="L5" s="6">
        <v>1</v>
      </c>
      <c r="M5" s="6">
        <f t="shared" si="1"/>
        <v>100</v>
      </c>
      <c r="N5" s="6">
        <v>50</v>
      </c>
      <c r="O5" s="22" t="s">
        <v>105</v>
      </c>
      <c r="P5" s="7">
        <v>8.0999999999999996E-3</v>
      </c>
      <c r="Q5" s="7">
        <f>P5*N5</f>
        <v>0.40499999999999997</v>
      </c>
      <c r="R5" s="6"/>
    </row>
    <row r="6" spans="1:18" s="27" customFormat="1" ht="24">
      <c r="A6" s="26"/>
      <c r="B6" s="9">
        <f t="shared" si="0"/>
        <v>4</v>
      </c>
      <c r="C6" s="15" t="s">
        <v>6</v>
      </c>
      <c r="D6" s="12" t="s">
        <v>17</v>
      </c>
      <c r="E6" s="12" t="s">
        <v>31</v>
      </c>
      <c r="F6" s="12" t="s">
        <v>45</v>
      </c>
      <c r="G6" s="12" t="s">
        <v>57</v>
      </c>
      <c r="H6" s="12" t="s">
        <v>67</v>
      </c>
      <c r="I6" s="6" t="s">
        <v>101</v>
      </c>
      <c r="J6" s="12" t="s">
        <v>77</v>
      </c>
      <c r="K6" s="12" t="s">
        <v>101</v>
      </c>
      <c r="L6" s="12">
        <v>1</v>
      </c>
      <c r="M6" s="6">
        <f t="shared" si="1"/>
        <v>100</v>
      </c>
      <c r="N6" s="12">
        <v>10</v>
      </c>
      <c r="O6" s="22" t="s">
        <v>105</v>
      </c>
      <c r="P6" s="13">
        <v>4.48E-2</v>
      </c>
      <c r="Q6" s="13">
        <f t="shared" ref="Q6" si="3">P6*N6</f>
        <v>0.44800000000000001</v>
      </c>
      <c r="R6" s="12"/>
    </row>
    <row r="7" spans="1:18" s="27" customFormat="1" ht="60">
      <c r="A7" s="26"/>
      <c r="B7" s="8">
        <f>ROW(B7) - ROW($B$2)</f>
        <v>5</v>
      </c>
      <c r="C7" s="14" t="s">
        <v>7</v>
      </c>
      <c r="D7" s="6" t="s">
        <v>18</v>
      </c>
      <c r="E7" s="6" t="s">
        <v>32</v>
      </c>
      <c r="F7" s="12" t="s">
        <v>102</v>
      </c>
      <c r="G7" s="6" t="s">
        <v>46</v>
      </c>
      <c r="H7" s="6" t="s">
        <v>68</v>
      </c>
      <c r="I7" s="6" t="s">
        <v>101</v>
      </c>
      <c r="J7" s="6" t="s">
        <v>78</v>
      </c>
      <c r="K7" s="12" t="s">
        <v>101</v>
      </c>
      <c r="L7" s="6">
        <v>1</v>
      </c>
      <c r="M7" s="6">
        <f t="shared" si="1"/>
        <v>100</v>
      </c>
      <c r="N7" s="6">
        <v>5</v>
      </c>
      <c r="O7" s="22" t="s">
        <v>105</v>
      </c>
      <c r="P7" s="7">
        <v>0.10879999999999999</v>
      </c>
      <c r="Q7" s="7">
        <f>P7*N7</f>
        <v>0.54399999999999993</v>
      </c>
      <c r="R7" s="6"/>
    </row>
    <row r="8" spans="1:18" s="27" customFormat="1" ht="24">
      <c r="A8" s="26"/>
      <c r="B8" s="9">
        <f t="shared" si="0"/>
        <v>6</v>
      </c>
      <c r="C8" s="15" t="s">
        <v>8</v>
      </c>
      <c r="D8" s="12" t="s">
        <v>19</v>
      </c>
      <c r="E8" s="12" t="s">
        <v>33</v>
      </c>
      <c r="F8" s="12" t="s">
        <v>102</v>
      </c>
      <c r="G8" s="12" t="s">
        <v>47</v>
      </c>
      <c r="H8" s="12" t="s">
        <v>69</v>
      </c>
      <c r="I8" s="6" t="s">
        <v>101</v>
      </c>
      <c r="J8" s="12" t="s">
        <v>101</v>
      </c>
      <c r="K8" s="12" t="s">
        <v>101</v>
      </c>
      <c r="L8" s="12">
        <v>3</v>
      </c>
      <c r="M8" s="6">
        <f t="shared" si="1"/>
        <v>300</v>
      </c>
      <c r="N8" s="12">
        <v>15</v>
      </c>
      <c r="O8" s="28" t="s">
        <v>99</v>
      </c>
      <c r="P8" s="20">
        <v>0.63</v>
      </c>
      <c r="Q8" s="13">
        <f t="shared" ref="Q8" si="4">P8*N8</f>
        <v>9.4499999999999993</v>
      </c>
      <c r="R8" s="12"/>
    </row>
    <row r="9" spans="1:18" s="27" customFormat="1" ht="24">
      <c r="A9" s="26"/>
      <c r="B9" s="8">
        <f>ROW(B9) - ROW($B$2)</f>
        <v>7</v>
      </c>
      <c r="C9" s="14" t="s">
        <v>9</v>
      </c>
      <c r="D9" s="6" t="s">
        <v>20</v>
      </c>
      <c r="E9" s="6" t="s">
        <v>34</v>
      </c>
      <c r="F9" s="12" t="s">
        <v>102</v>
      </c>
      <c r="G9" s="6" t="s">
        <v>48</v>
      </c>
      <c r="H9" s="6" t="s">
        <v>104</v>
      </c>
      <c r="I9" s="6" t="s">
        <v>101</v>
      </c>
      <c r="J9" s="6" t="s">
        <v>101</v>
      </c>
      <c r="K9" s="12" t="s">
        <v>101</v>
      </c>
      <c r="L9" s="6">
        <v>2</v>
      </c>
      <c r="M9" s="6">
        <f t="shared" si="1"/>
        <v>200</v>
      </c>
      <c r="N9" s="6">
        <v>10</v>
      </c>
      <c r="O9" s="28" t="s">
        <v>103</v>
      </c>
      <c r="P9" s="7">
        <v>4.01</v>
      </c>
      <c r="Q9" s="7">
        <f>P9*N9</f>
        <v>40.099999999999994</v>
      </c>
      <c r="R9" s="6"/>
    </row>
    <row r="10" spans="1:18" s="27" customFormat="1" ht="36">
      <c r="A10" s="26"/>
      <c r="B10" s="9">
        <f t="shared" si="0"/>
        <v>8</v>
      </c>
      <c r="C10" s="15" t="s">
        <v>10</v>
      </c>
      <c r="D10" s="12" t="s">
        <v>21</v>
      </c>
      <c r="E10" s="12" t="s">
        <v>35</v>
      </c>
      <c r="F10" s="12" t="s">
        <v>49</v>
      </c>
      <c r="G10" s="12" t="s">
        <v>58</v>
      </c>
      <c r="H10" s="12" t="s">
        <v>70</v>
      </c>
      <c r="I10" s="6" t="s">
        <v>101</v>
      </c>
      <c r="J10" s="12" t="s">
        <v>79</v>
      </c>
      <c r="K10" s="12" t="s">
        <v>101</v>
      </c>
      <c r="L10" s="12">
        <v>2</v>
      </c>
      <c r="M10" s="6">
        <f t="shared" si="1"/>
        <v>200</v>
      </c>
      <c r="N10" s="12">
        <v>10</v>
      </c>
      <c r="O10" s="28" t="s">
        <v>105</v>
      </c>
      <c r="P10" s="13">
        <v>2.7400000000000001E-2</v>
      </c>
      <c r="Q10" s="13">
        <f t="shared" ref="Q10" si="5">P10*N10</f>
        <v>0.27400000000000002</v>
      </c>
      <c r="R10" s="12"/>
    </row>
    <row r="11" spans="1:18" s="27" customFormat="1">
      <c r="A11" s="26"/>
      <c r="B11" s="8">
        <f>ROW(B11) - ROW($B$2)</f>
        <v>9</v>
      </c>
      <c r="C11" s="14" t="s">
        <v>11</v>
      </c>
      <c r="D11" s="6" t="s">
        <v>22</v>
      </c>
      <c r="E11" s="6" t="s">
        <v>36</v>
      </c>
      <c r="F11" s="6" t="s">
        <v>50</v>
      </c>
      <c r="G11" s="6" t="s">
        <v>59</v>
      </c>
      <c r="H11" s="6" t="s">
        <v>71</v>
      </c>
      <c r="I11" s="6" t="s">
        <v>101</v>
      </c>
      <c r="J11" s="6" t="s">
        <v>80</v>
      </c>
      <c r="K11" s="6" t="s">
        <v>86</v>
      </c>
      <c r="L11" s="6">
        <v>3</v>
      </c>
      <c r="M11" s="6">
        <f t="shared" si="1"/>
        <v>300</v>
      </c>
      <c r="N11" s="6">
        <v>100</v>
      </c>
      <c r="O11" s="28" t="str">
        <f t="shared" ref="O11" si="6">HYPERLINK(AB11, "LCSC")</f>
        <v>LCSC</v>
      </c>
      <c r="P11" s="20" t="s">
        <v>100</v>
      </c>
      <c r="Q11" s="7">
        <f>P11*N11</f>
        <v>0.11</v>
      </c>
      <c r="R11" s="6"/>
    </row>
    <row r="12" spans="1:18" s="27" customFormat="1">
      <c r="A12" s="26"/>
      <c r="B12" s="9">
        <f t="shared" si="0"/>
        <v>10</v>
      </c>
      <c r="C12" s="15" t="s">
        <v>11</v>
      </c>
      <c r="D12" s="12" t="s">
        <v>23</v>
      </c>
      <c r="E12" s="12" t="s">
        <v>37</v>
      </c>
      <c r="F12" s="12" t="s">
        <v>51</v>
      </c>
      <c r="G12" s="12" t="s">
        <v>60</v>
      </c>
      <c r="H12" s="12" t="s">
        <v>71</v>
      </c>
      <c r="I12" s="6" t="s">
        <v>101</v>
      </c>
      <c r="J12" s="12" t="s">
        <v>81</v>
      </c>
      <c r="K12" s="12" t="s">
        <v>87</v>
      </c>
      <c r="L12" s="12">
        <v>2</v>
      </c>
      <c r="M12" s="6">
        <f t="shared" si="1"/>
        <v>200</v>
      </c>
      <c r="N12" s="12">
        <v>100</v>
      </c>
      <c r="O12" s="28" t="s">
        <v>105</v>
      </c>
      <c r="P12" s="13">
        <v>5.9999999999999995E-4</v>
      </c>
      <c r="Q12" s="13">
        <f t="shared" ref="Q12" si="7">P12*N12</f>
        <v>0.06</v>
      </c>
      <c r="R12" s="12"/>
    </row>
    <row r="13" spans="1:18" s="27" customFormat="1" ht="24">
      <c r="A13" s="26"/>
      <c r="B13" s="8">
        <f>ROW(B13) - ROW($B$2)</f>
        <v>11</v>
      </c>
      <c r="C13" s="14" t="s">
        <v>11</v>
      </c>
      <c r="D13" s="6" t="s">
        <v>24</v>
      </c>
      <c r="E13" s="6" t="s">
        <v>38</v>
      </c>
      <c r="F13" s="6" t="s">
        <v>51</v>
      </c>
      <c r="G13" s="6" t="s">
        <v>61</v>
      </c>
      <c r="H13" s="6" t="s">
        <v>71</v>
      </c>
      <c r="I13" s="6" t="s">
        <v>101</v>
      </c>
      <c r="J13" s="6" t="s">
        <v>82</v>
      </c>
      <c r="K13" s="6" t="s">
        <v>88</v>
      </c>
      <c r="L13" s="6">
        <v>2</v>
      </c>
      <c r="M13" s="6">
        <f t="shared" si="1"/>
        <v>200</v>
      </c>
      <c r="N13" s="6">
        <v>20</v>
      </c>
      <c r="O13" s="28" t="s">
        <v>105</v>
      </c>
      <c r="P13" s="7">
        <v>2.0299999999999999E-2</v>
      </c>
      <c r="Q13" s="7">
        <f>P13*N13</f>
        <v>0.40599999999999997</v>
      </c>
      <c r="R13" s="6"/>
    </row>
    <row r="14" spans="1:18" s="27" customFormat="1">
      <c r="A14" s="26"/>
      <c r="B14" s="9">
        <f t="shared" si="0"/>
        <v>12</v>
      </c>
      <c r="C14" s="15" t="s">
        <v>11</v>
      </c>
      <c r="D14" s="12" t="s">
        <v>25</v>
      </c>
      <c r="E14" s="12" t="s">
        <v>39</v>
      </c>
      <c r="F14" s="12" t="s">
        <v>50</v>
      </c>
      <c r="G14" s="12" t="s">
        <v>62</v>
      </c>
      <c r="H14" s="12" t="s">
        <v>71</v>
      </c>
      <c r="I14" s="6" t="s">
        <v>101</v>
      </c>
      <c r="J14" s="12" t="s">
        <v>83</v>
      </c>
      <c r="K14" s="12" t="s">
        <v>89</v>
      </c>
      <c r="L14" s="12">
        <v>2</v>
      </c>
      <c r="M14" s="6">
        <f t="shared" si="1"/>
        <v>200</v>
      </c>
      <c r="N14" s="12">
        <v>100</v>
      </c>
      <c r="O14" s="28" t="s">
        <v>105</v>
      </c>
      <c r="P14" s="13">
        <v>1.1999999999999999E-3</v>
      </c>
      <c r="Q14" s="13">
        <f t="shared" ref="Q14" si="8">P14*N14</f>
        <v>0.12</v>
      </c>
      <c r="R14" s="12"/>
    </row>
    <row r="15" spans="1:18" s="27" customFormat="1" ht="24.75" thickBot="1">
      <c r="A15" s="26"/>
      <c r="B15" s="8">
        <f>ROW(B15) - ROW($B$2)</f>
        <v>13</v>
      </c>
      <c r="C15" s="14" t="s">
        <v>12</v>
      </c>
      <c r="D15" s="6" t="s">
        <v>26</v>
      </c>
      <c r="E15" s="6" t="s">
        <v>40</v>
      </c>
      <c r="F15" s="12" t="s">
        <v>102</v>
      </c>
      <c r="G15" s="6" t="s">
        <v>52</v>
      </c>
      <c r="H15" s="6" t="s">
        <v>72</v>
      </c>
      <c r="I15" s="6" t="s">
        <v>101</v>
      </c>
      <c r="J15" s="6" t="s">
        <v>84</v>
      </c>
      <c r="K15" s="6" t="s">
        <v>101</v>
      </c>
      <c r="L15" s="6">
        <v>1</v>
      </c>
      <c r="M15" s="6">
        <f t="shared" si="1"/>
        <v>100</v>
      </c>
      <c r="N15" s="6">
        <v>5</v>
      </c>
      <c r="O15" s="28" t="s">
        <v>105</v>
      </c>
      <c r="P15" s="7">
        <v>0.46110000000000001</v>
      </c>
      <c r="Q15" s="7">
        <f>P15*N15</f>
        <v>2.3054999999999999</v>
      </c>
      <c r="R15" s="6"/>
    </row>
    <row r="16" spans="1:18" ht="19.5" thickBo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4" t="s">
        <v>1</v>
      </c>
      <c r="O16" s="25"/>
      <c r="P16" s="25"/>
      <c r="Q16" s="10">
        <f>SUM(Q3:Q15)</f>
        <v>55.533999999999999</v>
      </c>
      <c r="R16" s="1"/>
    </row>
    <row r="17" spans="1:18" ht="19.5" thickBo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4" t="s">
        <v>2</v>
      </c>
      <c r="O17" s="25"/>
      <c r="P17" s="25"/>
      <c r="Q17" s="11">
        <f>Q16/100</f>
        <v>0.55533999999999994</v>
      </c>
      <c r="R17" s="1"/>
    </row>
  </sheetData>
  <mergeCells count="3">
    <mergeCell ref="K1:R1"/>
    <mergeCell ref="N16:P16"/>
    <mergeCell ref="N17:P17"/>
  </mergeCells>
  <hyperlinks>
    <hyperlink ref="O8" r:id="rId1"/>
    <hyperlink ref="O9" r:id="rId2"/>
    <hyperlink ref="O3" r:id="rId3"/>
    <hyperlink ref="O4" r:id="rId4"/>
    <hyperlink ref="O5" r:id="rId5"/>
    <hyperlink ref="O6" r:id="rId6"/>
    <hyperlink ref="O7" r:id="rId7"/>
    <hyperlink ref="O10" r:id="rId8"/>
    <hyperlink ref="O12" r:id="rId9"/>
    <hyperlink ref="O13" r:id="rId10"/>
    <hyperlink ref="O14" r:id="rId11"/>
    <hyperlink ref="O15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2025-07-23T15:05:11Z</dcterms:modified>
</cp:coreProperties>
</file>