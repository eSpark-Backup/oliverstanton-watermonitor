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WIFI_Board_RGB-LCDV4.0\BOM\"/>
    </mc:Choice>
  </mc:AlternateContent>
  <bookViews>
    <workbookView xWindow="0" yWindow="0" windowWidth="20490" windowHeight="7500"/>
  </bookViews>
  <sheets>
    <sheet name="5 Boards" sheetId="1" r:id="rId1"/>
    <sheet name="10 Boards" sheetId="3" r:id="rId2"/>
    <sheet name="100 Boards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2" l="1"/>
  <c r="B56" i="2"/>
  <c r="M56" i="3"/>
  <c r="B56" i="3"/>
  <c r="B57" i="3"/>
  <c r="M57" i="3"/>
  <c r="Q57" i="3"/>
  <c r="M56" i="1"/>
  <c r="B56" i="1"/>
  <c r="B57" i="1"/>
  <c r="Q68" i="2" l="1"/>
  <c r="M68" i="2"/>
  <c r="B68" i="2"/>
  <c r="Q67" i="2"/>
  <c r="M67" i="2"/>
  <c r="B67" i="2"/>
  <c r="Q66" i="2"/>
  <c r="M66" i="2"/>
  <c r="B66" i="2"/>
  <c r="Q65" i="2"/>
  <c r="M65" i="2"/>
  <c r="B65" i="2"/>
  <c r="Q64" i="2"/>
  <c r="M64" i="2"/>
  <c r="B64" i="2"/>
  <c r="Q63" i="2"/>
  <c r="M63" i="2"/>
  <c r="B63" i="2"/>
  <c r="Q62" i="2"/>
  <c r="M62" i="2"/>
  <c r="B62" i="2"/>
  <c r="Q61" i="2"/>
  <c r="M61" i="2"/>
  <c r="B61" i="2"/>
  <c r="Q60" i="2"/>
  <c r="M60" i="2"/>
  <c r="B60" i="2"/>
  <c r="Q59" i="2"/>
  <c r="M59" i="2"/>
  <c r="B59" i="2"/>
  <c r="Q58" i="2"/>
  <c r="M58" i="2"/>
  <c r="B58" i="2"/>
  <c r="Q57" i="2"/>
  <c r="M57" i="2"/>
  <c r="B57" i="2"/>
  <c r="M55" i="2"/>
  <c r="B55" i="2"/>
  <c r="Q54" i="2"/>
  <c r="M54" i="2"/>
  <c r="B54" i="2"/>
  <c r="Q53" i="2"/>
  <c r="M53" i="2"/>
  <c r="B53" i="2"/>
  <c r="Q52" i="2"/>
  <c r="M52" i="2"/>
  <c r="B52" i="2"/>
  <c r="Q51" i="2"/>
  <c r="M51" i="2"/>
  <c r="B51" i="2"/>
  <c r="Q50" i="2"/>
  <c r="M50" i="2"/>
  <c r="B50" i="2"/>
  <c r="Q49" i="2"/>
  <c r="M49" i="2"/>
  <c r="B49" i="2"/>
  <c r="Q48" i="2"/>
  <c r="M48" i="2"/>
  <c r="B48" i="2"/>
  <c r="Q47" i="2"/>
  <c r="M47" i="2"/>
  <c r="B47" i="2"/>
  <c r="Q46" i="2"/>
  <c r="M46" i="2"/>
  <c r="B46" i="2"/>
  <c r="Q45" i="2"/>
  <c r="M45" i="2"/>
  <c r="B45" i="2"/>
  <c r="Q44" i="2"/>
  <c r="M44" i="2"/>
  <c r="B44" i="2"/>
  <c r="Q43" i="2"/>
  <c r="M43" i="2"/>
  <c r="B43" i="2"/>
  <c r="Q42" i="2"/>
  <c r="M42" i="2"/>
  <c r="B42" i="2"/>
  <c r="M41" i="2"/>
  <c r="B41" i="2"/>
  <c r="Q40" i="2"/>
  <c r="M40" i="2"/>
  <c r="B40" i="2"/>
  <c r="Q39" i="2"/>
  <c r="M39" i="2"/>
  <c r="B39" i="2"/>
  <c r="Q38" i="2"/>
  <c r="M38" i="2"/>
  <c r="B38" i="2"/>
  <c r="Q37" i="2"/>
  <c r="M37" i="2"/>
  <c r="B37" i="2"/>
  <c r="Q36" i="2"/>
  <c r="M36" i="2"/>
  <c r="B36" i="2"/>
  <c r="Q35" i="2"/>
  <c r="M35" i="2"/>
  <c r="B35" i="2"/>
  <c r="Q34" i="2"/>
  <c r="M34" i="2"/>
  <c r="B34" i="2"/>
  <c r="Q33" i="2"/>
  <c r="M33" i="2"/>
  <c r="B33" i="2"/>
  <c r="Q32" i="2"/>
  <c r="M32" i="2"/>
  <c r="B32" i="2"/>
  <c r="M31" i="2"/>
  <c r="B31" i="2"/>
  <c r="Q30" i="2"/>
  <c r="M30" i="2"/>
  <c r="B30" i="2"/>
  <c r="Q29" i="2"/>
  <c r="M29" i="2"/>
  <c r="B29" i="2"/>
  <c r="Q28" i="2"/>
  <c r="M28" i="2"/>
  <c r="B28" i="2"/>
  <c r="Q27" i="2"/>
  <c r="M27" i="2"/>
  <c r="B27" i="2"/>
  <c r="Q26" i="2"/>
  <c r="M26" i="2"/>
  <c r="B26" i="2"/>
  <c r="Q25" i="2"/>
  <c r="M25" i="2"/>
  <c r="B25" i="2"/>
  <c r="Q24" i="2"/>
  <c r="M24" i="2"/>
  <c r="B24" i="2"/>
  <c r="Q23" i="2"/>
  <c r="M23" i="2"/>
  <c r="B23" i="2"/>
  <c r="Q22" i="2"/>
  <c r="M22" i="2"/>
  <c r="B22" i="2"/>
  <c r="Q21" i="2"/>
  <c r="M21" i="2"/>
  <c r="B21" i="2"/>
  <c r="Q20" i="2"/>
  <c r="M20" i="2"/>
  <c r="B20" i="2"/>
  <c r="Q19" i="2"/>
  <c r="M19" i="2"/>
  <c r="B19" i="2"/>
  <c r="Q18" i="2"/>
  <c r="M18" i="2"/>
  <c r="B18" i="2"/>
  <c r="Q17" i="2"/>
  <c r="M17" i="2"/>
  <c r="B17" i="2"/>
  <c r="Q16" i="2"/>
  <c r="M16" i="2"/>
  <c r="B16" i="2"/>
  <c r="Q15" i="2"/>
  <c r="M15" i="2"/>
  <c r="B15" i="2"/>
  <c r="Q14" i="2"/>
  <c r="M14" i="2"/>
  <c r="B14" i="2"/>
  <c r="Q13" i="2"/>
  <c r="M13" i="2"/>
  <c r="B13" i="2"/>
  <c r="Q12" i="2"/>
  <c r="M12" i="2"/>
  <c r="B12" i="2"/>
  <c r="Q11" i="2"/>
  <c r="M11" i="2"/>
  <c r="B11" i="2"/>
  <c r="Q10" i="2"/>
  <c r="M10" i="2"/>
  <c r="B10" i="2"/>
  <c r="Q9" i="2"/>
  <c r="M9" i="2"/>
  <c r="B9" i="2"/>
  <c r="Q8" i="2"/>
  <c r="M8" i="2"/>
  <c r="B8" i="2"/>
  <c r="Q7" i="2"/>
  <c r="M7" i="2"/>
  <c r="B7" i="2"/>
  <c r="Q6" i="2"/>
  <c r="M6" i="2"/>
  <c r="B6" i="2"/>
  <c r="Q5" i="2"/>
  <c r="M5" i="2"/>
  <c r="B5" i="2"/>
  <c r="Q4" i="2"/>
  <c r="M4" i="2"/>
  <c r="B4" i="2"/>
  <c r="Q3" i="2"/>
  <c r="M3" i="2"/>
  <c r="B3" i="2"/>
  <c r="Q68" i="3"/>
  <c r="M68" i="3"/>
  <c r="B68" i="3"/>
  <c r="Q67" i="3"/>
  <c r="M67" i="3"/>
  <c r="B67" i="3"/>
  <c r="Q66" i="3"/>
  <c r="M66" i="3"/>
  <c r="B66" i="3"/>
  <c r="Q65" i="3"/>
  <c r="M65" i="3"/>
  <c r="B65" i="3"/>
  <c r="Q64" i="3"/>
  <c r="M64" i="3"/>
  <c r="B64" i="3"/>
  <c r="Q63" i="3"/>
  <c r="M63" i="3"/>
  <c r="B63" i="3"/>
  <c r="Q62" i="3"/>
  <c r="M62" i="3"/>
  <c r="B62" i="3"/>
  <c r="Q61" i="3"/>
  <c r="M61" i="3"/>
  <c r="B61" i="3"/>
  <c r="Q60" i="3"/>
  <c r="M60" i="3"/>
  <c r="B60" i="3"/>
  <c r="Q59" i="3"/>
  <c r="M59" i="3"/>
  <c r="B59" i="3"/>
  <c r="Q58" i="3"/>
  <c r="M58" i="3"/>
  <c r="B58" i="3"/>
  <c r="M55" i="3"/>
  <c r="B55" i="3"/>
  <c r="Q54" i="3"/>
  <c r="M54" i="3"/>
  <c r="B54" i="3"/>
  <c r="Q53" i="3"/>
  <c r="M53" i="3"/>
  <c r="B53" i="3"/>
  <c r="Q52" i="3"/>
  <c r="M52" i="3"/>
  <c r="B52" i="3"/>
  <c r="Q51" i="3"/>
  <c r="M51" i="3"/>
  <c r="B51" i="3"/>
  <c r="Q50" i="3"/>
  <c r="M50" i="3"/>
  <c r="B50" i="3"/>
  <c r="Q49" i="3"/>
  <c r="M49" i="3"/>
  <c r="B49" i="3"/>
  <c r="Q48" i="3"/>
  <c r="M48" i="3"/>
  <c r="B48" i="3"/>
  <c r="Q47" i="3"/>
  <c r="M47" i="3"/>
  <c r="B47" i="3"/>
  <c r="Q46" i="3"/>
  <c r="M46" i="3"/>
  <c r="B46" i="3"/>
  <c r="Q45" i="3"/>
  <c r="M45" i="3"/>
  <c r="B45" i="3"/>
  <c r="Q44" i="3"/>
  <c r="M44" i="3"/>
  <c r="B44" i="3"/>
  <c r="Q43" i="3"/>
  <c r="M43" i="3"/>
  <c r="B43" i="3"/>
  <c r="Q42" i="3"/>
  <c r="M42" i="3"/>
  <c r="B42" i="3"/>
  <c r="M41" i="3"/>
  <c r="B41" i="3"/>
  <c r="Q40" i="3"/>
  <c r="M40" i="3"/>
  <c r="B40" i="3"/>
  <c r="Q39" i="3"/>
  <c r="M39" i="3"/>
  <c r="B39" i="3"/>
  <c r="Q38" i="3"/>
  <c r="M38" i="3"/>
  <c r="B38" i="3"/>
  <c r="Q37" i="3"/>
  <c r="M37" i="3"/>
  <c r="B37" i="3"/>
  <c r="Q36" i="3"/>
  <c r="M36" i="3"/>
  <c r="B36" i="3"/>
  <c r="Q35" i="3"/>
  <c r="M35" i="3"/>
  <c r="B35" i="3"/>
  <c r="Q34" i="3"/>
  <c r="M34" i="3"/>
  <c r="B34" i="3"/>
  <c r="Q33" i="3"/>
  <c r="M33" i="3"/>
  <c r="B33" i="3"/>
  <c r="Q32" i="3"/>
  <c r="M32" i="3"/>
  <c r="B32" i="3"/>
  <c r="M31" i="3"/>
  <c r="B31" i="3"/>
  <c r="Q30" i="3"/>
  <c r="M30" i="3"/>
  <c r="B30" i="3"/>
  <c r="Q29" i="3"/>
  <c r="M29" i="3"/>
  <c r="B29" i="3"/>
  <c r="Q28" i="3"/>
  <c r="M28" i="3"/>
  <c r="B28" i="3"/>
  <c r="Q27" i="3"/>
  <c r="M27" i="3"/>
  <c r="B27" i="3"/>
  <c r="Q26" i="3"/>
  <c r="M26" i="3"/>
  <c r="B26" i="3"/>
  <c r="Q25" i="3"/>
  <c r="M25" i="3"/>
  <c r="B25" i="3"/>
  <c r="Q24" i="3"/>
  <c r="M24" i="3"/>
  <c r="B24" i="3"/>
  <c r="Q23" i="3"/>
  <c r="M23" i="3"/>
  <c r="B23" i="3"/>
  <c r="Q22" i="3"/>
  <c r="M22" i="3"/>
  <c r="B22" i="3"/>
  <c r="Q21" i="3"/>
  <c r="M21" i="3"/>
  <c r="B21" i="3"/>
  <c r="Q20" i="3"/>
  <c r="M20" i="3"/>
  <c r="B20" i="3"/>
  <c r="Q19" i="3"/>
  <c r="M19" i="3"/>
  <c r="B19" i="3"/>
  <c r="Q18" i="3"/>
  <c r="M18" i="3"/>
  <c r="B18" i="3"/>
  <c r="Q17" i="3"/>
  <c r="M17" i="3"/>
  <c r="B17" i="3"/>
  <c r="Q16" i="3"/>
  <c r="M16" i="3"/>
  <c r="B16" i="3"/>
  <c r="Q15" i="3"/>
  <c r="M15" i="3"/>
  <c r="B15" i="3"/>
  <c r="Q14" i="3"/>
  <c r="M14" i="3"/>
  <c r="B14" i="3"/>
  <c r="Q13" i="3"/>
  <c r="M13" i="3"/>
  <c r="B13" i="3"/>
  <c r="Q12" i="3"/>
  <c r="M12" i="3"/>
  <c r="B12" i="3"/>
  <c r="Q11" i="3"/>
  <c r="M11" i="3"/>
  <c r="B11" i="3"/>
  <c r="Q10" i="3"/>
  <c r="M10" i="3"/>
  <c r="B10" i="3"/>
  <c r="Q9" i="3"/>
  <c r="M9" i="3"/>
  <c r="B9" i="3"/>
  <c r="Q8" i="3"/>
  <c r="M8" i="3"/>
  <c r="B8" i="3"/>
  <c r="Q7" i="3"/>
  <c r="M7" i="3"/>
  <c r="B7" i="3"/>
  <c r="Q6" i="3"/>
  <c r="M6" i="3"/>
  <c r="B6" i="3"/>
  <c r="Q5" i="3"/>
  <c r="M5" i="3"/>
  <c r="B5" i="3"/>
  <c r="Q4" i="3"/>
  <c r="M4" i="3"/>
  <c r="B4" i="3"/>
  <c r="Q3" i="3"/>
  <c r="M3" i="3"/>
  <c r="B3" i="3"/>
  <c r="Q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9" i="1"/>
  <c r="M9" i="1"/>
  <c r="B9" i="1"/>
  <c r="Q8" i="1"/>
  <c r="M8" i="1"/>
  <c r="B8" i="1"/>
  <c r="Q7" i="1"/>
  <c r="M7" i="1"/>
  <c r="B7" i="1"/>
  <c r="Q6" i="1"/>
  <c r="M6" i="1"/>
  <c r="B6" i="1"/>
  <c r="Q5" i="1"/>
  <c r="M5" i="1"/>
  <c r="B5" i="1"/>
  <c r="Q4" i="1"/>
  <c r="M4" i="1"/>
  <c r="B4" i="1"/>
  <c r="Q3" i="1"/>
  <c r="M3" i="1"/>
  <c r="B3" i="1"/>
  <c r="Q69" i="2" l="1"/>
  <c r="Q70" i="2" s="1"/>
  <c r="Q69" i="3"/>
  <c r="Q70" i="3" s="1"/>
  <c r="Q69" i="1"/>
  <c r="Q70" i="1" s="1"/>
</calcChain>
</file>

<file path=xl/sharedStrings.xml><?xml version="1.0" encoding="utf-8"?>
<sst xmlns="http://schemas.openxmlformats.org/spreadsheetml/2006/main" count="2135" uniqueCount="441">
  <si>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</si>
  <si>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</si>
  <si>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</si>
  <si>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</si>
  <si>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</si>
  <si>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</si>
  <si>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</si>
  <si>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Alternate Part Number</t>
  </si>
  <si>
    <t>LCSC Part Number</t>
  </si>
  <si>
    <t>Value</t>
  </si>
  <si>
    <t>Quantity</t>
  </si>
  <si>
    <t>Quantity (5 Boards)</t>
  </si>
  <si>
    <t xml:space="preserve"> MOQ (5 Boards)</t>
  </si>
  <si>
    <t>Links</t>
  </si>
  <si>
    <t>Unit Cost (5 Boards)</t>
  </si>
  <si>
    <t>Total Cost (5 Boards)</t>
  </si>
  <si>
    <t>Remarks</t>
  </si>
  <si>
    <t>Capacitor</t>
  </si>
  <si>
    <t>C1, C6</t>
  </si>
  <si>
    <t>CAP CER 10000PF 25V X5R 0402</t>
  </si>
  <si>
    <t>Cap-0402</t>
  </si>
  <si>
    <t>CC0402KRX5R8BB103</t>
  </si>
  <si>
    <t>Yageo</t>
  </si>
  <si>
    <t>C576726</t>
  </si>
  <si>
    <t>0.01uF</t>
  </si>
  <si>
    <t>LCSC</t>
  </si>
  <si>
    <t>C2</t>
  </si>
  <si>
    <t>CAP TANT 47UF 10% 25V 2917</t>
  </si>
  <si>
    <t>Case-D</t>
  </si>
  <si>
    <t>T495D476K025ATE250</t>
  </si>
  <si>
    <t>KEMET</t>
  </si>
  <si>
    <t>C1952924</t>
  </si>
  <si>
    <t>47uF</t>
  </si>
  <si>
    <t>5</t>
  </si>
  <si>
    <t>0.8029</t>
  </si>
  <si>
    <t>C3, C12, C13, C14</t>
  </si>
  <si>
    <t>CAP CER 0.1UF 25V X5R 0402</t>
  </si>
  <si>
    <t>CC0402KRX5R8BB104</t>
  </si>
  <si>
    <t>C106256</t>
  </si>
  <si>
    <t>100nF</t>
  </si>
  <si>
    <t>100</t>
  </si>
  <si>
    <t>0.0019</t>
  </si>
  <si>
    <t>C4</t>
  </si>
  <si>
    <t>CAP CER 22UF 10V X5R 0603</t>
  </si>
  <si>
    <t>Cap-0603</t>
  </si>
  <si>
    <t>CC0603MRX5R6BB226</t>
  </si>
  <si>
    <t>C109447</t>
  </si>
  <si>
    <t>22uF</t>
  </si>
  <si>
    <t>Capacitors</t>
  </si>
  <si>
    <t>C5</t>
  </si>
  <si>
    <t>CAP CER 1UF 16V X7S 0402</t>
  </si>
  <si>
    <t>GRM155C71C105KE11D</t>
  </si>
  <si>
    <t>Murata</t>
  </si>
  <si>
    <t>C576449</t>
  </si>
  <si>
    <t>1uF</t>
  </si>
  <si>
    <t>20</t>
  </si>
  <si>
    <t>0.0267</t>
  </si>
  <si>
    <t>C7</t>
  </si>
  <si>
    <t>22uF 10V 5Ω ±20% 0805 Tantalum Capacitors ROHS</t>
  </si>
  <si>
    <t>Tant-0805</t>
  </si>
  <si>
    <t>TCTP1A226M8R</t>
  </si>
  <si>
    <t>Rohm</t>
  </si>
  <si>
    <t>-</t>
  </si>
  <si>
    <t>Digikey</t>
  </si>
  <si>
    <t>C8, C10, C22, C23</t>
  </si>
  <si>
    <t>CAP CER 0.1UF 16V X7R 0402</t>
  </si>
  <si>
    <t>CC0402JRX7R7BB104</t>
  </si>
  <si>
    <t>C541464</t>
  </si>
  <si>
    <t>0.1uF</t>
  </si>
  <si>
    <t>0.0018</t>
  </si>
  <si>
    <t>C9</t>
  </si>
  <si>
    <t>CAP TANT 10UF 10% 16V 1206</t>
  </si>
  <si>
    <t>Case-A</t>
  </si>
  <si>
    <t>T491A106K016AT</t>
  </si>
  <si>
    <t>C110055</t>
  </si>
  <si>
    <t>10uF</t>
  </si>
  <si>
    <t>6</t>
  </si>
  <si>
    <t>0.1342</t>
  </si>
  <si>
    <t>C11, C18, C24</t>
  </si>
  <si>
    <t>CAP CER 0.1UF 50V X5R 0603</t>
  </si>
  <si>
    <t>CC0603KRX5R9BB104</t>
  </si>
  <si>
    <t>C110022</t>
  </si>
  <si>
    <t>0.0034</t>
  </si>
  <si>
    <t>C15</t>
  </si>
  <si>
    <t>CAP CER 0.1UF 50V X5R 0402</t>
  </si>
  <si>
    <t>C1005X5R1H104K050BB</t>
  </si>
  <si>
    <t>TDK</t>
  </si>
  <si>
    <t>C2181865</t>
  </si>
  <si>
    <t>0.0985</t>
  </si>
  <si>
    <t>C16</t>
  </si>
  <si>
    <t>CAP CER 0.1UF 50V Y5V 0603</t>
  </si>
  <si>
    <t>CC0603ZRY5V9BB104</t>
  </si>
  <si>
    <t>C106221</t>
  </si>
  <si>
    <t>0.0031</t>
  </si>
  <si>
    <t>C17, C19</t>
  </si>
  <si>
    <t>CAP CER 4.7UF 16V X5R 0603</t>
  </si>
  <si>
    <t>CC0603KRX5R7BB475</t>
  </si>
  <si>
    <t>C277476</t>
  </si>
  <si>
    <t>4.7uF</t>
  </si>
  <si>
    <t>0.0369</t>
  </si>
  <si>
    <t>C20</t>
  </si>
  <si>
    <t>CAP CER 1UF 50V X5R 0603</t>
  </si>
  <si>
    <t>CL10A105KB8NNNC</t>
  </si>
  <si>
    <t>Samsung</t>
  </si>
  <si>
    <t>C15849</t>
  </si>
  <si>
    <t>50</t>
  </si>
  <si>
    <t>0.0047</t>
  </si>
  <si>
    <t>C21</t>
  </si>
  <si>
    <t>1uF 25V X5R ±20% 0603 Multilayer Ceramic Capacitors MLCC - SMD/SMT ROHS</t>
  </si>
  <si>
    <t>TCC0603X5R105M250CT</t>
  </si>
  <si>
    <t>CCTC</t>
  </si>
  <si>
    <t>C6266891</t>
  </si>
  <si>
    <t>0.0040</t>
  </si>
  <si>
    <t>C25, C26</t>
  </si>
  <si>
    <t>CAP CER 22PF 50V C0G/NP0 0603</t>
  </si>
  <si>
    <t>CL10C220JB8NNNC</t>
  </si>
  <si>
    <t>C1653</t>
  </si>
  <si>
    <t>22pF</t>
  </si>
  <si>
    <t>0.0043</t>
  </si>
  <si>
    <t>Diode</t>
  </si>
  <si>
    <t>D1</t>
  </si>
  <si>
    <t>40V 500mV@2A 2A SMA(DO-214AC) Schottky Barrier Diodes (SBD) ROHS</t>
  </si>
  <si>
    <t>SMA</t>
  </si>
  <si>
    <t>SS24A</t>
  </si>
  <si>
    <t>Guangdong Hottech</t>
  </si>
  <si>
    <t>C2886579</t>
  </si>
  <si>
    <t>0.0205</t>
  </si>
  <si>
    <t>D2</t>
  </si>
  <si>
    <t>DIODE ZENER 6.2V 500MW SOD123</t>
  </si>
  <si>
    <t>SOD-123</t>
  </si>
  <si>
    <t>MMSZ5234B-7-F</t>
  </si>
  <si>
    <t>Diodes</t>
  </si>
  <si>
    <t>C151818</t>
  </si>
  <si>
    <t>0.0305</t>
  </si>
  <si>
    <t>D3</t>
  </si>
  <si>
    <t>DIODE GEN PURP 100V 300MA SOD123</t>
  </si>
  <si>
    <t>1N4148W-7-F</t>
  </si>
  <si>
    <t>C83528</t>
  </si>
  <si>
    <t>0.0161</t>
  </si>
  <si>
    <t>Protection Device</t>
  </si>
  <si>
    <t>5V 10V 3.3V Bi-Directional SOD-882 ESD Protection Devices ROHS</t>
  </si>
  <si>
    <t>SOD-882 Bi Directional</t>
  </si>
  <si>
    <t>LESD8D3.3CAT5G</t>
  </si>
  <si>
    <t>LRC</t>
  </si>
  <si>
    <t>C172409</t>
  </si>
  <si>
    <t>0.0088</t>
  </si>
  <si>
    <t>D10</t>
  </si>
  <si>
    <t>DIODE ZENER 3.3V 200MW SOD323F</t>
  </si>
  <si>
    <t>SOD323F</t>
  </si>
  <si>
    <t>MM3Z3V3B</t>
  </si>
  <si>
    <t>ON Semiconductor / Fairchild</t>
  </si>
  <si>
    <t>C2978865</t>
  </si>
  <si>
    <t>10</t>
  </si>
  <si>
    <t>0.0448</t>
  </si>
  <si>
    <t>D11</t>
  </si>
  <si>
    <t>DIODE SCHOTTKY 40V 250MA SOD323</t>
  </si>
  <si>
    <t>SOD-323</t>
  </si>
  <si>
    <t>NSR0240HT1G</t>
  </si>
  <si>
    <t>ON Semiconductor</t>
  </si>
  <si>
    <t>C152519</t>
  </si>
  <si>
    <t>0.0636</t>
  </si>
  <si>
    <t>Connector</t>
  </si>
  <si>
    <t>J1</t>
  </si>
  <si>
    <t>1x6P SH 1 1mm 6 SMD,P=1mm Wire To Board / Wire To Wire Connector ROHS</t>
  </si>
  <si>
    <t>Voltlink Target</t>
  </si>
  <si>
    <t>C145963</t>
  </si>
  <si>
    <t>BOOMELE</t>
  </si>
  <si>
    <t>12</t>
  </si>
  <si>
    <t>0.0719</t>
  </si>
  <si>
    <t>USB Connector</t>
  </si>
  <si>
    <t>J2</t>
  </si>
  <si>
    <t>5A 1 16P Female Type-C SMD USB Connectors ROHS</t>
  </si>
  <si>
    <t>TYPE-C-31-M-12_</t>
  </si>
  <si>
    <t>TYPE-C-31-M-12</t>
  </si>
  <si>
    <t>Korean Hroparts Elec</t>
  </si>
  <si>
    <t>C165948</t>
  </si>
  <si>
    <t>FFC/FPC Connector</t>
  </si>
  <si>
    <t>J3</t>
  </si>
  <si>
    <t>Slide Lock 40P Bottom Contact Surface Mount, Right Angle 0.5mm SMD,P=0.5mm,Surface Mount,Right Angle FFC, FPC (Flat Flexible) Connector Assemblies ROHS</t>
  </si>
  <si>
    <t>AFC07-S40FCA-00</t>
  </si>
  <si>
    <t>JUSHUO</t>
  </si>
  <si>
    <t>C262572</t>
  </si>
  <si>
    <t>Wire To Board Connector</t>
  </si>
  <si>
    <t>J4</t>
  </si>
  <si>
    <t>1x12P 12P PicoBlade(MX 1.25) Tin 12 -25℃~+85℃ 2A 1 1.25mm Brass Surface Mount,Vertical SMD,P=1.25mm Wire To Board Connector ROHS</t>
  </si>
  <si>
    <t>HC-1.25-12PLT</t>
  </si>
  <si>
    <t>HCTL</t>
  </si>
  <si>
    <t>C2937190</t>
  </si>
  <si>
    <t>Inductor</t>
  </si>
  <si>
    <t>L1</t>
  </si>
  <si>
    <t>Fixed Ind 4.7UH 2.8A 105MOHM SMD</t>
  </si>
  <si>
    <t>MWSA0402S-4R7MT</t>
  </si>
  <si>
    <t>Sunlord</t>
  </si>
  <si>
    <t>4.7uH</t>
  </si>
  <si>
    <t>Photo Sensor</t>
  </si>
  <si>
    <t>LED1</t>
  </si>
  <si>
    <t>SENSOR PHOTO 630NM 2SMD</t>
  </si>
  <si>
    <t>ALS-PT19-315C/L177/TR_</t>
  </si>
  <si>
    <t>ALS-PT19-315C/L177/TR8</t>
  </si>
  <si>
    <t>Everlight</t>
  </si>
  <si>
    <t>C146233</t>
  </si>
  <si>
    <t>0.0978</t>
  </si>
  <si>
    <t>Buzzer</t>
  </si>
  <si>
    <t>LS1</t>
  </si>
  <si>
    <t>Externally Driven 85dB@3V,10cm 3V 2700Hz SMD,D=9mm Buzzers ROHS</t>
  </si>
  <si>
    <t>YS-SBZ9032C03R16_</t>
  </si>
  <si>
    <t>YS-SBZ9032C03R16</t>
  </si>
  <si>
    <t>Fengming</t>
  </si>
  <si>
    <t>C409828</t>
  </si>
  <si>
    <t>0.3350</t>
  </si>
  <si>
    <t>Test Point</t>
  </si>
  <si>
    <t>P1, P2, P3, P4, P5</t>
  </si>
  <si>
    <t>Test Point ON</t>
  </si>
  <si>
    <t>Test-point - 0.5mm</t>
  </si>
  <si>
    <t>DO NOT PLACE</t>
  </si>
  <si>
    <t>Mosfet</t>
  </si>
  <si>
    <t>Q1, Q2</t>
  </si>
  <si>
    <t>50V 220mA 3.5Ω@10V,220mA 225mW 1.6V@1mA N Channel SOT-23 MOSFETs ROHS</t>
  </si>
  <si>
    <t>Sot-23</t>
  </si>
  <si>
    <t>BSS138</t>
  </si>
  <si>
    <t>Slkor(SLKORMICRO Elec.)</t>
  </si>
  <si>
    <t>C426569</t>
  </si>
  <si>
    <t>0.0150</t>
  </si>
  <si>
    <t>Q3</t>
  </si>
  <si>
    <t>30V 5.8A 32mΩ@10V,5.8A 1.4W 1.4V@250uA N Channel SOT-23 MOSFETs ROHS</t>
  </si>
  <si>
    <t>sot-23</t>
  </si>
  <si>
    <t>AO3400A</t>
  </si>
  <si>
    <t>BORN</t>
  </si>
  <si>
    <t>C344010</t>
  </si>
  <si>
    <t>0.0518</t>
  </si>
  <si>
    <t>Transister</t>
  </si>
  <si>
    <t>Q5</t>
  </si>
  <si>
    <t>TRANS NPN 160V 0.6A SOT-23</t>
  </si>
  <si>
    <t>SOT-23</t>
  </si>
  <si>
    <t>MMBT5551LT1G</t>
  </si>
  <si>
    <t>C909756</t>
  </si>
  <si>
    <t>0.0096</t>
  </si>
  <si>
    <t>Resistor</t>
  </si>
  <si>
    <t>R1, R19, R20, R21</t>
  </si>
  <si>
    <t>RES 10K OHM 1% 1/16W 0402</t>
  </si>
  <si>
    <t>Res-0402</t>
  </si>
  <si>
    <t>RC0402FR-0710KL</t>
  </si>
  <si>
    <t>C60490</t>
  </si>
  <si>
    <t>10K</t>
  </si>
  <si>
    <t>0.0006</t>
  </si>
  <si>
    <t>R2, R3</t>
  </si>
  <si>
    <t>RES 10K OHM 1% 1/10W 0603</t>
  </si>
  <si>
    <t>Res-0603</t>
  </si>
  <si>
    <t>RK73G1JTTD1002F</t>
  </si>
  <si>
    <t>C362180</t>
  </si>
  <si>
    <t>0.0280</t>
  </si>
  <si>
    <t>R4, R7, R11, R30, R33, R34, R35, R36, R46, R47</t>
  </si>
  <si>
    <t>RES 0 OHM JUMPER 1/10W 0603</t>
  </si>
  <si>
    <t>RC0603JR-070RL</t>
  </si>
  <si>
    <t>C95177</t>
  </si>
  <si>
    <t>0R</t>
  </si>
  <si>
    <t>0.0011</t>
  </si>
  <si>
    <t>R5, R6, R39</t>
  </si>
  <si>
    <t>RES 5.1K OHM 1% 1/10W 0603</t>
  </si>
  <si>
    <t>RC0603FR-075K1L</t>
  </si>
  <si>
    <t>C105580</t>
  </si>
  <si>
    <t>5.1K</t>
  </si>
  <si>
    <t>0.0012</t>
  </si>
  <si>
    <t>R8, R9, R40, R41, R42, R45</t>
  </si>
  <si>
    <t>RES SMD 10K Ohm 1% 1/10W 0603</t>
  </si>
  <si>
    <t>RC0603FR-0710KL</t>
  </si>
  <si>
    <t>C98220</t>
  </si>
  <si>
    <t>R10</t>
  </si>
  <si>
    <t>250mW Thick Film Resistors 200V ±5% ±200ppm/℃ 6.2Ω 1206 Chip Resistor - Surface Mount ROHS</t>
  </si>
  <si>
    <t>Res-1206</t>
  </si>
  <si>
    <t>FRC1206J6R2 TS</t>
  </si>
  <si>
    <t>FOJAN</t>
  </si>
  <si>
    <t>C2907521</t>
  </si>
  <si>
    <t>6.2R</t>
  </si>
  <si>
    <t>0.0021</t>
  </si>
  <si>
    <t>R12, R31</t>
  </si>
  <si>
    <t>DNP</t>
  </si>
  <si>
    <t>R13</t>
  </si>
  <si>
    <t>RES 1M OHM 1% 1/16W 0402</t>
  </si>
  <si>
    <t>RC0402FR-071ML</t>
  </si>
  <si>
    <t>C138033</t>
  </si>
  <si>
    <t>1M</t>
  </si>
  <si>
    <t>0.0007</t>
  </si>
  <si>
    <t>R14</t>
  </si>
  <si>
    <t>RES 100 OHM 1% 1/16W 0402</t>
  </si>
  <si>
    <t>RC0402FR-07100RL</t>
  </si>
  <si>
    <t>C106232</t>
  </si>
  <si>
    <t>100R</t>
  </si>
  <si>
    <t>Resistors</t>
  </si>
  <si>
    <t>R15</t>
  </si>
  <si>
    <t>RES 0 OHM JUMPER 1/16W 0402</t>
  </si>
  <si>
    <t>RC0402FR-070RL</t>
  </si>
  <si>
    <t>C106231</t>
  </si>
  <si>
    <t>R16, R17</t>
  </si>
  <si>
    <t>RES 1K OHM 5% 1/16W 0402</t>
  </si>
  <si>
    <t>RC0402JR-071KL</t>
  </si>
  <si>
    <t>C105637</t>
  </si>
  <si>
    <t>1K</t>
  </si>
  <si>
    <t>R18, R48</t>
  </si>
  <si>
    <t>RES 47K OHM 1% 1/16W 0402</t>
  </si>
  <si>
    <t>RC0402FR-0747KL</t>
  </si>
  <si>
    <t>C93943</t>
  </si>
  <si>
    <t>47K</t>
  </si>
  <si>
    <t>R22, R43, R44, R51, R52</t>
  </si>
  <si>
    <t>RES 4.7K OHM 1% 1/16W 0402</t>
  </si>
  <si>
    <t>RC0402FR-074K7L</t>
  </si>
  <si>
    <t>C105871</t>
  </si>
  <si>
    <t>4.7K</t>
  </si>
  <si>
    <t>R23</t>
  </si>
  <si>
    <t>RES 15K OHM 1% 1/10W 0603</t>
  </si>
  <si>
    <t>RC0603FR-0715KL</t>
  </si>
  <si>
    <t>C114661</t>
  </si>
  <si>
    <t>15K</t>
  </si>
  <si>
    <t>R24</t>
  </si>
  <si>
    <t>RES 3.3K OHM 0.5% 1/10W 0603</t>
  </si>
  <si>
    <t>RC0603DR-073K3L</t>
  </si>
  <si>
    <t>C723574</t>
  </si>
  <si>
    <t>3.3K</t>
  </si>
  <si>
    <t>0.0053</t>
  </si>
  <si>
    <t>R25, R32, R37, R38</t>
  </si>
  <si>
    <t>KOA Speer</t>
  </si>
  <si>
    <t>R26, R28</t>
  </si>
  <si>
    <t>RES SMD 4.7K OHM 1% 1/10W 0603</t>
  </si>
  <si>
    <t>RC0603FR-074K7L</t>
  </si>
  <si>
    <t>C99782</t>
  </si>
  <si>
    <t>R27</t>
  </si>
  <si>
    <t>RES 20K OHM 1% 1/10W 0603</t>
  </si>
  <si>
    <t>RC0603FR-0720KL</t>
  </si>
  <si>
    <t>C105575</t>
  </si>
  <si>
    <t>20K</t>
  </si>
  <si>
    <t>R29</t>
  </si>
  <si>
    <t>RES 100K OHM 1% 1/10W 0603</t>
  </si>
  <si>
    <t>RC0603FR-07100KL</t>
  </si>
  <si>
    <t>C14675</t>
  </si>
  <si>
    <t>100K</t>
  </si>
  <si>
    <t>0.0010</t>
  </si>
  <si>
    <t>R49</t>
  </si>
  <si>
    <t>RES 100K OHM 1% 1/16W 0402</t>
  </si>
  <si>
    <t>RC0402FR-07100KL</t>
  </si>
  <si>
    <t>C60491</t>
  </si>
  <si>
    <t>R50</t>
  </si>
  <si>
    <t>Switch</t>
  </si>
  <si>
    <t>SW1, SW2</t>
  </si>
  <si>
    <t>SWITCH TACTILE SPST-NO 0.05A 12V</t>
  </si>
  <si>
    <t>B3U-1000P</t>
  </si>
  <si>
    <t>Omron</t>
  </si>
  <si>
    <t>C231329</t>
  </si>
  <si>
    <t>0.1527</t>
  </si>
  <si>
    <t>Encoders</t>
  </si>
  <si>
    <t>SW3</t>
  </si>
  <si>
    <t>Bourns</t>
  </si>
  <si>
    <t>Tactile Switch</t>
  </si>
  <si>
    <t>SW4, SW5, SW6</t>
  </si>
  <si>
    <t>TL3300CF160Q.</t>
  </si>
  <si>
    <t>TL3300CF160Q</t>
  </si>
  <si>
    <t>E-Switch</t>
  </si>
  <si>
    <t>C273516</t>
  </si>
  <si>
    <t>15</t>
  </si>
  <si>
    <t>0.6953</t>
  </si>
  <si>
    <t>Module</t>
  </si>
  <si>
    <t>U1</t>
  </si>
  <si>
    <t>SMD MODULE, ESP32-S3R8 WITH 3.3V</t>
  </si>
  <si>
    <t>41-SMD Module</t>
  </si>
  <si>
    <t>ESP32-S3-WROOM-1-N16R8</t>
  </si>
  <si>
    <t>Espressif Systems</t>
  </si>
  <si>
    <t>C2913202</t>
  </si>
  <si>
    <t>4.9857</t>
  </si>
  <si>
    <t>Sensor</t>
  </si>
  <si>
    <t>U2</t>
  </si>
  <si>
    <t>Plugin Human Body Sensing Sensor ROHS</t>
  </si>
  <si>
    <t>AS312</t>
  </si>
  <si>
    <t>Senba Sensing Tech</t>
  </si>
  <si>
    <t>C90465</t>
  </si>
  <si>
    <t>0.9333</t>
  </si>
  <si>
    <t>IC</t>
  </si>
  <si>
    <t>U3</t>
  </si>
  <si>
    <t>IC REG LINEAR 3.3V 1A 8DFN</t>
  </si>
  <si>
    <t>DFN-8(1.2x1.6)</t>
  </si>
  <si>
    <t>LD56100DPU33R</t>
  </si>
  <si>
    <t>STMicroelectronics</t>
  </si>
  <si>
    <t>C2969937</t>
  </si>
  <si>
    <t>0.7327</t>
  </si>
  <si>
    <t>(TVS/ESD)</t>
  </si>
  <si>
    <t>U4</t>
  </si>
  <si>
    <t>6A 12V 150W 6V Unidirectional 5V SOT-23-6 ESD and Surge Protection (TVS/ESD) ROHS</t>
  </si>
  <si>
    <t>SOT-23-6</t>
  </si>
  <si>
    <t>USBLC6-2SC6</t>
  </si>
  <si>
    <t>TECH PUBLIC</t>
  </si>
  <si>
    <t>C2827654</t>
  </si>
  <si>
    <t>0.0383</t>
  </si>
  <si>
    <t>U5</t>
  </si>
  <si>
    <t>IC LED DRV RGLTR PWM 1.8A SC70-5</t>
  </si>
  <si>
    <t>SC70-5</t>
  </si>
  <si>
    <t>TPS61169DCKR</t>
  </si>
  <si>
    <t>Texas Instruments</t>
  </si>
  <si>
    <t>C71045</t>
  </si>
  <si>
    <t>0.1879</t>
  </si>
  <si>
    <t>U6</t>
  </si>
  <si>
    <t>SSOP-16-208mil Interface - Specialized ROHS</t>
  </si>
  <si>
    <t>SSOP-16-208mil</t>
  </si>
  <si>
    <t>WK2132-ISSG</t>
  </si>
  <si>
    <t>WEIKAI</t>
  </si>
  <si>
    <t>C401039</t>
  </si>
  <si>
    <t>2.4563</t>
  </si>
  <si>
    <t>U7</t>
  </si>
  <si>
    <t>IC XPNDR 1.7MHZ I2C 28SSOP</t>
  </si>
  <si>
    <t>SSOP-28-208mil</t>
  </si>
  <si>
    <t>MCP23017T-E/SS</t>
  </si>
  <si>
    <t>Microchip</t>
  </si>
  <si>
    <t>C558584</t>
  </si>
  <si>
    <t>1.4773</t>
  </si>
  <si>
    <t>Crystal</t>
  </si>
  <si>
    <t>X1</t>
  </si>
  <si>
    <t>14.7456MHz Surface Mount Crystal 20pF ±10ppm ±30ppm SMD3225-4P Crystals ROHS</t>
  </si>
  <si>
    <t>SMD3225-4P</t>
  </si>
  <si>
    <t>SX3B14.7456F2010F30</t>
  </si>
  <si>
    <t>Shenzhen SCTF Elec</t>
  </si>
  <si>
    <t>C2901666</t>
  </si>
  <si>
    <t>14.7456MHz</t>
  </si>
  <si>
    <t>0.0814</t>
  </si>
  <si>
    <t>Peripheral</t>
  </si>
  <si>
    <t>Sunlight Readable 4.3 inch High Brightness 480x272 TFT LCD Display</t>
  </si>
  <si>
    <t>LCD</t>
  </si>
  <si>
    <t>Order LCD Without touch panel</t>
  </si>
  <si>
    <t xml:space="preserve">Total Component Cost </t>
  </si>
  <si>
    <t>Single Board Cost</t>
  </si>
  <si>
    <t>Quantity (10 Boards)</t>
  </si>
  <si>
    <t>MOQ (10 Boards)</t>
  </si>
  <si>
    <t>Unit Cost (10 Boards)</t>
  </si>
  <si>
    <t>Total Cost (10 Boards)</t>
  </si>
  <si>
    <t xml:space="preserve"> Remarks</t>
  </si>
  <si>
    <t>Quantity (100 Boards)</t>
  </si>
  <si>
    <t xml:space="preserve"> MOQ (100 Boards)</t>
  </si>
  <si>
    <t>Unit Cost (100 Boards)</t>
  </si>
  <si>
    <t>Total Cost (100 Boards)</t>
  </si>
  <si>
    <t>Custom</t>
  </si>
  <si>
    <t>ENCODER MECH QUAD VERT PC PIN</t>
  </si>
  <si>
    <t>PEC11R-4215F-S0024</t>
  </si>
  <si>
    <t>C143790</t>
  </si>
  <si>
    <t>R54</t>
  </si>
  <si>
    <t>D4, D5, D6, D7, D8, D9, D12, D13, 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</si>
</sst>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00"/>
    <numFmt numFmtId="165" formatCode="&quot;$&quot;#,##0.00"/>
  </numFmts>
  <fonts count="17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scheme val="minor"/>
    </font>
    <font>
      <u/>
      <sz val="11"/>
      <color rgb="FF800080"/>
      <name val="Calibri"/>
      <charset val="134"/>
    </font>
    <font>
      <u/>
      <sz val="11"/>
      <color indexed="12"/>
      <name val="Calibri"/>
      <charset val="134"/>
    </font>
    <font>
      <b/>
      <strike/>
      <sz val="9"/>
      <color rgb="FFFF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3A4CB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3" xfId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3" fillId="2" borderId="3" xfId="1" applyFont="1" applyFill="1" applyBorder="1" applyAlignment="1">
      <alignment horizontal="center" vertical="center" wrapText="1"/>
    </xf>
    <xf numFmtId="165" fontId="15" fillId="4" borderId="2" xfId="0" applyNumberFormat="1" applyFont="1" applyFill="1" applyBorder="1" applyAlignment="1">
      <alignment horizontal="center" vertical="center" wrapText="1"/>
    </xf>
    <xf numFmtId="165" fontId="15" fillId="4" borderId="9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7" fillId="0" borderId="6" xfId="1" applyBorder="1" applyAlignment="1">
      <alignment horizontal="center" vertical="center" wrapText="1"/>
    </xf>
    <xf numFmtId="0" fontId="7" fillId="2" borderId="4" xfId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4" fillId="4" borderId="7" xfId="0" applyFont="1" applyFill="1" applyBorder="1" applyAlignment="1" applyProtection="1">
      <alignment horizontal="center" vertical="top"/>
      <protection locked="0"/>
    </xf>
    <xf numFmtId="0" fontId="14" fillId="4" borderId="8" xfId="0" applyFont="1" applyFill="1" applyBorder="1" applyAlignment="1" applyProtection="1">
      <alignment horizontal="center" vertical="top"/>
      <protection locked="0"/>
    </xf>
    <xf numFmtId="0" fontId="16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shenzhen-sunlord-electronics-co-ltd/MWSA0402S-4R7MT/14120116?s=N4IgTCBcDaILIHUDKBBADAFjWJBaDASgOxwAqIAugL5A" TargetMode="External"/><Relationship Id="rId21" Type="http://schemas.openxmlformats.org/officeDocument/2006/relationships/hyperlink" Target="https://www.lcsc.com/product-detail/C109447.html?s_z=n_C109447" TargetMode="External"/><Relationship Id="rId34" Type="http://schemas.openxmlformats.org/officeDocument/2006/relationships/hyperlink" Target="https://www.lcsc.com/product-detail/C71045.html" TargetMode="External"/><Relationship Id="rId42" Type="http://schemas.openxmlformats.org/officeDocument/2006/relationships/hyperlink" Target="https://www.lcsc.com/product-detail/C60491.html" TargetMode="External"/><Relationship Id="rId47" Type="http://schemas.openxmlformats.org/officeDocument/2006/relationships/hyperlink" Target="https://www.lcsc.com/product-detail/C723574.html" TargetMode="External"/><Relationship Id="rId50" Type="http://schemas.openxmlformats.org/officeDocument/2006/relationships/hyperlink" Target="https://www.lcsc.com/product-detail/C93943.html" TargetMode="External"/><Relationship Id="rId55" Type="http://schemas.openxmlformats.org/officeDocument/2006/relationships/hyperlink" Target="https://www.lcsc.com/product-detail/C105580.html" TargetMode="External"/><Relationship Id="rId63" Type="http://schemas.openxmlformats.org/officeDocument/2006/relationships/hyperlink" Target="https://www.lcsc.com/product-detail/C344010.html" TargetMode="External"/><Relationship Id="rId7" Type="http://schemas.openxmlformats.org/officeDocument/2006/relationships/hyperlink" Target="https://www.lcsc.com/product-detail/C2181865.html" TargetMode="External"/><Relationship Id="rId2" Type="http://schemas.openxmlformats.org/officeDocument/2006/relationships/hyperlink" Target="https://www.lcsc.com/product-detail/C106256.html" TargetMode="External"/><Relationship Id="rId16" Type="http://schemas.openxmlformats.org/officeDocument/2006/relationships/hyperlink" Target="https://www.lcsc.com/product-detail/C172409.html" TargetMode="External"/><Relationship Id="rId29" Type="http://schemas.openxmlformats.org/officeDocument/2006/relationships/hyperlink" Target="https://www.lcsc.com/product-detail/C426569.html" TargetMode="External"/><Relationship Id="rId11" Type="http://schemas.openxmlformats.org/officeDocument/2006/relationships/hyperlink" Target="https://www.lcsc.com/product-detail/C6266891.html" TargetMode="External"/><Relationship Id="rId24" Type="http://schemas.openxmlformats.org/officeDocument/2006/relationships/hyperlink" Target="https://www.lcsc.com/product-detail/C262572.html?s_z=n_C262572" TargetMode="External"/><Relationship Id="rId32" Type="http://schemas.openxmlformats.org/officeDocument/2006/relationships/hyperlink" Target="https://www.lcsc.com/product-detail/C558584.html" TargetMode="External"/><Relationship Id="rId37" Type="http://schemas.openxmlformats.org/officeDocument/2006/relationships/hyperlink" Target="https://www.lcsc.com/product-detail/C90465.html" TargetMode="External"/><Relationship Id="rId40" Type="http://schemas.openxmlformats.org/officeDocument/2006/relationships/hyperlink" Target="https://www.lcsc.com/product-detail/C231329.html" TargetMode="External"/><Relationship Id="rId45" Type="http://schemas.openxmlformats.org/officeDocument/2006/relationships/hyperlink" Target="https://www.lcsc.com/product-detail/C99782.html" TargetMode="External"/><Relationship Id="rId53" Type="http://schemas.openxmlformats.org/officeDocument/2006/relationships/hyperlink" Target="https://www.lcsc.com/product-detail/C106232.html" TargetMode="External"/><Relationship Id="rId58" Type="http://schemas.openxmlformats.org/officeDocument/2006/relationships/hyperlink" Target="https://www.lcsc.com/product-detail/C105580.html" TargetMode="External"/><Relationship Id="rId5" Type="http://schemas.openxmlformats.org/officeDocument/2006/relationships/hyperlink" Target="https://www.lcsc.com/product-detail/C110055.html" TargetMode="External"/><Relationship Id="rId61" Type="http://schemas.openxmlformats.org/officeDocument/2006/relationships/hyperlink" Target="https://www.lcsc.com/product-detail/C60490.html" TargetMode="External"/><Relationship Id="rId19" Type="http://schemas.openxmlformats.org/officeDocument/2006/relationships/hyperlink" Target="https://www.lcsc.com/product-detail/C145963.html" TargetMode="External"/><Relationship Id="rId14" Type="http://schemas.openxmlformats.org/officeDocument/2006/relationships/hyperlink" Target="https://www.lcsc.com/product-detail/C151818.html" TargetMode="External"/><Relationship Id="rId22" Type="http://schemas.openxmlformats.org/officeDocument/2006/relationships/hyperlink" Target="https://www.digikey.com/en/products/detail/kyocera-avx/TCTP1A226M8R/1209652" TargetMode="External"/><Relationship Id="rId27" Type="http://schemas.openxmlformats.org/officeDocument/2006/relationships/hyperlink" Target="https://www.lcsc.com/product-detail/C146233.html" TargetMode="External"/><Relationship Id="rId30" Type="http://schemas.openxmlformats.org/officeDocument/2006/relationships/hyperlink" Target="https://www.buydisplay.com/sunlight-readable-4-3-inch-high-brightness-480x272-tft-lcd-display?srsltid=AfmBOor6YnfEeTkSpbEntf25o5PHS14cteiEDXzHWxqpG4RG_-Yj2mqI" TargetMode="External"/><Relationship Id="rId35" Type="http://schemas.openxmlformats.org/officeDocument/2006/relationships/hyperlink" Target="https://www.lcsc.com/product-detail/C2827654.html" TargetMode="External"/><Relationship Id="rId43" Type="http://schemas.openxmlformats.org/officeDocument/2006/relationships/hyperlink" Target="https://www.lcsc.com/product-detail/C14675.html" TargetMode="External"/><Relationship Id="rId48" Type="http://schemas.openxmlformats.org/officeDocument/2006/relationships/hyperlink" Target="https://www.lcsc.com/product-detail/C114661.html" TargetMode="External"/><Relationship Id="rId56" Type="http://schemas.openxmlformats.org/officeDocument/2006/relationships/hyperlink" Target="https://www.lcsc.com/product-detail/C2907521.html" TargetMode="External"/><Relationship Id="rId64" Type="http://schemas.openxmlformats.org/officeDocument/2006/relationships/hyperlink" Target="https://www.lcsc.com/product-detail/C143790.html?s_z=n_PEC11R-4215F-S0024" TargetMode="External"/><Relationship Id="rId8" Type="http://schemas.openxmlformats.org/officeDocument/2006/relationships/hyperlink" Target="https://www.lcsc.com/product-detail/C106221.html" TargetMode="External"/><Relationship Id="rId51" Type="http://schemas.openxmlformats.org/officeDocument/2006/relationships/hyperlink" Target="https://www.lcsc.com/product-detail/C105637.html" TargetMode="External"/><Relationship Id="rId3" Type="http://schemas.openxmlformats.org/officeDocument/2006/relationships/hyperlink" Target="https://www.lcsc.com/product-detail/C576449.html" TargetMode="External"/><Relationship Id="rId12" Type="http://schemas.openxmlformats.org/officeDocument/2006/relationships/hyperlink" Target="https://www.lcsc.com/product-detail/C1653.html" TargetMode="External"/><Relationship Id="rId17" Type="http://schemas.openxmlformats.org/officeDocument/2006/relationships/hyperlink" Target="https://www.lcsc.com/product-detail/C2978865.html" TargetMode="External"/><Relationship Id="rId25" Type="http://schemas.openxmlformats.org/officeDocument/2006/relationships/hyperlink" Target="https://www.lcsc.com/product-detail/C2937190.html?s_z=n_C2937190" TargetMode="External"/><Relationship Id="rId33" Type="http://schemas.openxmlformats.org/officeDocument/2006/relationships/hyperlink" Target="https://www.lcsc.com/product-detail/C401039.html" TargetMode="External"/><Relationship Id="rId38" Type="http://schemas.openxmlformats.org/officeDocument/2006/relationships/hyperlink" Target="https://www.lcsc.com/product-detail/C2913202.html" TargetMode="External"/><Relationship Id="rId46" Type="http://schemas.openxmlformats.org/officeDocument/2006/relationships/hyperlink" Target="https://www.lcsc.com/product-detail/C362180.html" TargetMode="External"/><Relationship Id="rId59" Type="http://schemas.openxmlformats.org/officeDocument/2006/relationships/hyperlink" Target="https://www.lcsc.com/product-detail/C95177.html" TargetMode="External"/><Relationship Id="rId20" Type="http://schemas.openxmlformats.org/officeDocument/2006/relationships/hyperlink" Target="https://www.lcsc.com/product-detail/C576726.html?s_z=n_C576726" TargetMode="External"/><Relationship Id="rId41" Type="http://schemas.openxmlformats.org/officeDocument/2006/relationships/hyperlink" Target="https://www.lcsc.com/product-detail/C14675.html" TargetMode="External"/><Relationship Id="rId54" Type="http://schemas.openxmlformats.org/officeDocument/2006/relationships/hyperlink" Target="https://www.lcsc.com/product-detail/C138033.html" TargetMode="External"/><Relationship Id="rId62" Type="http://schemas.openxmlformats.org/officeDocument/2006/relationships/hyperlink" Target="https://www.lcsc.com/product-detail/C909756.html" TargetMode="External"/><Relationship Id="rId1" Type="http://schemas.openxmlformats.org/officeDocument/2006/relationships/hyperlink" Target="https://www.lcsc.com/product-detail/C1952924.html" TargetMode="External"/><Relationship Id="rId6" Type="http://schemas.openxmlformats.org/officeDocument/2006/relationships/hyperlink" Target="https://www.lcsc.com/product-detail/C110022.html" TargetMode="External"/><Relationship Id="rId15" Type="http://schemas.openxmlformats.org/officeDocument/2006/relationships/hyperlink" Target="https://www.lcsc.com/product-detail/C83528.html" TargetMode="External"/><Relationship Id="rId23" Type="http://schemas.openxmlformats.org/officeDocument/2006/relationships/hyperlink" Target="https://www.lcsc.com/product-detail/C165948.html?s_z=n_C165948" TargetMode="External"/><Relationship Id="rId28" Type="http://schemas.openxmlformats.org/officeDocument/2006/relationships/hyperlink" Target="https://www.lcsc.com/product-detail/C409828.html" TargetMode="External"/><Relationship Id="rId36" Type="http://schemas.openxmlformats.org/officeDocument/2006/relationships/hyperlink" Target="https://www.lcsc.com/product-detail/C2969937.html" TargetMode="External"/><Relationship Id="rId49" Type="http://schemas.openxmlformats.org/officeDocument/2006/relationships/hyperlink" Target="https://www.lcsc.com/product-detail/C105871.html" TargetMode="External"/><Relationship Id="rId57" Type="http://schemas.openxmlformats.org/officeDocument/2006/relationships/hyperlink" Target="https://www.lcsc.com/product-detail/C98220.html" TargetMode="External"/><Relationship Id="rId10" Type="http://schemas.openxmlformats.org/officeDocument/2006/relationships/hyperlink" Target="https://www.lcsc.com/product-detail/C15849.html" TargetMode="External"/><Relationship Id="rId31" Type="http://schemas.openxmlformats.org/officeDocument/2006/relationships/hyperlink" Target="https://www.lcsc.com/product-detail/C2901666.html" TargetMode="External"/><Relationship Id="rId44" Type="http://schemas.openxmlformats.org/officeDocument/2006/relationships/hyperlink" Target="https://www.lcsc.com/product-detail/C105575.html" TargetMode="External"/><Relationship Id="rId52" Type="http://schemas.openxmlformats.org/officeDocument/2006/relationships/hyperlink" Target="https://www.lcsc.com/product-detail/C106231.html" TargetMode="External"/><Relationship Id="rId60" Type="http://schemas.openxmlformats.org/officeDocument/2006/relationships/hyperlink" Target="https://www.lcsc.com/product-detail/C362180.html" TargetMode="External"/><Relationship Id="rId65" Type="http://schemas.openxmlformats.org/officeDocument/2006/relationships/hyperlink" Target="https://www.lcsc.com/product-detail/C14675.html" TargetMode="External"/><Relationship Id="rId4" Type="http://schemas.openxmlformats.org/officeDocument/2006/relationships/hyperlink" Target="https://www.lcsc.com/product-detail/C541464.html" TargetMode="External"/><Relationship Id="rId9" Type="http://schemas.openxmlformats.org/officeDocument/2006/relationships/hyperlink" Target="https://www.lcsc.com/product-detail/C277476.html" TargetMode="External"/><Relationship Id="rId13" Type="http://schemas.openxmlformats.org/officeDocument/2006/relationships/hyperlink" Target="https://www.lcsc.com/product-detail/C2886579.html" TargetMode="External"/><Relationship Id="rId18" Type="http://schemas.openxmlformats.org/officeDocument/2006/relationships/hyperlink" Target="https://www.lcsc.com/product-detail/C152519.html" TargetMode="External"/><Relationship Id="rId39" Type="http://schemas.openxmlformats.org/officeDocument/2006/relationships/hyperlink" Target="https://www.lcsc.com/product-detail/C273516.htm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shenzhen-sunlord-electronics-co-ltd/MWSA0402S-4R7MT/14120116?s=N4IgTCBcDaILIHUDKBBADAFjWJBaDASgOxwAqIAugL5A" TargetMode="External"/><Relationship Id="rId21" Type="http://schemas.openxmlformats.org/officeDocument/2006/relationships/hyperlink" Target="https://www.lcsc.com/product-detail/C109447.html?s_z=n_C109447" TargetMode="External"/><Relationship Id="rId34" Type="http://schemas.openxmlformats.org/officeDocument/2006/relationships/hyperlink" Target="https://www.lcsc.com/product-detail/C71045.html" TargetMode="External"/><Relationship Id="rId42" Type="http://schemas.openxmlformats.org/officeDocument/2006/relationships/hyperlink" Target="https://www.lcsc.com/product-detail/C60491.html" TargetMode="External"/><Relationship Id="rId47" Type="http://schemas.openxmlformats.org/officeDocument/2006/relationships/hyperlink" Target="https://www.lcsc.com/product-detail/C723574.html" TargetMode="External"/><Relationship Id="rId50" Type="http://schemas.openxmlformats.org/officeDocument/2006/relationships/hyperlink" Target="https://www.lcsc.com/product-detail/C93943.html" TargetMode="External"/><Relationship Id="rId55" Type="http://schemas.openxmlformats.org/officeDocument/2006/relationships/hyperlink" Target="https://www.lcsc.com/product-detail/C105580.html" TargetMode="External"/><Relationship Id="rId63" Type="http://schemas.openxmlformats.org/officeDocument/2006/relationships/hyperlink" Target="https://www.lcsc.com/product-detail/C344010.html" TargetMode="External"/><Relationship Id="rId7" Type="http://schemas.openxmlformats.org/officeDocument/2006/relationships/hyperlink" Target="https://www.lcsc.com/product-detail/C2181865.html" TargetMode="External"/><Relationship Id="rId2" Type="http://schemas.openxmlformats.org/officeDocument/2006/relationships/hyperlink" Target="https://www.lcsc.com/product-detail/C106256.html" TargetMode="External"/><Relationship Id="rId16" Type="http://schemas.openxmlformats.org/officeDocument/2006/relationships/hyperlink" Target="https://www.lcsc.com/product-detail/C172409.html" TargetMode="External"/><Relationship Id="rId29" Type="http://schemas.openxmlformats.org/officeDocument/2006/relationships/hyperlink" Target="https://www.lcsc.com/product-detail/C426569.html" TargetMode="External"/><Relationship Id="rId11" Type="http://schemas.openxmlformats.org/officeDocument/2006/relationships/hyperlink" Target="https://www.lcsc.com/product-detail/C6266891.html" TargetMode="External"/><Relationship Id="rId24" Type="http://schemas.openxmlformats.org/officeDocument/2006/relationships/hyperlink" Target="https://www.lcsc.com/product-detail/C262572.html?s_z=n_C262572" TargetMode="External"/><Relationship Id="rId32" Type="http://schemas.openxmlformats.org/officeDocument/2006/relationships/hyperlink" Target="https://www.lcsc.com/product-detail/C558584.html" TargetMode="External"/><Relationship Id="rId37" Type="http://schemas.openxmlformats.org/officeDocument/2006/relationships/hyperlink" Target="https://www.lcsc.com/product-detail/C90465.html" TargetMode="External"/><Relationship Id="rId40" Type="http://schemas.openxmlformats.org/officeDocument/2006/relationships/hyperlink" Target="https://www.lcsc.com/product-detail/C231329.html" TargetMode="External"/><Relationship Id="rId45" Type="http://schemas.openxmlformats.org/officeDocument/2006/relationships/hyperlink" Target="https://www.lcsc.com/product-detail/C99782.html" TargetMode="External"/><Relationship Id="rId53" Type="http://schemas.openxmlformats.org/officeDocument/2006/relationships/hyperlink" Target="https://www.lcsc.com/product-detail/C106232.html" TargetMode="External"/><Relationship Id="rId58" Type="http://schemas.openxmlformats.org/officeDocument/2006/relationships/hyperlink" Target="https://www.lcsc.com/product-detail/C105580.html" TargetMode="External"/><Relationship Id="rId5" Type="http://schemas.openxmlformats.org/officeDocument/2006/relationships/hyperlink" Target="https://www.lcsc.com/product-detail/C110055.html" TargetMode="External"/><Relationship Id="rId61" Type="http://schemas.openxmlformats.org/officeDocument/2006/relationships/hyperlink" Target="https://www.lcsc.com/product-detail/C60490.html" TargetMode="External"/><Relationship Id="rId19" Type="http://schemas.openxmlformats.org/officeDocument/2006/relationships/hyperlink" Target="https://www.lcsc.com/product-detail/C145963.html" TargetMode="External"/><Relationship Id="rId14" Type="http://schemas.openxmlformats.org/officeDocument/2006/relationships/hyperlink" Target="https://www.lcsc.com/product-detail/C151818.html" TargetMode="External"/><Relationship Id="rId22" Type="http://schemas.openxmlformats.org/officeDocument/2006/relationships/hyperlink" Target="https://www.digikey.com/en/products/detail/kyocera-avx/TCTP1A226M8R/1209652" TargetMode="External"/><Relationship Id="rId27" Type="http://schemas.openxmlformats.org/officeDocument/2006/relationships/hyperlink" Target="https://www.lcsc.com/product-detail/C146233.html" TargetMode="External"/><Relationship Id="rId30" Type="http://schemas.openxmlformats.org/officeDocument/2006/relationships/hyperlink" Target="https://www.buydisplay.com/sunlight-readable-4-3-inch-high-brightness-480x272-tft-lcd-display?srsltid=AfmBOor6YnfEeTkSpbEntf25o5PHS14cteiEDXzHWxqpG4RG_-Yj2mqI" TargetMode="External"/><Relationship Id="rId35" Type="http://schemas.openxmlformats.org/officeDocument/2006/relationships/hyperlink" Target="https://www.lcsc.com/product-detail/C2827654.html" TargetMode="External"/><Relationship Id="rId43" Type="http://schemas.openxmlformats.org/officeDocument/2006/relationships/hyperlink" Target="https://www.lcsc.com/product-detail/C14675.html" TargetMode="External"/><Relationship Id="rId48" Type="http://schemas.openxmlformats.org/officeDocument/2006/relationships/hyperlink" Target="https://www.lcsc.com/product-detail/C114661.html" TargetMode="External"/><Relationship Id="rId56" Type="http://schemas.openxmlformats.org/officeDocument/2006/relationships/hyperlink" Target="https://www.lcsc.com/product-detail/C2907521.html" TargetMode="External"/><Relationship Id="rId64" Type="http://schemas.openxmlformats.org/officeDocument/2006/relationships/hyperlink" Target="https://www.lcsc.com/product-detail/C143790.html?s_z=n_PEC11R-4215F-S0024" TargetMode="External"/><Relationship Id="rId8" Type="http://schemas.openxmlformats.org/officeDocument/2006/relationships/hyperlink" Target="https://www.lcsc.com/product-detail/C106221.html" TargetMode="External"/><Relationship Id="rId51" Type="http://schemas.openxmlformats.org/officeDocument/2006/relationships/hyperlink" Target="https://www.lcsc.com/product-detail/C105637.html" TargetMode="External"/><Relationship Id="rId3" Type="http://schemas.openxmlformats.org/officeDocument/2006/relationships/hyperlink" Target="https://www.lcsc.com/product-detail/C576449.html" TargetMode="External"/><Relationship Id="rId12" Type="http://schemas.openxmlformats.org/officeDocument/2006/relationships/hyperlink" Target="https://www.lcsc.com/product-detail/C1653.html" TargetMode="External"/><Relationship Id="rId17" Type="http://schemas.openxmlformats.org/officeDocument/2006/relationships/hyperlink" Target="https://www.lcsc.com/product-detail/C2978865.html" TargetMode="External"/><Relationship Id="rId25" Type="http://schemas.openxmlformats.org/officeDocument/2006/relationships/hyperlink" Target="https://www.lcsc.com/product-detail/C2937190.html?s_z=n_C2937190" TargetMode="External"/><Relationship Id="rId33" Type="http://schemas.openxmlformats.org/officeDocument/2006/relationships/hyperlink" Target="https://www.lcsc.com/product-detail/C401039.html" TargetMode="External"/><Relationship Id="rId38" Type="http://schemas.openxmlformats.org/officeDocument/2006/relationships/hyperlink" Target="https://www.lcsc.com/product-detail/C2913202.html" TargetMode="External"/><Relationship Id="rId46" Type="http://schemas.openxmlformats.org/officeDocument/2006/relationships/hyperlink" Target="https://www.lcsc.com/product-detail/C362180.html" TargetMode="External"/><Relationship Id="rId59" Type="http://schemas.openxmlformats.org/officeDocument/2006/relationships/hyperlink" Target="https://www.lcsc.com/product-detail/C95177.html" TargetMode="External"/><Relationship Id="rId20" Type="http://schemas.openxmlformats.org/officeDocument/2006/relationships/hyperlink" Target="https://www.lcsc.com/product-detail/C576726.html?s_z=n_C576726" TargetMode="External"/><Relationship Id="rId41" Type="http://schemas.openxmlformats.org/officeDocument/2006/relationships/hyperlink" Target="https://www.lcsc.com/product-detail/C14675.html" TargetMode="External"/><Relationship Id="rId54" Type="http://schemas.openxmlformats.org/officeDocument/2006/relationships/hyperlink" Target="https://www.lcsc.com/product-detail/C138033.html" TargetMode="External"/><Relationship Id="rId62" Type="http://schemas.openxmlformats.org/officeDocument/2006/relationships/hyperlink" Target="https://www.lcsc.com/product-detail/C909756.html" TargetMode="External"/><Relationship Id="rId1" Type="http://schemas.openxmlformats.org/officeDocument/2006/relationships/hyperlink" Target="https://www.lcsc.com/product-detail/C1952924.html" TargetMode="External"/><Relationship Id="rId6" Type="http://schemas.openxmlformats.org/officeDocument/2006/relationships/hyperlink" Target="https://www.lcsc.com/product-detail/C110022.html" TargetMode="External"/><Relationship Id="rId15" Type="http://schemas.openxmlformats.org/officeDocument/2006/relationships/hyperlink" Target="https://www.lcsc.com/product-detail/C83528.html" TargetMode="External"/><Relationship Id="rId23" Type="http://schemas.openxmlformats.org/officeDocument/2006/relationships/hyperlink" Target="https://www.lcsc.com/product-detail/C165948.html?s_z=n_C165948" TargetMode="External"/><Relationship Id="rId28" Type="http://schemas.openxmlformats.org/officeDocument/2006/relationships/hyperlink" Target="https://www.lcsc.com/product-detail/C409828.html" TargetMode="External"/><Relationship Id="rId36" Type="http://schemas.openxmlformats.org/officeDocument/2006/relationships/hyperlink" Target="https://www.lcsc.com/product-detail/C2969937.html" TargetMode="External"/><Relationship Id="rId49" Type="http://schemas.openxmlformats.org/officeDocument/2006/relationships/hyperlink" Target="https://www.lcsc.com/product-detail/C105871.html" TargetMode="External"/><Relationship Id="rId57" Type="http://schemas.openxmlformats.org/officeDocument/2006/relationships/hyperlink" Target="https://www.lcsc.com/product-detail/C98220.html" TargetMode="External"/><Relationship Id="rId10" Type="http://schemas.openxmlformats.org/officeDocument/2006/relationships/hyperlink" Target="https://www.lcsc.com/product-detail/C15849.html" TargetMode="External"/><Relationship Id="rId31" Type="http://schemas.openxmlformats.org/officeDocument/2006/relationships/hyperlink" Target="https://www.lcsc.com/product-detail/C2901666.html" TargetMode="External"/><Relationship Id="rId44" Type="http://schemas.openxmlformats.org/officeDocument/2006/relationships/hyperlink" Target="https://www.lcsc.com/product-detail/C105575.html" TargetMode="External"/><Relationship Id="rId52" Type="http://schemas.openxmlformats.org/officeDocument/2006/relationships/hyperlink" Target="https://www.lcsc.com/product-detail/C106231.html" TargetMode="External"/><Relationship Id="rId60" Type="http://schemas.openxmlformats.org/officeDocument/2006/relationships/hyperlink" Target="https://www.lcsc.com/product-detail/C362180.html" TargetMode="External"/><Relationship Id="rId65" Type="http://schemas.openxmlformats.org/officeDocument/2006/relationships/hyperlink" Target="https://www.lcsc.com/product-detail/C14675.html" TargetMode="External"/><Relationship Id="rId4" Type="http://schemas.openxmlformats.org/officeDocument/2006/relationships/hyperlink" Target="https://www.lcsc.com/product-detail/C541464.html" TargetMode="External"/><Relationship Id="rId9" Type="http://schemas.openxmlformats.org/officeDocument/2006/relationships/hyperlink" Target="https://www.lcsc.com/product-detail/C277476.html" TargetMode="External"/><Relationship Id="rId13" Type="http://schemas.openxmlformats.org/officeDocument/2006/relationships/hyperlink" Target="https://www.lcsc.com/product-detail/C2886579.html" TargetMode="External"/><Relationship Id="rId18" Type="http://schemas.openxmlformats.org/officeDocument/2006/relationships/hyperlink" Target="https://www.lcsc.com/product-detail/C152519.html" TargetMode="External"/><Relationship Id="rId39" Type="http://schemas.openxmlformats.org/officeDocument/2006/relationships/hyperlink" Target="https://www.lcsc.com/product-detail/C273516.htm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shenzhen-sunlord-electronics-co-ltd/MWSA0402S-4R7MT/14120116?s=N4IgTCBcDaILIHUDKBBADAFjWJBaDASgOxwAqIAugL5A" TargetMode="External"/><Relationship Id="rId21" Type="http://schemas.openxmlformats.org/officeDocument/2006/relationships/hyperlink" Target="https://www.lcsc.com/product-detail/C109447.html?s_z=n_C109447" TargetMode="External"/><Relationship Id="rId34" Type="http://schemas.openxmlformats.org/officeDocument/2006/relationships/hyperlink" Target="https://www.lcsc.com/product-detail/C71045.html" TargetMode="External"/><Relationship Id="rId42" Type="http://schemas.openxmlformats.org/officeDocument/2006/relationships/hyperlink" Target="https://www.lcsc.com/product-detail/C60491.html" TargetMode="External"/><Relationship Id="rId47" Type="http://schemas.openxmlformats.org/officeDocument/2006/relationships/hyperlink" Target="https://www.lcsc.com/product-detail/C723574.html" TargetMode="External"/><Relationship Id="rId50" Type="http://schemas.openxmlformats.org/officeDocument/2006/relationships/hyperlink" Target="https://www.lcsc.com/product-detail/C93943.html" TargetMode="External"/><Relationship Id="rId55" Type="http://schemas.openxmlformats.org/officeDocument/2006/relationships/hyperlink" Target="https://www.lcsc.com/product-detail/C105580.html" TargetMode="External"/><Relationship Id="rId63" Type="http://schemas.openxmlformats.org/officeDocument/2006/relationships/hyperlink" Target="https://www.lcsc.com/product-detail/C344010.html" TargetMode="External"/><Relationship Id="rId7" Type="http://schemas.openxmlformats.org/officeDocument/2006/relationships/hyperlink" Target="https://www.lcsc.com/product-detail/C2181865.html" TargetMode="External"/><Relationship Id="rId2" Type="http://schemas.openxmlformats.org/officeDocument/2006/relationships/hyperlink" Target="https://www.lcsc.com/product-detail/C106256.html" TargetMode="External"/><Relationship Id="rId16" Type="http://schemas.openxmlformats.org/officeDocument/2006/relationships/hyperlink" Target="https://www.lcsc.com/product-detail/C172409.html" TargetMode="External"/><Relationship Id="rId29" Type="http://schemas.openxmlformats.org/officeDocument/2006/relationships/hyperlink" Target="https://www.lcsc.com/product-detail/C426569.html" TargetMode="External"/><Relationship Id="rId11" Type="http://schemas.openxmlformats.org/officeDocument/2006/relationships/hyperlink" Target="https://www.lcsc.com/product-detail/C6266891.html" TargetMode="External"/><Relationship Id="rId24" Type="http://schemas.openxmlformats.org/officeDocument/2006/relationships/hyperlink" Target="https://www.lcsc.com/product-detail/C262572.html?s_z=n_C262572" TargetMode="External"/><Relationship Id="rId32" Type="http://schemas.openxmlformats.org/officeDocument/2006/relationships/hyperlink" Target="https://www.lcsc.com/product-detail/C558584.html" TargetMode="External"/><Relationship Id="rId37" Type="http://schemas.openxmlformats.org/officeDocument/2006/relationships/hyperlink" Target="https://www.lcsc.com/product-detail/C90465.html" TargetMode="External"/><Relationship Id="rId40" Type="http://schemas.openxmlformats.org/officeDocument/2006/relationships/hyperlink" Target="https://www.lcsc.com/product-detail/C231329.html" TargetMode="External"/><Relationship Id="rId45" Type="http://schemas.openxmlformats.org/officeDocument/2006/relationships/hyperlink" Target="https://www.lcsc.com/product-detail/C99782.html" TargetMode="External"/><Relationship Id="rId53" Type="http://schemas.openxmlformats.org/officeDocument/2006/relationships/hyperlink" Target="https://www.lcsc.com/product-detail/C106232.html" TargetMode="External"/><Relationship Id="rId58" Type="http://schemas.openxmlformats.org/officeDocument/2006/relationships/hyperlink" Target="https://www.lcsc.com/product-detail/C105580.html" TargetMode="External"/><Relationship Id="rId5" Type="http://schemas.openxmlformats.org/officeDocument/2006/relationships/hyperlink" Target="https://www.lcsc.com/product-detail/C110055.html" TargetMode="External"/><Relationship Id="rId61" Type="http://schemas.openxmlformats.org/officeDocument/2006/relationships/hyperlink" Target="https://www.lcsc.com/product-detail/C60490.html" TargetMode="External"/><Relationship Id="rId19" Type="http://schemas.openxmlformats.org/officeDocument/2006/relationships/hyperlink" Target="https://www.lcsc.com/product-detail/C145963.html" TargetMode="External"/><Relationship Id="rId14" Type="http://schemas.openxmlformats.org/officeDocument/2006/relationships/hyperlink" Target="https://www.lcsc.com/product-detail/C151818.html" TargetMode="External"/><Relationship Id="rId22" Type="http://schemas.openxmlformats.org/officeDocument/2006/relationships/hyperlink" Target="https://www.digikey.com/en/products/detail/kyocera-avx/TCTP1A226M8R/1209652" TargetMode="External"/><Relationship Id="rId27" Type="http://schemas.openxmlformats.org/officeDocument/2006/relationships/hyperlink" Target="https://www.lcsc.com/product-detail/C146233.html" TargetMode="External"/><Relationship Id="rId30" Type="http://schemas.openxmlformats.org/officeDocument/2006/relationships/hyperlink" Target="https://www.buydisplay.com/sunlight-readable-4-3-inch-high-brightness-480x272-tft-lcd-display?srsltid=AfmBOor6YnfEeTkSpbEntf25o5PHS14cteiEDXzHWxqpG4RG_-Yj2mqI" TargetMode="External"/><Relationship Id="rId35" Type="http://schemas.openxmlformats.org/officeDocument/2006/relationships/hyperlink" Target="https://www.lcsc.com/product-detail/C2827654.html" TargetMode="External"/><Relationship Id="rId43" Type="http://schemas.openxmlformats.org/officeDocument/2006/relationships/hyperlink" Target="https://www.lcsc.com/product-detail/C14675.html" TargetMode="External"/><Relationship Id="rId48" Type="http://schemas.openxmlformats.org/officeDocument/2006/relationships/hyperlink" Target="https://www.lcsc.com/product-detail/C114661.html" TargetMode="External"/><Relationship Id="rId56" Type="http://schemas.openxmlformats.org/officeDocument/2006/relationships/hyperlink" Target="https://www.lcsc.com/product-detail/C2907521.html" TargetMode="External"/><Relationship Id="rId64" Type="http://schemas.openxmlformats.org/officeDocument/2006/relationships/hyperlink" Target="https://www.lcsc.com/product-detail/C143790.html?s_z=n_PEC11R-4215F-S0024" TargetMode="External"/><Relationship Id="rId8" Type="http://schemas.openxmlformats.org/officeDocument/2006/relationships/hyperlink" Target="https://www.lcsc.com/product-detail/C106221.html" TargetMode="External"/><Relationship Id="rId51" Type="http://schemas.openxmlformats.org/officeDocument/2006/relationships/hyperlink" Target="https://www.lcsc.com/product-detail/C105637.html" TargetMode="External"/><Relationship Id="rId3" Type="http://schemas.openxmlformats.org/officeDocument/2006/relationships/hyperlink" Target="https://www.lcsc.com/product-detail/C576449.html" TargetMode="External"/><Relationship Id="rId12" Type="http://schemas.openxmlformats.org/officeDocument/2006/relationships/hyperlink" Target="https://www.lcsc.com/product-detail/C1653.html" TargetMode="External"/><Relationship Id="rId17" Type="http://schemas.openxmlformats.org/officeDocument/2006/relationships/hyperlink" Target="https://www.lcsc.com/product-detail/C2978865.html" TargetMode="External"/><Relationship Id="rId25" Type="http://schemas.openxmlformats.org/officeDocument/2006/relationships/hyperlink" Target="https://www.lcsc.com/product-detail/C2937190.html?s_z=n_C2937190" TargetMode="External"/><Relationship Id="rId33" Type="http://schemas.openxmlformats.org/officeDocument/2006/relationships/hyperlink" Target="https://www.lcsc.com/product-detail/C401039.html" TargetMode="External"/><Relationship Id="rId38" Type="http://schemas.openxmlformats.org/officeDocument/2006/relationships/hyperlink" Target="https://www.lcsc.com/product-detail/C2913202.html" TargetMode="External"/><Relationship Id="rId46" Type="http://schemas.openxmlformats.org/officeDocument/2006/relationships/hyperlink" Target="https://www.lcsc.com/product-detail/C362180.html" TargetMode="External"/><Relationship Id="rId59" Type="http://schemas.openxmlformats.org/officeDocument/2006/relationships/hyperlink" Target="https://www.lcsc.com/product-detail/C95177.html" TargetMode="External"/><Relationship Id="rId20" Type="http://schemas.openxmlformats.org/officeDocument/2006/relationships/hyperlink" Target="https://www.lcsc.com/product-detail/C576726.html?s_z=n_C576726" TargetMode="External"/><Relationship Id="rId41" Type="http://schemas.openxmlformats.org/officeDocument/2006/relationships/hyperlink" Target="https://www.lcsc.com/product-detail/C14675.html" TargetMode="External"/><Relationship Id="rId54" Type="http://schemas.openxmlformats.org/officeDocument/2006/relationships/hyperlink" Target="https://www.lcsc.com/product-detail/C138033.html" TargetMode="External"/><Relationship Id="rId62" Type="http://schemas.openxmlformats.org/officeDocument/2006/relationships/hyperlink" Target="https://www.lcsc.com/product-detail/C909756.html" TargetMode="External"/><Relationship Id="rId1" Type="http://schemas.openxmlformats.org/officeDocument/2006/relationships/hyperlink" Target="https://www.lcsc.com/product-detail/C1952924.html" TargetMode="External"/><Relationship Id="rId6" Type="http://schemas.openxmlformats.org/officeDocument/2006/relationships/hyperlink" Target="https://www.lcsc.com/product-detail/C110022.html" TargetMode="External"/><Relationship Id="rId15" Type="http://schemas.openxmlformats.org/officeDocument/2006/relationships/hyperlink" Target="https://www.lcsc.com/product-detail/C83528.html" TargetMode="External"/><Relationship Id="rId23" Type="http://schemas.openxmlformats.org/officeDocument/2006/relationships/hyperlink" Target="https://www.lcsc.com/product-detail/C165948.html?s_z=n_C165948" TargetMode="External"/><Relationship Id="rId28" Type="http://schemas.openxmlformats.org/officeDocument/2006/relationships/hyperlink" Target="https://www.lcsc.com/product-detail/C409828.html" TargetMode="External"/><Relationship Id="rId36" Type="http://schemas.openxmlformats.org/officeDocument/2006/relationships/hyperlink" Target="https://www.lcsc.com/product-detail/C2969937.html" TargetMode="External"/><Relationship Id="rId49" Type="http://schemas.openxmlformats.org/officeDocument/2006/relationships/hyperlink" Target="https://www.lcsc.com/product-detail/C105871.html" TargetMode="External"/><Relationship Id="rId57" Type="http://schemas.openxmlformats.org/officeDocument/2006/relationships/hyperlink" Target="https://www.lcsc.com/product-detail/C98220.html" TargetMode="External"/><Relationship Id="rId10" Type="http://schemas.openxmlformats.org/officeDocument/2006/relationships/hyperlink" Target="https://www.lcsc.com/product-detail/C15849.html" TargetMode="External"/><Relationship Id="rId31" Type="http://schemas.openxmlformats.org/officeDocument/2006/relationships/hyperlink" Target="https://www.lcsc.com/product-detail/C2901666.html" TargetMode="External"/><Relationship Id="rId44" Type="http://schemas.openxmlformats.org/officeDocument/2006/relationships/hyperlink" Target="https://www.lcsc.com/product-detail/C105575.html" TargetMode="External"/><Relationship Id="rId52" Type="http://schemas.openxmlformats.org/officeDocument/2006/relationships/hyperlink" Target="https://www.lcsc.com/product-detail/C106231.html" TargetMode="External"/><Relationship Id="rId60" Type="http://schemas.openxmlformats.org/officeDocument/2006/relationships/hyperlink" Target="https://www.lcsc.com/product-detail/C362180.html" TargetMode="External"/><Relationship Id="rId65" Type="http://schemas.openxmlformats.org/officeDocument/2006/relationships/hyperlink" Target="https://www.lcsc.com/product-detail/C14675.html" TargetMode="External"/><Relationship Id="rId4" Type="http://schemas.openxmlformats.org/officeDocument/2006/relationships/hyperlink" Target="https://www.lcsc.com/product-detail/C541464.html" TargetMode="External"/><Relationship Id="rId9" Type="http://schemas.openxmlformats.org/officeDocument/2006/relationships/hyperlink" Target="https://www.lcsc.com/product-detail/C277476.html" TargetMode="External"/><Relationship Id="rId13" Type="http://schemas.openxmlformats.org/officeDocument/2006/relationships/hyperlink" Target="https://www.lcsc.com/product-detail/C2886579.html" TargetMode="External"/><Relationship Id="rId18" Type="http://schemas.openxmlformats.org/officeDocument/2006/relationships/hyperlink" Target="https://www.lcsc.com/product-detail/C152519.html" TargetMode="External"/><Relationship Id="rId39" Type="http://schemas.openxmlformats.org/officeDocument/2006/relationships/hyperlink" Target="https://www.lcsc.com/product-detail/C27351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70"/>
  <sheetViews>
    <sheetView tabSelected="1" workbookViewId="0">
      <selection activeCell="I12" sqref="I12"/>
    </sheetView>
  </sheetViews>
  <sheetFormatPr defaultColWidth="9" defaultRowHeight="15"/>
  <cols>
    <col min="2" max="2" width="3.140625" style="34" customWidth="1"/>
    <col min="3" max="3" width="18" style="34" customWidth="1"/>
    <col min="4" max="4" width="27.42578125" customWidth="1"/>
    <col min="5" max="5" width="30.85546875" customWidth="1"/>
    <col min="6" max="6" width="18.7109375" customWidth="1"/>
    <col min="7" max="7" width="27.28515625" customWidth="1"/>
    <col min="8" max="8" width="19.28515625" customWidth="1"/>
    <col min="9" max="9" width="23.140625" customWidth="1"/>
    <col min="10" max="10" width="18.28515625" customWidth="1"/>
    <col min="11" max="11" width="9.5703125" customWidth="1"/>
    <col min="12" max="12" width="9.28515625" customWidth="1"/>
    <col min="13" max="13" width="19.5703125" customWidth="1"/>
    <col min="14" max="14" width="16.7109375" customWidth="1"/>
    <col min="15" max="15" width="15.5703125" customWidth="1"/>
    <col min="16" max="16" width="20.140625" customWidth="1"/>
    <col min="17" max="17" width="20.7109375" customWidth="1"/>
    <col min="18" max="18" width="16.5703125" customWidth="1"/>
    <col min="20" max="20" width="12.28515625" customWidth="1"/>
  </cols>
  <sheetData>
    <row r="1" spans="1:18">
      <c r="A1" s="2"/>
      <c r="B1" s="3"/>
      <c r="C1" s="3"/>
      <c r="D1" s="4"/>
      <c r="E1" s="4"/>
      <c r="F1" s="4"/>
      <c r="G1" s="4"/>
      <c r="H1" s="4"/>
      <c r="I1" s="4"/>
      <c r="J1" s="4"/>
      <c r="K1" s="36"/>
      <c r="L1" s="36"/>
      <c r="M1" s="36"/>
      <c r="N1" s="36"/>
      <c r="O1" s="36"/>
      <c r="P1" s="36"/>
      <c r="Q1" s="36"/>
      <c r="R1" s="36"/>
    </row>
    <row r="2" spans="1:18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</row>
    <row r="3" spans="1:18">
      <c r="A3" s="2"/>
      <c r="B3" s="7">
        <f t="shared" ref="B3:B67" si="0">ROW(B3)-ROW($B$2)</f>
        <v>1</v>
      </c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/>
      <c r="J3" s="9" t="s">
        <v>23</v>
      </c>
      <c r="K3" s="9" t="s">
        <v>24</v>
      </c>
      <c r="L3" s="9">
        <v>2</v>
      </c>
      <c r="M3" s="9">
        <f t="shared" ref="M3:M67" si="1">L3*5</f>
        <v>10</v>
      </c>
      <c r="N3" s="9">
        <v>100</v>
      </c>
      <c r="O3" s="15" t="s">
        <v>25</v>
      </c>
      <c r="P3" s="16">
        <v>1.1999999999999999E-3</v>
      </c>
      <c r="Q3" s="16">
        <f t="shared" ref="Q3:Q68" si="2">P3*N3</f>
        <v>0.12</v>
      </c>
      <c r="R3" s="9"/>
    </row>
    <row r="4" spans="1:18">
      <c r="A4" s="2"/>
      <c r="B4" s="10">
        <f t="shared" si="0"/>
        <v>2</v>
      </c>
      <c r="C4" s="11" t="s">
        <v>17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/>
      <c r="J4" s="12" t="s">
        <v>31</v>
      </c>
      <c r="K4" s="12" t="s">
        <v>32</v>
      </c>
      <c r="L4" s="12">
        <v>1</v>
      </c>
      <c r="M4" s="12">
        <f t="shared" si="1"/>
        <v>5</v>
      </c>
      <c r="N4" s="12" t="s">
        <v>33</v>
      </c>
      <c r="O4" s="17" t="s">
        <v>25</v>
      </c>
      <c r="P4" s="18" t="s">
        <v>34</v>
      </c>
      <c r="Q4" s="18">
        <f t="shared" si="2"/>
        <v>4.0145</v>
      </c>
      <c r="R4" s="12"/>
    </row>
    <row r="5" spans="1:18">
      <c r="A5" s="2"/>
      <c r="B5" s="7">
        <f t="shared" si="0"/>
        <v>3</v>
      </c>
      <c r="C5" s="8" t="s">
        <v>17</v>
      </c>
      <c r="D5" s="9" t="s">
        <v>35</v>
      </c>
      <c r="E5" s="9" t="s">
        <v>36</v>
      </c>
      <c r="F5" s="9" t="s">
        <v>20</v>
      </c>
      <c r="G5" s="9" t="s">
        <v>37</v>
      </c>
      <c r="H5" s="9" t="s">
        <v>22</v>
      </c>
      <c r="I5" s="9"/>
      <c r="J5" s="9" t="s">
        <v>38</v>
      </c>
      <c r="K5" s="9" t="s">
        <v>39</v>
      </c>
      <c r="L5" s="9">
        <v>4</v>
      </c>
      <c r="M5" s="9">
        <f t="shared" si="1"/>
        <v>20</v>
      </c>
      <c r="N5" s="9" t="s">
        <v>40</v>
      </c>
      <c r="O5" s="17" t="s">
        <v>25</v>
      </c>
      <c r="P5" s="16" t="s">
        <v>41</v>
      </c>
      <c r="Q5" s="16">
        <f t="shared" si="2"/>
        <v>0.19</v>
      </c>
      <c r="R5" s="9"/>
    </row>
    <row r="6" spans="1:18">
      <c r="A6" s="2"/>
      <c r="B6" s="10">
        <f t="shared" si="0"/>
        <v>4</v>
      </c>
      <c r="C6" s="11" t="s">
        <v>17</v>
      </c>
      <c r="D6" s="12" t="s">
        <v>42</v>
      </c>
      <c r="E6" s="12" t="s">
        <v>43</v>
      </c>
      <c r="F6" s="12" t="s">
        <v>44</v>
      </c>
      <c r="G6" s="12" t="s">
        <v>45</v>
      </c>
      <c r="H6" s="12" t="s">
        <v>22</v>
      </c>
      <c r="I6" s="12"/>
      <c r="J6" s="12" t="s">
        <v>46</v>
      </c>
      <c r="K6" s="12" t="s">
        <v>47</v>
      </c>
      <c r="L6" s="12">
        <v>1</v>
      </c>
      <c r="M6" s="12">
        <f t="shared" si="1"/>
        <v>5</v>
      </c>
      <c r="N6" s="12">
        <v>10</v>
      </c>
      <c r="O6" s="32" t="s">
        <v>25</v>
      </c>
      <c r="P6" s="18">
        <v>3.9300000000000002E-2</v>
      </c>
      <c r="Q6" s="18">
        <f t="shared" si="2"/>
        <v>0.39300000000000002</v>
      </c>
      <c r="R6" s="12"/>
    </row>
    <row r="7" spans="1:18">
      <c r="A7" s="2"/>
      <c r="B7" s="7">
        <f t="shared" si="0"/>
        <v>5</v>
      </c>
      <c r="C7" s="8" t="s">
        <v>48</v>
      </c>
      <c r="D7" s="9" t="s">
        <v>49</v>
      </c>
      <c r="E7" s="9" t="s">
        <v>50</v>
      </c>
      <c r="F7" s="9" t="s">
        <v>20</v>
      </c>
      <c r="G7" s="9" t="s">
        <v>51</v>
      </c>
      <c r="H7" s="9" t="s">
        <v>52</v>
      </c>
      <c r="I7" s="9"/>
      <c r="J7" s="9" t="s">
        <v>53</v>
      </c>
      <c r="K7" s="9" t="s">
        <v>54</v>
      </c>
      <c r="L7" s="9">
        <v>1</v>
      </c>
      <c r="M7" s="9">
        <f t="shared" si="1"/>
        <v>5</v>
      </c>
      <c r="N7" s="9" t="s">
        <v>55</v>
      </c>
      <c r="O7" s="17" t="s">
        <v>25</v>
      </c>
      <c r="P7" s="16" t="s">
        <v>56</v>
      </c>
      <c r="Q7" s="16">
        <f t="shared" si="2"/>
        <v>0.53400000000000003</v>
      </c>
      <c r="R7" s="9"/>
    </row>
    <row r="8" spans="1:18" ht="24">
      <c r="A8" s="2"/>
      <c r="B8" s="10">
        <f t="shared" si="0"/>
        <v>6</v>
      </c>
      <c r="C8" s="11" t="s">
        <v>17</v>
      </c>
      <c r="D8" s="12" t="s">
        <v>57</v>
      </c>
      <c r="E8" s="12" t="s">
        <v>58</v>
      </c>
      <c r="F8" s="12" t="s">
        <v>59</v>
      </c>
      <c r="G8" s="12" t="s">
        <v>60</v>
      </c>
      <c r="H8" s="12" t="s">
        <v>61</v>
      </c>
      <c r="I8" s="12"/>
      <c r="J8" s="12" t="s">
        <v>62</v>
      </c>
      <c r="K8" s="12" t="s">
        <v>47</v>
      </c>
      <c r="L8" s="12">
        <v>1</v>
      </c>
      <c r="M8" s="12">
        <f t="shared" si="1"/>
        <v>5</v>
      </c>
      <c r="N8" s="12">
        <v>5</v>
      </c>
      <c r="O8" s="32" t="s">
        <v>63</v>
      </c>
      <c r="P8" s="18">
        <v>0.77</v>
      </c>
      <c r="Q8" s="18">
        <f t="shared" si="2"/>
        <v>3.85</v>
      </c>
      <c r="R8" s="12"/>
    </row>
    <row r="9" spans="1:18">
      <c r="A9" s="2"/>
      <c r="B9" s="7">
        <f t="shared" si="0"/>
        <v>7</v>
      </c>
      <c r="C9" s="8" t="s">
        <v>17</v>
      </c>
      <c r="D9" s="9" t="s">
        <v>64</v>
      </c>
      <c r="E9" s="9" t="s">
        <v>65</v>
      </c>
      <c r="F9" s="9" t="s">
        <v>20</v>
      </c>
      <c r="G9" s="9" t="s">
        <v>66</v>
      </c>
      <c r="H9" s="9" t="s">
        <v>22</v>
      </c>
      <c r="I9" s="9"/>
      <c r="J9" s="9" t="s">
        <v>67</v>
      </c>
      <c r="K9" s="9" t="s">
        <v>68</v>
      </c>
      <c r="L9" s="9">
        <v>4</v>
      </c>
      <c r="M9" s="9">
        <f t="shared" si="1"/>
        <v>20</v>
      </c>
      <c r="N9" s="9" t="s">
        <v>40</v>
      </c>
      <c r="O9" s="17" t="s">
        <v>25</v>
      </c>
      <c r="P9" s="16" t="s">
        <v>69</v>
      </c>
      <c r="Q9" s="16">
        <f t="shared" si="2"/>
        <v>0.18</v>
      </c>
      <c r="R9" s="9"/>
    </row>
    <row r="10" spans="1:18">
      <c r="A10" s="2"/>
      <c r="B10" s="10">
        <f t="shared" si="0"/>
        <v>8</v>
      </c>
      <c r="C10" s="11" t="s">
        <v>17</v>
      </c>
      <c r="D10" s="12" t="s">
        <v>70</v>
      </c>
      <c r="E10" s="12" t="s">
        <v>71</v>
      </c>
      <c r="F10" s="12" t="s">
        <v>72</v>
      </c>
      <c r="G10" s="12" t="s">
        <v>73</v>
      </c>
      <c r="H10" s="12" t="s">
        <v>30</v>
      </c>
      <c r="I10" s="12"/>
      <c r="J10" s="12" t="s">
        <v>74</v>
      </c>
      <c r="K10" s="12" t="s">
        <v>75</v>
      </c>
      <c r="L10" s="12">
        <v>1</v>
      </c>
      <c r="M10" s="12">
        <f t="shared" si="1"/>
        <v>5</v>
      </c>
      <c r="N10" s="12" t="s">
        <v>76</v>
      </c>
      <c r="O10" s="17" t="s">
        <v>25</v>
      </c>
      <c r="P10" s="18" t="s">
        <v>77</v>
      </c>
      <c r="Q10" s="18">
        <f t="shared" si="2"/>
        <v>0.80520000000000014</v>
      </c>
      <c r="R10" s="12"/>
    </row>
    <row r="11" spans="1:18">
      <c r="A11" s="2"/>
      <c r="B11" s="7">
        <f t="shared" si="0"/>
        <v>9</v>
      </c>
      <c r="C11" s="8" t="s">
        <v>17</v>
      </c>
      <c r="D11" s="9" t="s">
        <v>78</v>
      </c>
      <c r="E11" s="9" t="s">
        <v>79</v>
      </c>
      <c r="F11" s="9" t="s">
        <v>44</v>
      </c>
      <c r="G11" s="9" t="s">
        <v>80</v>
      </c>
      <c r="H11" s="9" t="s">
        <v>22</v>
      </c>
      <c r="I11" s="9"/>
      <c r="J11" s="9" t="s">
        <v>81</v>
      </c>
      <c r="K11" s="9" t="s">
        <v>39</v>
      </c>
      <c r="L11" s="9">
        <v>3</v>
      </c>
      <c r="M11" s="9">
        <f t="shared" si="1"/>
        <v>15</v>
      </c>
      <c r="N11" s="9" t="s">
        <v>40</v>
      </c>
      <c r="O11" s="17" t="s">
        <v>25</v>
      </c>
      <c r="P11" s="16" t="s">
        <v>82</v>
      </c>
      <c r="Q11" s="16">
        <f t="shared" si="2"/>
        <v>0.33999999999999997</v>
      </c>
      <c r="R11" s="9"/>
    </row>
    <row r="12" spans="1:18">
      <c r="A12" s="2"/>
      <c r="B12" s="10">
        <f t="shared" si="0"/>
        <v>10</v>
      </c>
      <c r="C12" s="11" t="s">
        <v>17</v>
      </c>
      <c r="D12" s="12" t="s">
        <v>83</v>
      </c>
      <c r="E12" s="12" t="s">
        <v>84</v>
      </c>
      <c r="F12" s="12" t="s">
        <v>20</v>
      </c>
      <c r="G12" s="12" t="s">
        <v>85</v>
      </c>
      <c r="H12" s="12" t="s">
        <v>86</v>
      </c>
      <c r="I12" s="12"/>
      <c r="J12" s="12" t="s">
        <v>87</v>
      </c>
      <c r="K12" s="12" t="s">
        <v>68</v>
      </c>
      <c r="L12" s="12">
        <v>1</v>
      </c>
      <c r="M12" s="12">
        <f t="shared" si="1"/>
        <v>5</v>
      </c>
      <c r="N12" s="12" t="s">
        <v>33</v>
      </c>
      <c r="O12" s="17" t="s">
        <v>25</v>
      </c>
      <c r="P12" s="18" t="s">
        <v>88</v>
      </c>
      <c r="Q12" s="18">
        <f t="shared" si="2"/>
        <v>0.49250000000000005</v>
      </c>
      <c r="R12" s="12"/>
    </row>
    <row r="13" spans="1:18">
      <c r="A13" s="2"/>
      <c r="B13" s="7">
        <f t="shared" si="0"/>
        <v>11</v>
      </c>
      <c r="C13" s="8" t="s">
        <v>17</v>
      </c>
      <c r="D13" s="9" t="s">
        <v>89</v>
      </c>
      <c r="E13" s="9" t="s">
        <v>90</v>
      </c>
      <c r="F13" s="9" t="s">
        <v>44</v>
      </c>
      <c r="G13" s="9" t="s">
        <v>91</v>
      </c>
      <c r="H13" s="9" t="s">
        <v>22</v>
      </c>
      <c r="I13" s="9"/>
      <c r="J13" s="9" t="s">
        <v>92</v>
      </c>
      <c r="K13" s="9" t="s">
        <v>68</v>
      </c>
      <c r="L13" s="9">
        <v>1</v>
      </c>
      <c r="M13" s="9">
        <f t="shared" si="1"/>
        <v>5</v>
      </c>
      <c r="N13" s="9" t="s">
        <v>40</v>
      </c>
      <c r="O13" s="17" t="s">
        <v>25</v>
      </c>
      <c r="P13" s="16" t="s">
        <v>93</v>
      </c>
      <c r="Q13" s="16">
        <f t="shared" si="2"/>
        <v>0.31</v>
      </c>
      <c r="R13" s="9"/>
    </row>
    <row r="14" spans="1:18">
      <c r="A14" s="2"/>
      <c r="B14" s="10">
        <f t="shared" si="0"/>
        <v>12</v>
      </c>
      <c r="C14" s="11" t="s">
        <v>17</v>
      </c>
      <c r="D14" s="12" t="s">
        <v>94</v>
      </c>
      <c r="E14" s="12" t="s">
        <v>95</v>
      </c>
      <c r="F14" s="12" t="s">
        <v>44</v>
      </c>
      <c r="G14" s="12" t="s">
        <v>96</v>
      </c>
      <c r="H14" s="12" t="s">
        <v>22</v>
      </c>
      <c r="I14" s="12"/>
      <c r="J14" s="12" t="s">
        <v>97</v>
      </c>
      <c r="K14" s="12" t="s">
        <v>98</v>
      </c>
      <c r="L14" s="12">
        <v>2</v>
      </c>
      <c r="M14" s="12">
        <f t="shared" si="1"/>
        <v>10</v>
      </c>
      <c r="N14" s="12" t="s">
        <v>55</v>
      </c>
      <c r="O14" s="17" t="s">
        <v>25</v>
      </c>
      <c r="P14" s="18" t="s">
        <v>99</v>
      </c>
      <c r="Q14" s="18">
        <f t="shared" si="2"/>
        <v>0.73799999999999999</v>
      </c>
      <c r="R14" s="12"/>
    </row>
    <row r="15" spans="1:18">
      <c r="A15" s="2"/>
      <c r="B15" s="7">
        <f t="shared" si="0"/>
        <v>13</v>
      </c>
      <c r="C15" s="8" t="s">
        <v>17</v>
      </c>
      <c r="D15" s="9" t="s">
        <v>100</v>
      </c>
      <c r="E15" s="9" t="s">
        <v>101</v>
      </c>
      <c r="F15" s="9" t="s">
        <v>44</v>
      </c>
      <c r="G15" s="9" t="s">
        <v>102</v>
      </c>
      <c r="H15" s="9" t="s">
        <v>103</v>
      </c>
      <c r="I15" s="9"/>
      <c r="J15" s="9" t="s">
        <v>104</v>
      </c>
      <c r="K15" s="9" t="s">
        <v>54</v>
      </c>
      <c r="L15" s="9">
        <v>1</v>
      </c>
      <c r="M15" s="9">
        <f t="shared" si="1"/>
        <v>5</v>
      </c>
      <c r="N15" s="9" t="s">
        <v>105</v>
      </c>
      <c r="O15" s="17" t="s">
        <v>25</v>
      </c>
      <c r="P15" s="16" t="s">
        <v>106</v>
      </c>
      <c r="Q15" s="16">
        <f t="shared" si="2"/>
        <v>0.23500000000000001</v>
      </c>
      <c r="R15" s="9"/>
    </row>
    <row r="16" spans="1:18" ht="36">
      <c r="A16" s="2"/>
      <c r="B16" s="10">
        <f t="shared" si="0"/>
        <v>14</v>
      </c>
      <c r="C16" s="11" t="s">
        <v>17</v>
      </c>
      <c r="D16" s="12" t="s">
        <v>107</v>
      </c>
      <c r="E16" s="12" t="s">
        <v>108</v>
      </c>
      <c r="F16" s="12" t="s">
        <v>44</v>
      </c>
      <c r="G16" s="12" t="s">
        <v>109</v>
      </c>
      <c r="H16" s="12" t="s">
        <v>110</v>
      </c>
      <c r="I16" s="12"/>
      <c r="J16" s="12" t="s">
        <v>111</v>
      </c>
      <c r="K16" s="12" t="s">
        <v>54</v>
      </c>
      <c r="L16" s="12">
        <v>1</v>
      </c>
      <c r="M16" s="12">
        <f t="shared" si="1"/>
        <v>5</v>
      </c>
      <c r="N16" s="12" t="s">
        <v>40</v>
      </c>
      <c r="O16" s="17" t="s">
        <v>25</v>
      </c>
      <c r="P16" s="18" t="s">
        <v>112</v>
      </c>
      <c r="Q16" s="18">
        <f t="shared" si="2"/>
        <v>0.4</v>
      </c>
      <c r="R16" s="12"/>
    </row>
    <row r="17" spans="1:18">
      <c r="A17" s="2"/>
      <c r="B17" s="7">
        <f t="shared" si="0"/>
        <v>15</v>
      </c>
      <c r="C17" s="8" t="s">
        <v>48</v>
      </c>
      <c r="D17" s="9" t="s">
        <v>113</v>
      </c>
      <c r="E17" s="9" t="s">
        <v>114</v>
      </c>
      <c r="F17" s="9" t="s">
        <v>44</v>
      </c>
      <c r="G17" s="9" t="s">
        <v>115</v>
      </c>
      <c r="H17" s="9" t="s">
        <v>103</v>
      </c>
      <c r="I17" s="9"/>
      <c r="J17" s="9" t="s">
        <v>116</v>
      </c>
      <c r="K17" s="9" t="s">
        <v>117</v>
      </c>
      <c r="L17" s="9">
        <v>2</v>
      </c>
      <c r="M17" s="9">
        <f t="shared" si="1"/>
        <v>10</v>
      </c>
      <c r="N17" s="9" t="s">
        <v>40</v>
      </c>
      <c r="O17" s="17" t="s">
        <v>25</v>
      </c>
      <c r="P17" s="16" t="s">
        <v>118</v>
      </c>
      <c r="Q17" s="16">
        <f t="shared" si="2"/>
        <v>0.43</v>
      </c>
      <c r="R17" s="9"/>
    </row>
    <row r="18" spans="1:18" ht="24">
      <c r="A18" s="2"/>
      <c r="B18" s="10">
        <f t="shared" si="0"/>
        <v>16</v>
      </c>
      <c r="C18" s="11" t="s">
        <v>119</v>
      </c>
      <c r="D18" s="12" t="s">
        <v>120</v>
      </c>
      <c r="E18" s="12" t="s">
        <v>121</v>
      </c>
      <c r="F18" s="12" t="s">
        <v>122</v>
      </c>
      <c r="G18" s="12" t="s">
        <v>123</v>
      </c>
      <c r="H18" s="12" t="s">
        <v>124</v>
      </c>
      <c r="I18" s="12"/>
      <c r="J18" s="12" t="s">
        <v>125</v>
      </c>
      <c r="K18" s="12" t="s">
        <v>62</v>
      </c>
      <c r="L18" s="12">
        <v>1</v>
      </c>
      <c r="M18" s="12">
        <f t="shared" si="1"/>
        <v>5</v>
      </c>
      <c r="N18" s="12" t="s">
        <v>55</v>
      </c>
      <c r="O18" s="17" t="s">
        <v>25</v>
      </c>
      <c r="P18" s="18" t="s">
        <v>126</v>
      </c>
      <c r="Q18" s="18">
        <f t="shared" si="2"/>
        <v>0.41000000000000003</v>
      </c>
      <c r="R18" s="12"/>
    </row>
    <row r="19" spans="1:18">
      <c r="A19" s="2"/>
      <c r="B19" s="7">
        <f t="shared" si="0"/>
        <v>17</v>
      </c>
      <c r="C19" s="11" t="s">
        <v>119</v>
      </c>
      <c r="D19" s="9" t="s">
        <v>127</v>
      </c>
      <c r="E19" s="9" t="s">
        <v>128</v>
      </c>
      <c r="F19" s="9" t="s">
        <v>129</v>
      </c>
      <c r="G19" s="9" t="s">
        <v>130</v>
      </c>
      <c r="H19" s="9" t="s">
        <v>131</v>
      </c>
      <c r="I19" s="9"/>
      <c r="J19" s="9" t="s">
        <v>132</v>
      </c>
      <c r="K19" s="12" t="s">
        <v>62</v>
      </c>
      <c r="L19" s="9">
        <v>1</v>
      </c>
      <c r="M19" s="9">
        <f t="shared" si="1"/>
        <v>5</v>
      </c>
      <c r="N19" s="9" t="s">
        <v>55</v>
      </c>
      <c r="O19" s="17" t="s">
        <v>25</v>
      </c>
      <c r="P19" s="16" t="s">
        <v>133</v>
      </c>
      <c r="Q19" s="16">
        <f t="shared" si="2"/>
        <v>0.61</v>
      </c>
      <c r="R19" s="9"/>
    </row>
    <row r="20" spans="1:18">
      <c r="A20" s="2"/>
      <c r="B20" s="10">
        <f t="shared" si="0"/>
        <v>18</v>
      </c>
      <c r="C20" s="11" t="s">
        <v>119</v>
      </c>
      <c r="D20" s="12" t="s">
        <v>134</v>
      </c>
      <c r="E20" s="12" t="s">
        <v>135</v>
      </c>
      <c r="F20" s="12" t="s">
        <v>129</v>
      </c>
      <c r="G20" s="12" t="s">
        <v>136</v>
      </c>
      <c r="H20" s="12" t="s">
        <v>131</v>
      </c>
      <c r="I20" s="12"/>
      <c r="J20" s="12" t="s">
        <v>137</v>
      </c>
      <c r="K20" s="12" t="s">
        <v>62</v>
      </c>
      <c r="L20" s="12">
        <v>1</v>
      </c>
      <c r="M20" s="12">
        <f t="shared" si="1"/>
        <v>5</v>
      </c>
      <c r="N20" s="12" t="s">
        <v>105</v>
      </c>
      <c r="O20" s="17" t="s">
        <v>25</v>
      </c>
      <c r="P20" s="18" t="s">
        <v>138</v>
      </c>
      <c r="Q20" s="18">
        <f t="shared" si="2"/>
        <v>0.80499999999999994</v>
      </c>
      <c r="R20" s="12"/>
    </row>
    <row r="21" spans="1:18" ht="24">
      <c r="A21" s="2"/>
      <c r="B21" s="7">
        <f t="shared" si="0"/>
        <v>19</v>
      </c>
      <c r="C21" s="8" t="s">
        <v>139</v>
      </c>
      <c r="D21" s="39" t="s">
        <v>440</v>
      </c>
      <c r="E21" s="9" t="s">
        <v>140</v>
      </c>
      <c r="F21" s="9" t="s">
        <v>141</v>
      </c>
      <c r="G21" s="9" t="s">
        <v>142</v>
      </c>
      <c r="H21" s="9" t="s">
        <v>143</v>
      </c>
      <c r="I21" s="9"/>
      <c r="J21" s="9" t="s">
        <v>144</v>
      </c>
      <c r="K21" s="12" t="s">
        <v>62</v>
      </c>
      <c r="L21" s="9">
        <v>9</v>
      </c>
      <c r="M21" s="9">
        <f t="shared" si="1"/>
        <v>45</v>
      </c>
      <c r="N21" s="9" t="s">
        <v>105</v>
      </c>
      <c r="O21" s="17" t="s">
        <v>25</v>
      </c>
      <c r="P21" s="16" t="s">
        <v>145</v>
      </c>
      <c r="Q21" s="16">
        <f t="shared" si="2"/>
        <v>0.44</v>
      </c>
      <c r="R21" s="9"/>
    </row>
    <row r="22" spans="1:18" ht="24">
      <c r="A22" s="2"/>
      <c r="B22" s="10">
        <f t="shared" si="0"/>
        <v>20</v>
      </c>
      <c r="C22" s="11" t="s">
        <v>119</v>
      </c>
      <c r="D22" s="12" t="s">
        <v>146</v>
      </c>
      <c r="E22" s="12" t="s">
        <v>147</v>
      </c>
      <c r="F22" s="12" t="s">
        <v>148</v>
      </c>
      <c r="G22" s="12" t="s">
        <v>149</v>
      </c>
      <c r="H22" s="12" t="s">
        <v>150</v>
      </c>
      <c r="I22" s="12"/>
      <c r="J22" s="12" t="s">
        <v>151</v>
      </c>
      <c r="K22" s="12" t="s">
        <v>62</v>
      </c>
      <c r="L22" s="12">
        <v>1</v>
      </c>
      <c r="M22" s="12">
        <f t="shared" si="1"/>
        <v>5</v>
      </c>
      <c r="N22" s="12" t="s">
        <v>152</v>
      </c>
      <c r="O22" s="17" t="s">
        <v>25</v>
      </c>
      <c r="P22" s="18" t="s">
        <v>153</v>
      </c>
      <c r="Q22" s="18">
        <f t="shared" si="2"/>
        <v>0.44800000000000001</v>
      </c>
      <c r="R22" s="12"/>
    </row>
    <row r="23" spans="1:18">
      <c r="A23" s="2"/>
      <c r="B23" s="7">
        <f t="shared" si="0"/>
        <v>21</v>
      </c>
      <c r="C23" s="8" t="s">
        <v>119</v>
      </c>
      <c r="D23" s="9" t="s">
        <v>154</v>
      </c>
      <c r="E23" s="9" t="s">
        <v>155</v>
      </c>
      <c r="F23" s="9" t="s">
        <v>156</v>
      </c>
      <c r="G23" s="9" t="s">
        <v>157</v>
      </c>
      <c r="H23" s="9" t="s">
        <v>158</v>
      </c>
      <c r="I23" s="9"/>
      <c r="J23" s="9" t="s">
        <v>159</v>
      </c>
      <c r="K23" s="12" t="s">
        <v>62</v>
      </c>
      <c r="L23" s="9">
        <v>1</v>
      </c>
      <c r="M23" s="9">
        <f t="shared" si="1"/>
        <v>5</v>
      </c>
      <c r="N23" s="9" t="s">
        <v>152</v>
      </c>
      <c r="O23" s="17" t="s">
        <v>25</v>
      </c>
      <c r="P23" s="16" t="s">
        <v>160</v>
      </c>
      <c r="Q23" s="16">
        <f t="shared" si="2"/>
        <v>0.63600000000000001</v>
      </c>
      <c r="R23" s="9"/>
    </row>
    <row r="24" spans="1:18" ht="24">
      <c r="A24" s="2"/>
      <c r="B24" s="10">
        <f t="shared" si="0"/>
        <v>22</v>
      </c>
      <c r="C24" s="11" t="s">
        <v>161</v>
      </c>
      <c r="D24" s="12" t="s">
        <v>162</v>
      </c>
      <c r="E24" s="12" t="s">
        <v>163</v>
      </c>
      <c r="F24" s="12" t="s">
        <v>164</v>
      </c>
      <c r="G24" s="12" t="s">
        <v>165</v>
      </c>
      <c r="H24" s="12" t="s">
        <v>166</v>
      </c>
      <c r="I24" s="12"/>
      <c r="J24" s="12" t="s">
        <v>165</v>
      </c>
      <c r="K24" s="12" t="s">
        <v>62</v>
      </c>
      <c r="L24" s="12">
        <v>1</v>
      </c>
      <c r="M24" s="12">
        <f t="shared" si="1"/>
        <v>5</v>
      </c>
      <c r="N24" s="12" t="s">
        <v>167</v>
      </c>
      <c r="O24" s="17" t="s">
        <v>25</v>
      </c>
      <c r="P24" s="18" t="s">
        <v>168</v>
      </c>
      <c r="Q24" s="18">
        <f t="shared" si="2"/>
        <v>0.86280000000000001</v>
      </c>
      <c r="R24" s="12"/>
    </row>
    <row r="25" spans="1:18" ht="24">
      <c r="A25" s="2"/>
      <c r="B25" s="7">
        <f t="shared" si="0"/>
        <v>23</v>
      </c>
      <c r="C25" s="8" t="s">
        <v>169</v>
      </c>
      <c r="D25" s="9" t="s">
        <v>170</v>
      </c>
      <c r="E25" s="9" t="s">
        <v>171</v>
      </c>
      <c r="F25" s="9" t="s">
        <v>172</v>
      </c>
      <c r="G25" s="9" t="s">
        <v>173</v>
      </c>
      <c r="H25" s="9" t="s">
        <v>174</v>
      </c>
      <c r="I25" s="9"/>
      <c r="J25" s="9" t="s">
        <v>175</v>
      </c>
      <c r="K25" s="12" t="s">
        <v>62</v>
      </c>
      <c r="L25" s="9">
        <v>1</v>
      </c>
      <c r="M25" s="9">
        <f t="shared" si="1"/>
        <v>5</v>
      </c>
      <c r="N25" s="9" t="s">
        <v>33</v>
      </c>
      <c r="O25" s="15" t="s">
        <v>25</v>
      </c>
      <c r="P25" s="16">
        <v>0.17399999999999999</v>
      </c>
      <c r="Q25" s="16">
        <f t="shared" si="2"/>
        <v>0.86999999999999988</v>
      </c>
      <c r="R25" s="9"/>
    </row>
    <row r="26" spans="1:18" ht="60">
      <c r="A26" s="2"/>
      <c r="B26" s="10">
        <f t="shared" si="0"/>
        <v>24</v>
      </c>
      <c r="C26" s="11" t="s">
        <v>176</v>
      </c>
      <c r="D26" s="12" t="s">
        <v>177</v>
      </c>
      <c r="E26" s="12" t="s">
        <v>178</v>
      </c>
      <c r="F26" s="12" t="s">
        <v>179</v>
      </c>
      <c r="G26" s="12" t="s">
        <v>179</v>
      </c>
      <c r="H26" s="12" t="s">
        <v>180</v>
      </c>
      <c r="I26" s="12"/>
      <c r="J26" s="12" t="s">
        <v>181</v>
      </c>
      <c r="K26" s="12" t="s">
        <v>62</v>
      </c>
      <c r="L26" s="12">
        <v>1</v>
      </c>
      <c r="M26" s="12">
        <f t="shared" si="1"/>
        <v>5</v>
      </c>
      <c r="N26" s="12" t="s">
        <v>33</v>
      </c>
      <c r="O26" s="33" t="s">
        <v>25</v>
      </c>
      <c r="P26" s="18">
        <v>0.1187</v>
      </c>
      <c r="Q26" s="18">
        <f t="shared" si="2"/>
        <v>0.59350000000000003</v>
      </c>
      <c r="R26" s="12"/>
    </row>
    <row r="27" spans="1:18" ht="48">
      <c r="A27" s="2"/>
      <c r="B27" s="7">
        <f t="shared" si="0"/>
        <v>25</v>
      </c>
      <c r="C27" s="8" t="s">
        <v>182</v>
      </c>
      <c r="D27" s="9" t="s">
        <v>183</v>
      </c>
      <c r="E27" s="9" t="s">
        <v>184</v>
      </c>
      <c r="F27" s="9" t="s">
        <v>185</v>
      </c>
      <c r="G27" s="9" t="s">
        <v>185</v>
      </c>
      <c r="H27" s="9" t="s">
        <v>186</v>
      </c>
      <c r="I27" s="9"/>
      <c r="J27" s="9" t="s">
        <v>187</v>
      </c>
      <c r="K27" s="12" t="s">
        <v>62</v>
      </c>
      <c r="L27" s="9">
        <v>1</v>
      </c>
      <c r="M27" s="9">
        <f t="shared" si="1"/>
        <v>5</v>
      </c>
      <c r="N27" s="9" t="s">
        <v>33</v>
      </c>
      <c r="O27" s="15" t="s">
        <v>25</v>
      </c>
      <c r="P27" s="16">
        <v>0.1706</v>
      </c>
      <c r="Q27" s="16">
        <f t="shared" si="2"/>
        <v>0.85299999999999998</v>
      </c>
      <c r="R27" s="9"/>
    </row>
    <row r="28" spans="1:18">
      <c r="A28" s="2"/>
      <c r="B28" s="10">
        <f t="shared" si="0"/>
        <v>26</v>
      </c>
      <c r="C28" s="11" t="s">
        <v>188</v>
      </c>
      <c r="D28" s="12" t="s">
        <v>189</v>
      </c>
      <c r="E28" s="12" t="s">
        <v>190</v>
      </c>
      <c r="F28" s="12" t="s">
        <v>191</v>
      </c>
      <c r="G28" s="12" t="s">
        <v>191</v>
      </c>
      <c r="H28" s="12" t="s">
        <v>192</v>
      </c>
      <c r="I28" s="12"/>
      <c r="J28" s="12" t="s">
        <v>62</v>
      </c>
      <c r="K28" s="12" t="s">
        <v>193</v>
      </c>
      <c r="L28" s="12">
        <v>1</v>
      </c>
      <c r="M28" s="12">
        <f t="shared" si="1"/>
        <v>5</v>
      </c>
      <c r="N28" s="12" t="s">
        <v>33</v>
      </c>
      <c r="O28" s="33" t="s">
        <v>63</v>
      </c>
      <c r="P28" s="18">
        <v>0.69</v>
      </c>
      <c r="Q28" s="18">
        <f t="shared" si="2"/>
        <v>3.4499999999999997</v>
      </c>
      <c r="R28" s="12"/>
    </row>
    <row r="29" spans="1:18" ht="24">
      <c r="A29" s="2"/>
      <c r="B29" s="7">
        <f t="shared" si="0"/>
        <v>27</v>
      </c>
      <c r="C29" s="8" t="s">
        <v>194</v>
      </c>
      <c r="D29" s="9" t="s">
        <v>195</v>
      </c>
      <c r="E29" s="9" t="s">
        <v>196</v>
      </c>
      <c r="F29" s="9" t="s">
        <v>197</v>
      </c>
      <c r="G29" s="9" t="s">
        <v>198</v>
      </c>
      <c r="H29" s="9" t="s">
        <v>199</v>
      </c>
      <c r="I29" s="9"/>
      <c r="J29" s="9" t="s">
        <v>200</v>
      </c>
      <c r="K29" s="9" t="s">
        <v>62</v>
      </c>
      <c r="L29" s="9">
        <v>1</v>
      </c>
      <c r="M29" s="9">
        <f t="shared" si="1"/>
        <v>5</v>
      </c>
      <c r="N29" s="9" t="s">
        <v>33</v>
      </c>
      <c r="O29" s="33" t="s">
        <v>25</v>
      </c>
      <c r="P29" s="16" t="s">
        <v>201</v>
      </c>
      <c r="Q29" s="16">
        <f t="shared" si="2"/>
        <v>0.48899999999999999</v>
      </c>
      <c r="R29" s="9"/>
    </row>
    <row r="30" spans="1:18" ht="24">
      <c r="A30" s="2"/>
      <c r="B30" s="10">
        <f t="shared" si="0"/>
        <v>28</v>
      </c>
      <c r="C30" s="11" t="s">
        <v>202</v>
      </c>
      <c r="D30" s="12" t="s">
        <v>203</v>
      </c>
      <c r="E30" s="12" t="s">
        <v>204</v>
      </c>
      <c r="F30" s="12" t="s">
        <v>205</v>
      </c>
      <c r="G30" s="12" t="s">
        <v>206</v>
      </c>
      <c r="H30" s="12" t="s">
        <v>207</v>
      </c>
      <c r="I30" s="12"/>
      <c r="J30" s="12" t="s">
        <v>208</v>
      </c>
      <c r="K30" s="9" t="s">
        <v>62</v>
      </c>
      <c r="L30" s="12">
        <v>1</v>
      </c>
      <c r="M30" s="12">
        <f t="shared" si="1"/>
        <v>5</v>
      </c>
      <c r="N30" s="12" t="s">
        <v>33</v>
      </c>
      <c r="O30" s="33" t="s">
        <v>25</v>
      </c>
      <c r="P30" s="18" t="s">
        <v>209</v>
      </c>
      <c r="Q30" s="18">
        <f t="shared" si="2"/>
        <v>1.675</v>
      </c>
      <c r="R30" s="12"/>
    </row>
    <row r="31" spans="1:18">
      <c r="A31" s="2"/>
      <c r="B31" s="7">
        <f t="shared" si="0"/>
        <v>29</v>
      </c>
      <c r="C31" s="8" t="s">
        <v>210</v>
      </c>
      <c r="D31" s="13" t="s">
        <v>211</v>
      </c>
      <c r="E31" s="14" t="s">
        <v>212</v>
      </c>
      <c r="F31" s="13" t="s">
        <v>213</v>
      </c>
      <c r="G31" s="13" t="s">
        <v>213</v>
      </c>
      <c r="H31" s="13" t="s">
        <v>62</v>
      </c>
      <c r="I31" s="22" t="s">
        <v>62</v>
      </c>
      <c r="J31" s="13" t="s">
        <v>62</v>
      </c>
      <c r="K31" s="9" t="s">
        <v>62</v>
      </c>
      <c r="L31" s="13">
        <v>5</v>
      </c>
      <c r="M31" s="13">
        <f t="shared" si="1"/>
        <v>25</v>
      </c>
      <c r="N31" s="13" t="s">
        <v>62</v>
      </c>
      <c r="O31" s="13" t="s">
        <v>62</v>
      </c>
      <c r="P31" s="13" t="s">
        <v>62</v>
      </c>
      <c r="Q31" s="25" t="s">
        <v>62</v>
      </c>
      <c r="R31" s="26" t="s">
        <v>214</v>
      </c>
    </row>
    <row r="32" spans="1:18" ht="36">
      <c r="A32" s="2"/>
      <c r="B32" s="10">
        <f t="shared" si="0"/>
        <v>30</v>
      </c>
      <c r="C32" s="11" t="s">
        <v>215</v>
      </c>
      <c r="D32" s="12" t="s">
        <v>216</v>
      </c>
      <c r="E32" s="12" t="s">
        <v>217</v>
      </c>
      <c r="F32" s="12" t="s">
        <v>218</v>
      </c>
      <c r="G32" s="12" t="s">
        <v>219</v>
      </c>
      <c r="H32" s="12" t="s">
        <v>220</v>
      </c>
      <c r="I32" s="12"/>
      <c r="J32" s="12" t="s">
        <v>221</v>
      </c>
      <c r="K32" s="9" t="s">
        <v>62</v>
      </c>
      <c r="L32" s="12">
        <v>2</v>
      </c>
      <c r="M32" s="12">
        <f t="shared" si="1"/>
        <v>10</v>
      </c>
      <c r="N32" s="12" t="s">
        <v>105</v>
      </c>
      <c r="O32" s="24" t="s">
        <v>25</v>
      </c>
      <c r="P32" s="18" t="s">
        <v>222</v>
      </c>
      <c r="Q32" s="18">
        <f t="shared" si="2"/>
        <v>0.75</v>
      </c>
      <c r="R32" s="12"/>
    </row>
    <row r="33" spans="1:18" ht="36">
      <c r="A33" s="2"/>
      <c r="B33" s="7">
        <f t="shared" si="0"/>
        <v>31</v>
      </c>
      <c r="C33" s="8" t="s">
        <v>215</v>
      </c>
      <c r="D33" s="9" t="s">
        <v>223</v>
      </c>
      <c r="E33" s="9" t="s">
        <v>224</v>
      </c>
      <c r="F33" s="9" t="s">
        <v>225</v>
      </c>
      <c r="G33" s="9" t="s">
        <v>226</v>
      </c>
      <c r="H33" s="9" t="s">
        <v>227</v>
      </c>
      <c r="I33" s="9"/>
      <c r="J33" s="9" t="s">
        <v>228</v>
      </c>
      <c r="K33" s="9" t="s">
        <v>62</v>
      </c>
      <c r="L33" s="9">
        <v>1</v>
      </c>
      <c r="M33" s="9">
        <f t="shared" si="1"/>
        <v>5</v>
      </c>
      <c r="N33" s="9" t="s">
        <v>152</v>
      </c>
      <c r="O33" s="24" t="s">
        <v>25</v>
      </c>
      <c r="P33" s="16" t="s">
        <v>229</v>
      </c>
      <c r="Q33" s="16">
        <f t="shared" si="2"/>
        <v>0.51800000000000002</v>
      </c>
      <c r="R33" s="9"/>
    </row>
    <row r="34" spans="1:18">
      <c r="A34" s="2"/>
      <c r="B34" s="10">
        <f t="shared" si="0"/>
        <v>32</v>
      </c>
      <c r="C34" s="11" t="s">
        <v>230</v>
      </c>
      <c r="D34" s="12" t="s">
        <v>231</v>
      </c>
      <c r="E34" s="12" t="s">
        <v>232</v>
      </c>
      <c r="F34" s="12" t="s">
        <v>233</v>
      </c>
      <c r="G34" s="12" t="s">
        <v>234</v>
      </c>
      <c r="H34" s="12" t="s">
        <v>158</v>
      </c>
      <c r="I34" s="12"/>
      <c r="J34" s="12" t="s">
        <v>235</v>
      </c>
      <c r="K34" s="9" t="s">
        <v>62</v>
      </c>
      <c r="L34" s="12">
        <v>1</v>
      </c>
      <c r="M34" s="12">
        <f t="shared" si="1"/>
        <v>5</v>
      </c>
      <c r="N34" s="12" t="s">
        <v>105</v>
      </c>
      <c r="O34" s="24" t="s">
        <v>25</v>
      </c>
      <c r="P34" s="18" t="s">
        <v>236</v>
      </c>
      <c r="Q34" s="18">
        <f t="shared" si="2"/>
        <v>0.48</v>
      </c>
      <c r="R34" s="12"/>
    </row>
    <row r="35" spans="1:18">
      <c r="A35" s="2"/>
      <c r="B35" s="7">
        <f t="shared" si="0"/>
        <v>33</v>
      </c>
      <c r="C35" s="8" t="s">
        <v>237</v>
      </c>
      <c r="D35" s="9" t="s">
        <v>238</v>
      </c>
      <c r="E35" s="9" t="s">
        <v>239</v>
      </c>
      <c r="F35" s="9" t="s">
        <v>240</v>
      </c>
      <c r="G35" s="9" t="s">
        <v>241</v>
      </c>
      <c r="H35" s="9" t="s">
        <v>22</v>
      </c>
      <c r="I35" s="9"/>
      <c r="J35" s="9" t="s">
        <v>242</v>
      </c>
      <c r="K35" s="9" t="s">
        <v>243</v>
      </c>
      <c r="L35" s="9">
        <v>4</v>
      </c>
      <c r="M35" s="9">
        <f t="shared" si="1"/>
        <v>20</v>
      </c>
      <c r="N35" s="9" t="s">
        <v>40</v>
      </c>
      <c r="O35" s="24" t="s">
        <v>25</v>
      </c>
      <c r="P35" s="16" t="s">
        <v>244</v>
      </c>
      <c r="Q35" s="16">
        <f t="shared" si="2"/>
        <v>0.06</v>
      </c>
      <c r="R35" s="9"/>
    </row>
    <row r="36" spans="1:18">
      <c r="A36" s="2"/>
      <c r="B36" s="10">
        <f t="shared" si="0"/>
        <v>34</v>
      </c>
      <c r="C36" s="11" t="s">
        <v>237</v>
      </c>
      <c r="D36" s="12" t="s">
        <v>245</v>
      </c>
      <c r="E36" s="12" t="s">
        <v>246</v>
      </c>
      <c r="F36" s="12" t="s">
        <v>247</v>
      </c>
      <c r="G36" s="12" t="s">
        <v>248</v>
      </c>
      <c r="H36" s="9" t="s">
        <v>22</v>
      </c>
      <c r="I36" s="12"/>
      <c r="J36" s="12" t="s">
        <v>249</v>
      </c>
      <c r="K36" s="12" t="s">
        <v>243</v>
      </c>
      <c r="L36" s="12">
        <v>2</v>
      </c>
      <c r="M36" s="12">
        <f t="shared" si="1"/>
        <v>10</v>
      </c>
      <c r="N36" s="12" t="s">
        <v>55</v>
      </c>
      <c r="O36" s="24" t="s">
        <v>25</v>
      </c>
      <c r="P36" s="18" t="s">
        <v>250</v>
      </c>
      <c r="Q36" s="18">
        <f t="shared" si="2"/>
        <v>0.56000000000000005</v>
      </c>
      <c r="R36" s="12"/>
    </row>
    <row r="37" spans="1:18" ht="24">
      <c r="A37" s="2"/>
      <c r="B37" s="7">
        <f t="shared" si="0"/>
        <v>35</v>
      </c>
      <c r="C37" s="8" t="s">
        <v>237</v>
      </c>
      <c r="D37" s="9" t="s">
        <v>251</v>
      </c>
      <c r="E37" s="9" t="s">
        <v>252</v>
      </c>
      <c r="F37" s="9" t="s">
        <v>247</v>
      </c>
      <c r="G37" s="9" t="s">
        <v>253</v>
      </c>
      <c r="H37" s="9" t="s">
        <v>22</v>
      </c>
      <c r="I37" s="9"/>
      <c r="J37" s="9" t="s">
        <v>254</v>
      </c>
      <c r="K37" s="9" t="s">
        <v>255</v>
      </c>
      <c r="L37" s="9">
        <v>10</v>
      </c>
      <c r="M37" s="9">
        <f t="shared" si="1"/>
        <v>50</v>
      </c>
      <c r="N37" s="9" t="s">
        <v>40</v>
      </c>
      <c r="O37" s="24" t="s">
        <v>25</v>
      </c>
      <c r="P37" s="16" t="s">
        <v>256</v>
      </c>
      <c r="Q37" s="16">
        <f t="shared" si="2"/>
        <v>0.11</v>
      </c>
      <c r="R37" s="9"/>
    </row>
    <row r="38" spans="1:18">
      <c r="A38" s="2"/>
      <c r="B38" s="10">
        <f t="shared" si="0"/>
        <v>36</v>
      </c>
      <c r="C38" s="11" t="s">
        <v>237</v>
      </c>
      <c r="D38" s="12" t="s">
        <v>257</v>
      </c>
      <c r="E38" s="12" t="s">
        <v>258</v>
      </c>
      <c r="F38" s="12" t="s">
        <v>247</v>
      </c>
      <c r="G38" s="12" t="s">
        <v>259</v>
      </c>
      <c r="H38" s="12" t="s">
        <v>22</v>
      </c>
      <c r="I38" s="12"/>
      <c r="J38" s="12" t="s">
        <v>260</v>
      </c>
      <c r="K38" s="12" t="s">
        <v>261</v>
      </c>
      <c r="L38" s="12">
        <v>3</v>
      </c>
      <c r="M38" s="12">
        <f t="shared" si="1"/>
        <v>15</v>
      </c>
      <c r="N38" s="12" t="s">
        <v>40</v>
      </c>
      <c r="O38" s="24" t="s">
        <v>25</v>
      </c>
      <c r="P38" s="18" t="s">
        <v>262</v>
      </c>
      <c r="Q38" s="18">
        <f t="shared" si="2"/>
        <v>0.12</v>
      </c>
      <c r="R38" s="12"/>
    </row>
    <row r="39" spans="1:18">
      <c r="A39" s="2"/>
      <c r="B39" s="7">
        <f t="shared" si="0"/>
        <v>37</v>
      </c>
      <c r="C39" s="8" t="s">
        <v>237</v>
      </c>
      <c r="D39" s="9" t="s">
        <v>263</v>
      </c>
      <c r="E39" s="9" t="s">
        <v>264</v>
      </c>
      <c r="F39" s="9" t="s">
        <v>247</v>
      </c>
      <c r="G39" s="9" t="s">
        <v>265</v>
      </c>
      <c r="H39" s="9" t="s">
        <v>22</v>
      </c>
      <c r="I39" s="9"/>
      <c r="J39" s="9" t="s">
        <v>266</v>
      </c>
      <c r="K39" s="9" t="s">
        <v>243</v>
      </c>
      <c r="L39" s="9">
        <v>6</v>
      </c>
      <c r="M39" s="9">
        <f t="shared" si="1"/>
        <v>30</v>
      </c>
      <c r="N39" s="9" t="s">
        <v>40</v>
      </c>
      <c r="O39" s="24" t="s">
        <v>25</v>
      </c>
      <c r="P39" s="16" t="s">
        <v>256</v>
      </c>
      <c r="Q39" s="16">
        <f t="shared" si="2"/>
        <v>0.11</v>
      </c>
      <c r="R39" s="9"/>
    </row>
    <row r="40" spans="1:18" ht="36">
      <c r="A40" s="2"/>
      <c r="B40" s="10">
        <f t="shared" si="0"/>
        <v>38</v>
      </c>
      <c r="C40" s="11" t="s">
        <v>237</v>
      </c>
      <c r="D40" s="12" t="s">
        <v>267</v>
      </c>
      <c r="E40" s="12" t="s">
        <v>268</v>
      </c>
      <c r="F40" s="12" t="s">
        <v>269</v>
      </c>
      <c r="G40" s="12" t="s">
        <v>270</v>
      </c>
      <c r="H40" s="12" t="s">
        <v>271</v>
      </c>
      <c r="I40" s="12"/>
      <c r="J40" s="12" t="s">
        <v>272</v>
      </c>
      <c r="K40" s="12" t="s">
        <v>273</v>
      </c>
      <c r="L40" s="12">
        <v>1</v>
      </c>
      <c r="M40" s="12">
        <f t="shared" si="1"/>
        <v>5</v>
      </c>
      <c r="N40" s="12" t="s">
        <v>40</v>
      </c>
      <c r="O40" s="24" t="s">
        <v>25</v>
      </c>
      <c r="P40" s="18" t="s">
        <v>274</v>
      </c>
      <c r="Q40" s="18">
        <f t="shared" si="2"/>
        <v>0.21</v>
      </c>
      <c r="R40" s="12"/>
    </row>
    <row r="41" spans="1:18">
      <c r="A41" s="2"/>
      <c r="B41" s="7">
        <f t="shared" si="0"/>
        <v>39</v>
      </c>
      <c r="C41" s="8" t="s">
        <v>237</v>
      </c>
      <c r="D41" s="13" t="s">
        <v>275</v>
      </c>
      <c r="E41" s="13" t="s">
        <v>258</v>
      </c>
      <c r="F41" s="13" t="s">
        <v>247</v>
      </c>
      <c r="G41" s="13" t="s">
        <v>259</v>
      </c>
      <c r="H41" s="13" t="s">
        <v>22</v>
      </c>
      <c r="I41" s="13"/>
      <c r="J41" s="13" t="s">
        <v>260</v>
      </c>
      <c r="K41" s="13" t="s">
        <v>276</v>
      </c>
      <c r="L41" s="13">
        <v>2</v>
      </c>
      <c r="M41" s="13">
        <f t="shared" si="1"/>
        <v>10</v>
      </c>
      <c r="N41" s="13" t="s">
        <v>40</v>
      </c>
      <c r="O41" s="24" t="s">
        <v>25</v>
      </c>
      <c r="P41" s="25" t="s">
        <v>62</v>
      </c>
      <c r="Q41" s="25" t="s">
        <v>62</v>
      </c>
      <c r="R41" s="26" t="s">
        <v>214</v>
      </c>
    </row>
    <row r="42" spans="1:18">
      <c r="A42" s="2"/>
      <c r="B42" s="10">
        <f t="shared" si="0"/>
        <v>40</v>
      </c>
      <c r="C42" s="11" t="s">
        <v>237</v>
      </c>
      <c r="D42" s="12" t="s">
        <v>277</v>
      </c>
      <c r="E42" s="12" t="s">
        <v>278</v>
      </c>
      <c r="F42" s="12" t="s">
        <v>240</v>
      </c>
      <c r="G42" s="12" t="s">
        <v>279</v>
      </c>
      <c r="H42" s="12" t="s">
        <v>22</v>
      </c>
      <c r="I42" s="12"/>
      <c r="J42" s="12" t="s">
        <v>280</v>
      </c>
      <c r="K42" s="12" t="s">
        <v>281</v>
      </c>
      <c r="L42" s="12">
        <v>1</v>
      </c>
      <c r="M42" s="12">
        <f t="shared" si="1"/>
        <v>5</v>
      </c>
      <c r="N42" s="12" t="s">
        <v>40</v>
      </c>
      <c r="O42" s="24" t="s">
        <v>25</v>
      </c>
      <c r="P42" s="18" t="s">
        <v>282</v>
      </c>
      <c r="Q42" s="18">
        <f t="shared" si="2"/>
        <v>6.9999999999999993E-2</v>
      </c>
      <c r="R42" s="12"/>
    </row>
    <row r="43" spans="1:18">
      <c r="A43" s="2"/>
      <c r="B43" s="7">
        <f t="shared" si="0"/>
        <v>41</v>
      </c>
      <c r="C43" s="8" t="s">
        <v>237</v>
      </c>
      <c r="D43" s="9" t="s">
        <v>283</v>
      </c>
      <c r="E43" s="9" t="s">
        <v>284</v>
      </c>
      <c r="F43" s="9" t="s">
        <v>240</v>
      </c>
      <c r="G43" s="9" t="s">
        <v>285</v>
      </c>
      <c r="H43" s="9" t="s">
        <v>22</v>
      </c>
      <c r="I43" s="9"/>
      <c r="J43" s="9" t="s">
        <v>286</v>
      </c>
      <c r="K43" s="9" t="s">
        <v>287</v>
      </c>
      <c r="L43" s="9">
        <v>1</v>
      </c>
      <c r="M43" s="9">
        <f t="shared" si="1"/>
        <v>5</v>
      </c>
      <c r="N43" s="9" t="s">
        <v>40</v>
      </c>
      <c r="O43" s="24" t="s">
        <v>25</v>
      </c>
      <c r="P43" s="16" t="s">
        <v>282</v>
      </c>
      <c r="Q43" s="16">
        <f t="shared" si="2"/>
        <v>6.9999999999999993E-2</v>
      </c>
      <c r="R43" s="9"/>
    </row>
    <row r="44" spans="1:18">
      <c r="A44" s="2"/>
      <c r="B44" s="10">
        <f t="shared" si="0"/>
        <v>42</v>
      </c>
      <c r="C44" s="11" t="s">
        <v>288</v>
      </c>
      <c r="D44" s="12" t="s">
        <v>289</v>
      </c>
      <c r="E44" s="12" t="s">
        <v>290</v>
      </c>
      <c r="F44" s="12" t="s">
        <v>240</v>
      </c>
      <c r="G44" s="12" t="s">
        <v>291</v>
      </c>
      <c r="H44" s="12" t="s">
        <v>22</v>
      </c>
      <c r="I44" s="12"/>
      <c r="J44" s="12" t="s">
        <v>292</v>
      </c>
      <c r="K44" s="12" t="s">
        <v>255</v>
      </c>
      <c r="L44" s="12">
        <v>1</v>
      </c>
      <c r="M44" s="12">
        <f t="shared" si="1"/>
        <v>5</v>
      </c>
      <c r="N44" s="12" t="s">
        <v>40</v>
      </c>
      <c r="O44" s="24" t="s">
        <v>25</v>
      </c>
      <c r="P44" s="18" t="s">
        <v>244</v>
      </c>
      <c r="Q44" s="18">
        <f t="shared" si="2"/>
        <v>0.06</v>
      </c>
      <c r="R44" s="12"/>
    </row>
    <row r="45" spans="1:18">
      <c r="A45" s="2"/>
      <c r="B45" s="7">
        <f t="shared" si="0"/>
        <v>43</v>
      </c>
      <c r="C45" s="8" t="s">
        <v>237</v>
      </c>
      <c r="D45" s="9" t="s">
        <v>293</v>
      </c>
      <c r="E45" s="9" t="s">
        <v>294</v>
      </c>
      <c r="F45" s="9" t="s">
        <v>240</v>
      </c>
      <c r="G45" s="9" t="s">
        <v>295</v>
      </c>
      <c r="H45" s="9" t="s">
        <v>22</v>
      </c>
      <c r="I45" s="9"/>
      <c r="J45" s="9" t="s">
        <v>296</v>
      </c>
      <c r="K45" s="9" t="s">
        <v>297</v>
      </c>
      <c r="L45" s="9">
        <v>2</v>
      </c>
      <c r="M45" s="9">
        <f t="shared" si="1"/>
        <v>10</v>
      </c>
      <c r="N45" s="9" t="s">
        <v>40</v>
      </c>
      <c r="O45" s="24" t="s">
        <v>25</v>
      </c>
      <c r="P45" s="16" t="s">
        <v>244</v>
      </c>
      <c r="Q45" s="16">
        <f t="shared" si="2"/>
        <v>0.06</v>
      </c>
      <c r="R45" s="9"/>
    </row>
    <row r="46" spans="1:18">
      <c r="A46" s="2"/>
      <c r="B46" s="10">
        <f t="shared" si="0"/>
        <v>44</v>
      </c>
      <c r="C46" s="11" t="s">
        <v>237</v>
      </c>
      <c r="D46" s="12" t="s">
        <v>298</v>
      </c>
      <c r="E46" s="12" t="s">
        <v>299</v>
      </c>
      <c r="F46" s="12" t="s">
        <v>240</v>
      </c>
      <c r="G46" s="12" t="s">
        <v>300</v>
      </c>
      <c r="H46" s="12" t="s">
        <v>22</v>
      </c>
      <c r="I46" s="12"/>
      <c r="J46" s="12" t="s">
        <v>301</v>
      </c>
      <c r="K46" s="12" t="s">
        <v>302</v>
      </c>
      <c r="L46" s="12">
        <v>2</v>
      </c>
      <c r="M46" s="12">
        <f t="shared" si="1"/>
        <v>10</v>
      </c>
      <c r="N46" s="12" t="s">
        <v>40</v>
      </c>
      <c r="O46" s="24" t="s">
        <v>25</v>
      </c>
      <c r="P46" s="18" t="s">
        <v>282</v>
      </c>
      <c r="Q46" s="18">
        <f t="shared" si="2"/>
        <v>6.9999999999999993E-2</v>
      </c>
      <c r="R46" s="12"/>
    </row>
    <row r="47" spans="1:18">
      <c r="A47" s="2"/>
      <c r="B47" s="7">
        <f t="shared" si="0"/>
        <v>45</v>
      </c>
      <c r="C47" s="8" t="s">
        <v>237</v>
      </c>
      <c r="D47" s="9" t="s">
        <v>303</v>
      </c>
      <c r="E47" s="9" t="s">
        <v>304</v>
      </c>
      <c r="F47" s="9" t="s">
        <v>240</v>
      </c>
      <c r="G47" s="9" t="s">
        <v>305</v>
      </c>
      <c r="H47" s="9" t="s">
        <v>22</v>
      </c>
      <c r="I47" s="9"/>
      <c r="J47" s="9" t="s">
        <v>306</v>
      </c>
      <c r="K47" s="9" t="s">
        <v>307</v>
      </c>
      <c r="L47" s="9">
        <v>5</v>
      </c>
      <c r="M47" s="9">
        <f t="shared" si="1"/>
        <v>25</v>
      </c>
      <c r="N47" s="9" t="s">
        <v>40</v>
      </c>
      <c r="O47" s="24" t="s">
        <v>25</v>
      </c>
      <c r="P47" s="16" t="s">
        <v>282</v>
      </c>
      <c r="Q47" s="16">
        <f t="shared" si="2"/>
        <v>6.9999999999999993E-2</v>
      </c>
      <c r="R47" s="9"/>
    </row>
    <row r="48" spans="1:18">
      <c r="A48" s="2"/>
      <c r="B48" s="10">
        <f t="shared" si="0"/>
        <v>46</v>
      </c>
      <c r="C48" s="11" t="s">
        <v>237</v>
      </c>
      <c r="D48" s="12" t="s">
        <v>308</v>
      </c>
      <c r="E48" s="12" t="s">
        <v>309</v>
      </c>
      <c r="F48" s="12" t="s">
        <v>247</v>
      </c>
      <c r="G48" s="12" t="s">
        <v>310</v>
      </c>
      <c r="H48" s="12" t="s">
        <v>22</v>
      </c>
      <c r="I48" s="12"/>
      <c r="J48" s="12" t="s">
        <v>311</v>
      </c>
      <c r="K48" s="12" t="s">
        <v>312</v>
      </c>
      <c r="L48" s="12">
        <v>1</v>
      </c>
      <c r="M48" s="12">
        <f t="shared" si="1"/>
        <v>5</v>
      </c>
      <c r="N48" s="12" t="s">
        <v>40</v>
      </c>
      <c r="O48" s="24" t="s">
        <v>25</v>
      </c>
      <c r="P48" s="18" t="s">
        <v>262</v>
      </c>
      <c r="Q48" s="18">
        <f t="shared" si="2"/>
        <v>0.12</v>
      </c>
      <c r="R48" s="12"/>
    </row>
    <row r="49" spans="1:18">
      <c r="A49" s="2"/>
      <c r="B49" s="7">
        <f t="shared" si="0"/>
        <v>47</v>
      </c>
      <c r="C49" s="8" t="s">
        <v>237</v>
      </c>
      <c r="D49" s="9" t="s">
        <v>313</v>
      </c>
      <c r="E49" s="9" t="s">
        <v>314</v>
      </c>
      <c r="F49" s="9" t="s">
        <v>247</v>
      </c>
      <c r="G49" s="9" t="s">
        <v>315</v>
      </c>
      <c r="H49" s="9" t="s">
        <v>22</v>
      </c>
      <c r="I49" s="9"/>
      <c r="J49" s="9" t="s">
        <v>316</v>
      </c>
      <c r="K49" s="9" t="s">
        <v>317</v>
      </c>
      <c r="L49" s="9">
        <v>1</v>
      </c>
      <c r="M49" s="9">
        <f t="shared" si="1"/>
        <v>5</v>
      </c>
      <c r="N49" s="9" t="s">
        <v>40</v>
      </c>
      <c r="O49" s="24" t="s">
        <v>25</v>
      </c>
      <c r="P49" s="16" t="s">
        <v>318</v>
      </c>
      <c r="Q49" s="16">
        <f t="shared" si="2"/>
        <v>0.53</v>
      </c>
      <c r="R49" s="9"/>
    </row>
    <row r="50" spans="1:18">
      <c r="A50" s="2"/>
      <c r="B50" s="10">
        <f t="shared" si="0"/>
        <v>48</v>
      </c>
      <c r="C50" s="11" t="s">
        <v>237</v>
      </c>
      <c r="D50" s="12" t="s">
        <v>319</v>
      </c>
      <c r="E50" s="12" t="s">
        <v>246</v>
      </c>
      <c r="F50" s="12" t="s">
        <v>247</v>
      </c>
      <c r="G50" s="12" t="s">
        <v>248</v>
      </c>
      <c r="H50" s="12" t="s">
        <v>320</v>
      </c>
      <c r="I50" s="12"/>
      <c r="J50" s="12" t="s">
        <v>249</v>
      </c>
      <c r="K50" s="12" t="s">
        <v>243</v>
      </c>
      <c r="L50" s="12">
        <v>4</v>
      </c>
      <c r="M50" s="12">
        <f t="shared" si="1"/>
        <v>20</v>
      </c>
      <c r="N50" s="12" t="s">
        <v>55</v>
      </c>
      <c r="O50" s="24" t="s">
        <v>25</v>
      </c>
      <c r="P50" s="18" t="s">
        <v>250</v>
      </c>
      <c r="Q50" s="18">
        <f t="shared" si="2"/>
        <v>0.56000000000000005</v>
      </c>
      <c r="R50" s="12"/>
    </row>
    <row r="51" spans="1:18">
      <c r="A51" s="2"/>
      <c r="B51" s="7">
        <f t="shared" si="0"/>
        <v>49</v>
      </c>
      <c r="C51" s="8" t="s">
        <v>237</v>
      </c>
      <c r="D51" s="9" t="s">
        <v>321</v>
      </c>
      <c r="E51" s="9" t="s">
        <v>322</v>
      </c>
      <c r="F51" s="9" t="s">
        <v>247</v>
      </c>
      <c r="G51" s="9" t="s">
        <v>323</v>
      </c>
      <c r="H51" s="9" t="s">
        <v>22</v>
      </c>
      <c r="I51" s="9"/>
      <c r="J51" s="9" t="s">
        <v>324</v>
      </c>
      <c r="K51" s="9" t="s">
        <v>307</v>
      </c>
      <c r="L51" s="9">
        <v>2</v>
      </c>
      <c r="M51" s="9">
        <f t="shared" si="1"/>
        <v>10</v>
      </c>
      <c r="N51" s="9" t="s">
        <v>40</v>
      </c>
      <c r="O51" s="24" t="s">
        <v>25</v>
      </c>
      <c r="P51" s="16" t="s">
        <v>256</v>
      </c>
      <c r="Q51" s="16">
        <f t="shared" si="2"/>
        <v>0.11</v>
      </c>
      <c r="R51" s="9"/>
    </row>
    <row r="52" spans="1:18">
      <c r="A52" s="2"/>
      <c r="B52" s="10">
        <f t="shared" si="0"/>
        <v>50</v>
      </c>
      <c r="C52" s="11" t="s">
        <v>237</v>
      </c>
      <c r="D52" s="12" t="s">
        <v>325</v>
      </c>
      <c r="E52" s="12" t="s">
        <v>326</v>
      </c>
      <c r="F52" s="12" t="s">
        <v>247</v>
      </c>
      <c r="G52" s="12" t="s">
        <v>327</v>
      </c>
      <c r="H52" s="12" t="s">
        <v>22</v>
      </c>
      <c r="I52" s="12"/>
      <c r="J52" s="12" t="s">
        <v>328</v>
      </c>
      <c r="K52" s="12" t="s">
        <v>329</v>
      </c>
      <c r="L52" s="12">
        <v>1</v>
      </c>
      <c r="M52" s="12">
        <f t="shared" si="1"/>
        <v>5</v>
      </c>
      <c r="N52" s="12" t="s">
        <v>40</v>
      </c>
      <c r="O52" s="24" t="s">
        <v>25</v>
      </c>
      <c r="P52" s="18" t="s">
        <v>262</v>
      </c>
      <c r="Q52" s="18">
        <f t="shared" si="2"/>
        <v>0.12</v>
      </c>
      <c r="R52" s="12"/>
    </row>
    <row r="53" spans="1:18">
      <c r="A53" s="2"/>
      <c r="B53" s="7">
        <f t="shared" si="0"/>
        <v>51</v>
      </c>
      <c r="C53" s="8" t="s">
        <v>288</v>
      </c>
      <c r="D53" s="9" t="s">
        <v>330</v>
      </c>
      <c r="E53" s="9" t="s">
        <v>331</v>
      </c>
      <c r="F53" s="9" t="s">
        <v>247</v>
      </c>
      <c r="G53" s="9" t="s">
        <v>332</v>
      </c>
      <c r="H53" s="9" t="s">
        <v>22</v>
      </c>
      <c r="I53" s="9"/>
      <c r="J53" s="9" t="s">
        <v>333</v>
      </c>
      <c r="K53" s="9" t="s">
        <v>334</v>
      </c>
      <c r="L53" s="9">
        <v>1</v>
      </c>
      <c r="M53" s="9">
        <f t="shared" si="1"/>
        <v>5</v>
      </c>
      <c r="N53" s="9" t="s">
        <v>40</v>
      </c>
      <c r="O53" s="24" t="s">
        <v>25</v>
      </c>
      <c r="P53" s="16" t="s">
        <v>335</v>
      </c>
      <c r="Q53" s="16">
        <f t="shared" si="2"/>
        <v>0.1</v>
      </c>
      <c r="R53" s="9"/>
    </row>
    <row r="54" spans="1:18">
      <c r="A54" s="2"/>
      <c r="B54" s="10">
        <f t="shared" si="0"/>
        <v>52</v>
      </c>
      <c r="C54" s="11" t="s">
        <v>237</v>
      </c>
      <c r="D54" s="12" t="s">
        <v>336</v>
      </c>
      <c r="E54" s="12" t="s">
        <v>337</v>
      </c>
      <c r="F54" s="12" t="s">
        <v>240</v>
      </c>
      <c r="G54" s="12" t="s">
        <v>338</v>
      </c>
      <c r="H54" s="12" t="s">
        <v>22</v>
      </c>
      <c r="I54" s="12"/>
      <c r="J54" s="12" t="s">
        <v>339</v>
      </c>
      <c r="K54" s="12" t="s">
        <v>334</v>
      </c>
      <c r="L54" s="12">
        <v>1</v>
      </c>
      <c r="M54" s="12">
        <f t="shared" si="1"/>
        <v>5</v>
      </c>
      <c r="N54" s="12" t="s">
        <v>40</v>
      </c>
      <c r="O54" s="24" t="s">
        <v>25</v>
      </c>
      <c r="P54" s="18" t="s">
        <v>244</v>
      </c>
      <c r="Q54" s="18">
        <f t="shared" si="2"/>
        <v>0.06</v>
      </c>
      <c r="R54" s="12"/>
    </row>
    <row r="55" spans="1:18">
      <c r="A55" s="2"/>
      <c r="B55" s="7">
        <f t="shared" si="0"/>
        <v>53</v>
      </c>
      <c r="C55" s="8" t="s">
        <v>288</v>
      </c>
      <c r="D55" s="13" t="s">
        <v>340</v>
      </c>
      <c r="E55" s="13" t="s">
        <v>331</v>
      </c>
      <c r="F55" s="13" t="s">
        <v>247</v>
      </c>
      <c r="G55" s="13" t="s">
        <v>332</v>
      </c>
      <c r="H55" s="13" t="s">
        <v>22</v>
      </c>
      <c r="I55" s="13"/>
      <c r="J55" s="13" t="s">
        <v>333</v>
      </c>
      <c r="K55" s="13" t="s">
        <v>276</v>
      </c>
      <c r="L55" s="13">
        <v>1</v>
      </c>
      <c r="M55" s="13">
        <f t="shared" si="1"/>
        <v>5</v>
      </c>
      <c r="N55" s="13" t="s">
        <v>40</v>
      </c>
      <c r="O55" s="24" t="s">
        <v>62</v>
      </c>
      <c r="P55" s="25" t="s">
        <v>62</v>
      </c>
      <c r="Q55" s="25" t="s">
        <v>62</v>
      </c>
      <c r="R55" s="26" t="s">
        <v>214</v>
      </c>
    </row>
    <row r="56" spans="1:18">
      <c r="A56" s="2"/>
      <c r="B56" s="7">
        <f t="shared" si="0"/>
        <v>54</v>
      </c>
      <c r="C56" s="11" t="s">
        <v>237</v>
      </c>
      <c r="D56" s="13" t="s">
        <v>439</v>
      </c>
      <c r="E56" s="14" t="s">
        <v>252</v>
      </c>
      <c r="F56" s="13" t="s">
        <v>247</v>
      </c>
      <c r="G56" s="14" t="s">
        <v>253</v>
      </c>
      <c r="H56" s="13" t="s">
        <v>22</v>
      </c>
      <c r="I56" s="13"/>
      <c r="J56" s="13" t="s">
        <v>62</v>
      </c>
      <c r="K56" s="13" t="s">
        <v>276</v>
      </c>
      <c r="L56" s="13">
        <v>1</v>
      </c>
      <c r="M56" s="13">
        <f t="shared" ref="M56" si="3">L56*5</f>
        <v>5</v>
      </c>
      <c r="N56" s="13" t="s">
        <v>40</v>
      </c>
      <c r="O56" s="24" t="s">
        <v>62</v>
      </c>
      <c r="P56" s="25" t="s">
        <v>62</v>
      </c>
      <c r="Q56" s="25" t="s">
        <v>62</v>
      </c>
      <c r="R56" s="26" t="s">
        <v>214</v>
      </c>
    </row>
    <row r="57" spans="1:18">
      <c r="A57" s="2"/>
      <c r="B57" s="10">
        <f t="shared" si="0"/>
        <v>55</v>
      </c>
      <c r="C57" s="11" t="s">
        <v>341</v>
      </c>
      <c r="D57" s="12" t="s">
        <v>342</v>
      </c>
      <c r="E57" s="12" t="s">
        <v>343</v>
      </c>
      <c r="F57" s="12" t="s">
        <v>344</v>
      </c>
      <c r="G57" s="12" t="s">
        <v>344</v>
      </c>
      <c r="H57" s="12" t="s">
        <v>345</v>
      </c>
      <c r="I57" s="12"/>
      <c r="J57" s="12" t="s">
        <v>346</v>
      </c>
      <c r="K57" s="12" t="s">
        <v>62</v>
      </c>
      <c r="L57" s="12">
        <v>2</v>
      </c>
      <c r="M57" s="12">
        <f t="shared" si="1"/>
        <v>10</v>
      </c>
      <c r="N57" s="12" t="s">
        <v>152</v>
      </c>
      <c r="O57" s="24" t="s">
        <v>25</v>
      </c>
      <c r="P57" s="18" t="s">
        <v>347</v>
      </c>
      <c r="Q57" s="18">
        <f t="shared" si="2"/>
        <v>1.5270000000000001</v>
      </c>
      <c r="R57" s="12"/>
    </row>
    <row r="58" spans="1:18">
      <c r="A58" s="2"/>
      <c r="B58" s="7">
        <f t="shared" si="0"/>
        <v>56</v>
      </c>
      <c r="C58" s="8" t="s">
        <v>348</v>
      </c>
      <c r="D58" s="9" t="s">
        <v>349</v>
      </c>
      <c r="E58" s="35" t="s">
        <v>436</v>
      </c>
      <c r="F58" s="12" t="s">
        <v>435</v>
      </c>
      <c r="G58" s="35" t="s">
        <v>437</v>
      </c>
      <c r="H58" s="9" t="s">
        <v>350</v>
      </c>
      <c r="I58" s="9"/>
      <c r="J58" s="9" t="s">
        <v>438</v>
      </c>
      <c r="K58" s="12" t="s">
        <v>62</v>
      </c>
      <c r="L58" s="9">
        <v>1</v>
      </c>
      <c r="M58" s="9">
        <f t="shared" si="1"/>
        <v>5</v>
      </c>
      <c r="N58" s="9" t="s">
        <v>33</v>
      </c>
      <c r="O58" s="32" t="s">
        <v>25</v>
      </c>
      <c r="P58" s="16">
        <v>2.9537</v>
      </c>
      <c r="Q58" s="16">
        <f t="shared" si="2"/>
        <v>14.7685</v>
      </c>
      <c r="R58" s="9"/>
    </row>
    <row r="59" spans="1:18">
      <c r="A59" s="2"/>
      <c r="B59" s="10">
        <f t="shared" si="0"/>
        <v>57</v>
      </c>
      <c r="C59" s="11" t="s">
        <v>351</v>
      </c>
      <c r="D59" s="12" t="s">
        <v>352</v>
      </c>
      <c r="E59" s="12" t="s">
        <v>343</v>
      </c>
      <c r="F59" s="12" t="s">
        <v>353</v>
      </c>
      <c r="G59" s="12" t="s">
        <v>354</v>
      </c>
      <c r="H59" s="12" t="s">
        <v>355</v>
      </c>
      <c r="I59" s="12"/>
      <c r="J59" s="12" t="s">
        <v>356</v>
      </c>
      <c r="K59" s="12" t="s">
        <v>62</v>
      </c>
      <c r="L59" s="12">
        <v>3</v>
      </c>
      <c r="M59" s="12">
        <f t="shared" si="1"/>
        <v>15</v>
      </c>
      <c r="N59" s="12" t="s">
        <v>357</v>
      </c>
      <c r="O59" s="24" t="s">
        <v>25</v>
      </c>
      <c r="P59" s="18" t="s">
        <v>358</v>
      </c>
      <c r="Q59" s="18">
        <f t="shared" si="2"/>
        <v>10.429500000000001</v>
      </c>
      <c r="R59" s="12"/>
    </row>
    <row r="60" spans="1:18">
      <c r="A60" s="2"/>
      <c r="B60" s="7">
        <f t="shared" si="0"/>
        <v>58</v>
      </c>
      <c r="C60" s="8" t="s">
        <v>359</v>
      </c>
      <c r="D60" s="9" t="s">
        <v>360</v>
      </c>
      <c r="E60" s="9" t="s">
        <v>361</v>
      </c>
      <c r="F60" s="9" t="s">
        <v>362</v>
      </c>
      <c r="G60" s="9" t="s">
        <v>363</v>
      </c>
      <c r="H60" s="9" t="s">
        <v>364</v>
      </c>
      <c r="I60" s="9"/>
      <c r="J60" s="9" t="s">
        <v>365</v>
      </c>
      <c r="K60" s="12" t="s">
        <v>62</v>
      </c>
      <c r="L60" s="9">
        <v>1</v>
      </c>
      <c r="M60" s="9">
        <f t="shared" si="1"/>
        <v>5</v>
      </c>
      <c r="N60" s="9" t="s">
        <v>33</v>
      </c>
      <c r="O60" s="24" t="s">
        <v>25</v>
      </c>
      <c r="P60" s="16" t="s">
        <v>366</v>
      </c>
      <c r="Q60" s="16">
        <f t="shared" si="2"/>
        <v>24.9285</v>
      </c>
      <c r="R60" s="9"/>
    </row>
    <row r="61" spans="1:18" ht="24">
      <c r="A61" s="2"/>
      <c r="B61" s="10">
        <f t="shared" si="0"/>
        <v>59</v>
      </c>
      <c r="C61" s="11" t="s">
        <v>367</v>
      </c>
      <c r="D61" s="12" t="s">
        <v>368</v>
      </c>
      <c r="E61" s="12" t="s">
        <v>369</v>
      </c>
      <c r="F61" s="12" t="s">
        <v>370</v>
      </c>
      <c r="G61" s="12" t="s">
        <v>370</v>
      </c>
      <c r="H61" s="12" t="s">
        <v>371</v>
      </c>
      <c r="I61" s="12"/>
      <c r="J61" s="12" t="s">
        <v>372</v>
      </c>
      <c r="K61" s="12" t="s">
        <v>62</v>
      </c>
      <c r="L61" s="12">
        <v>1</v>
      </c>
      <c r="M61" s="12">
        <f t="shared" si="1"/>
        <v>5</v>
      </c>
      <c r="N61" s="12" t="s">
        <v>33</v>
      </c>
      <c r="O61" s="23" t="s">
        <v>25</v>
      </c>
      <c r="P61" s="18" t="s">
        <v>373</v>
      </c>
      <c r="Q61" s="18">
        <f t="shared" si="2"/>
        <v>4.6665000000000001</v>
      </c>
      <c r="R61" s="12"/>
    </row>
    <row r="62" spans="1:18">
      <c r="A62" s="2"/>
      <c r="B62" s="7">
        <f t="shared" si="0"/>
        <v>60</v>
      </c>
      <c r="C62" s="8" t="s">
        <v>374</v>
      </c>
      <c r="D62" s="9" t="s">
        <v>375</v>
      </c>
      <c r="E62" s="9" t="s">
        <v>376</v>
      </c>
      <c r="F62" s="9" t="s">
        <v>377</v>
      </c>
      <c r="G62" s="9" t="s">
        <v>378</v>
      </c>
      <c r="H62" s="9" t="s">
        <v>379</v>
      </c>
      <c r="I62" s="9"/>
      <c r="J62" s="9" t="s">
        <v>380</v>
      </c>
      <c r="K62" s="12" t="s">
        <v>62</v>
      </c>
      <c r="L62" s="9">
        <v>1</v>
      </c>
      <c r="M62" s="9">
        <f t="shared" si="1"/>
        <v>5</v>
      </c>
      <c r="N62" s="9" t="s">
        <v>33</v>
      </c>
      <c r="O62" s="23" t="s">
        <v>25</v>
      </c>
      <c r="P62" s="16" t="s">
        <v>381</v>
      </c>
      <c r="Q62" s="16">
        <f t="shared" si="2"/>
        <v>3.6635</v>
      </c>
      <c r="R62" s="9"/>
    </row>
    <row r="63" spans="1:18" ht="36">
      <c r="A63" s="2"/>
      <c r="B63" s="10">
        <f t="shared" si="0"/>
        <v>61</v>
      </c>
      <c r="C63" s="11" t="s">
        <v>382</v>
      </c>
      <c r="D63" s="12" t="s">
        <v>383</v>
      </c>
      <c r="E63" s="12" t="s">
        <v>384</v>
      </c>
      <c r="F63" s="12" t="s">
        <v>385</v>
      </c>
      <c r="G63" s="12" t="s">
        <v>386</v>
      </c>
      <c r="H63" s="12" t="s">
        <v>387</v>
      </c>
      <c r="I63" s="12"/>
      <c r="J63" s="12" t="s">
        <v>388</v>
      </c>
      <c r="K63" s="12" t="s">
        <v>62</v>
      </c>
      <c r="L63" s="12">
        <v>1</v>
      </c>
      <c r="M63" s="12">
        <f t="shared" si="1"/>
        <v>5</v>
      </c>
      <c r="N63" s="12" t="s">
        <v>152</v>
      </c>
      <c r="O63" s="23" t="s">
        <v>25</v>
      </c>
      <c r="P63" s="18" t="s">
        <v>389</v>
      </c>
      <c r="Q63" s="18">
        <f t="shared" si="2"/>
        <v>0.38300000000000001</v>
      </c>
      <c r="R63" s="12"/>
    </row>
    <row r="64" spans="1:18">
      <c r="A64" s="2"/>
      <c r="B64" s="7">
        <f t="shared" si="0"/>
        <v>62</v>
      </c>
      <c r="C64" s="8" t="s">
        <v>374</v>
      </c>
      <c r="D64" s="9" t="s">
        <v>390</v>
      </c>
      <c r="E64" s="9" t="s">
        <v>391</v>
      </c>
      <c r="F64" s="9" t="s">
        <v>392</v>
      </c>
      <c r="G64" s="9" t="s">
        <v>393</v>
      </c>
      <c r="H64" s="9" t="s">
        <v>394</v>
      </c>
      <c r="I64" s="9"/>
      <c r="J64" s="9" t="s">
        <v>395</v>
      </c>
      <c r="K64" s="12" t="s">
        <v>62</v>
      </c>
      <c r="L64" s="9">
        <v>1</v>
      </c>
      <c r="M64" s="9">
        <f t="shared" si="1"/>
        <v>5</v>
      </c>
      <c r="N64" s="9" t="s">
        <v>33</v>
      </c>
      <c r="O64" s="23" t="s">
        <v>25</v>
      </c>
      <c r="P64" s="16" t="s">
        <v>396</v>
      </c>
      <c r="Q64" s="16">
        <f t="shared" si="2"/>
        <v>0.9395</v>
      </c>
      <c r="R64" s="9"/>
    </row>
    <row r="65" spans="1:18" ht="24">
      <c r="A65" s="2"/>
      <c r="B65" s="10">
        <f t="shared" si="0"/>
        <v>63</v>
      </c>
      <c r="C65" s="11" t="s">
        <v>374</v>
      </c>
      <c r="D65" s="12" t="s">
        <v>397</v>
      </c>
      <c r="E65" s="12" t="s">
        <v>398</v>
      </c>
      <c r="F65" s="12" t="s">
        <v>399</v>
      </c>
      <c r="G65" s="12" t="s">
        <v>400</v>
      </c>
      <c r="H65" s="12" t="s">
        <v>401</v>
      </c>
      <c r="I65" s="12"/>
      <c r="J65" s="12" t="s">
        <v>402</v>
      </c>
      <c r="K65" s="12" t="s">
        <v>62</v>
      </c>
      <c r="L65" s="12">
        <v>1</v>
      </c>
      <c r="M65" s="12">
        <f t="shared" si="1"/>
        <v>5</v>
      </c>
      <c r="N65" s="12" t="s">
        <v>33</v>
      </c>
      <c r="O65" s="23" t="s">
        <v>25</v>
      </c>
      <c r="P65" s="18" t="s">
        <v>403</v>
      </c>
      <c r="Q65" s="18">
        <f t="shared" si="2"/>
        <v>12.281500000000001</v>
      </c>
      <c r="R65" s="12"/>
    </row>
    <row r="66" spans="1:18">
      <c r="A66" s="2"/>
      <c r="B66" s="7">
        <f t="shared" si="0"/>
        <v>64</v>
      </c>
      <c r="C66" s="8" t="s">
        <v>374</v>
      </c>
      <c r="D66" s="9" t="s">
        <v>404</v>
      </c>
      <c r="E66" s="9" t="s">
        <v>405</v>
      </c>
      <c r="F66" s="9" t="s">
        <v>406</v>
      </c>
      <c r="G66" s="9" t="s">
        <v>407</v>
      </c>
      <c r="H66" s="9" t="s">
        <v>408</v>
      </c>
      <c r="I66" s="9"/>
      <c r="J66" s="9" t="s">
        <v>409</v>
      </c>
      <c r="K66" s="12" t="s">
        <v>62</v>
      </c>
      <c r="L66" s="9">
        <v>1</v>
      </c>
      <c r="M66" s="9">
        <f t="shared" si="1"/>
        <v>5</v>
      </c>
      <c r="N66" s="9" t="s">
        <v>33</v>
      </c>
      <c r="O66" s="23" t="s">
        <v>25</v>
      </c>
      <c r="P66" s="16" t="s">
        <v>410</v>
      </c>
      <c r="Q66" s="16">
        <f t="shared" si="2"/>
        <v>7.3864999999999998</v>
      </c>
      <c r="R66" s="9"/>
    </row>
    <row r="67" spans="1:18" ht="36">
      <c r="A67" s="2"/>
      <c r="B67" s="10">
        <f t="shared" si="0"/>
        <v>65</v>
      </c>
      <c r="C67" s="11" t="s">
        <v>411</v>
      </c>
      <c r="D67" s="12" t="s">
        <v>412</v>
      </c>
      <c r="E67" s="12" t="s">
        <v>413</v>
      </c>
      <c r="F67" s="12" t="s">
        <v>414</v>
      </c>
      <c r="G67" s="12" t="s">
        <v>415</v>
      </c>
      <c r="H67" s="12" t="s">
        <v>416</v>
      </c>
      <c r="I67" s="12"/>
      <c r="J67" s="12" t="s">
        <v>417</v>
      </c>
      <c r="K67" s="12" t="s">
        <v>418</v>
      </c>
      <c r="L67" s="12">
        <v>1</v>
      </c>
      <c r="M67" s="12">
        <f t="shared" si="1"/>
        <v>5</v>
      </c>
      <c r="N67" s="12" t="s">
        <v>33</v>
      </c>
      <c r="O67" s="23" t="s">
        <v>25</v>
      </c>
      <c r="P67" s="18" t="s">
        <v>419</v>
      </c>
      <c r="Q67" s="18">
        <f t="shared" si="2"/>
        <v>0.40700000000000003</v>
      </c>
      <c r="R67" s="12"/>
    </row>
    <row r="68" spans="1:18" ht="45.75" thickBot="1">
      <c r="A68" s="2"/>
      <c r="B68" s="10">
        <f>ROW(B68)-ROW($B$2)</f>
        <v>66</v>
      </c>
      <c r="C68" s="8" t="s">
        <v>420</v>
      </c>
      <c r="D68" s="9" t="s">
        <v>62</v>
      </c>
      <c r="E68" s="22" t="s">
        <v>421</v>
      </c>
      <c r="F68" s="9" t="s">
        <v>62</v>
      </c>
      <c r="G68" s="9" t="s">
        <v>422</v>
      </c>
      <c r="H68" s="9" t="s">
        <v>62</v>
      </c>
      <c r="I68" s="22" t="s">
        <v>62</v>
      </c>
      <c r="J68" s="9" t="s">
        <v>62</v>
      </c>
      <c r="K68" s="12" t="s">
        <v>62</v>
      </c>
      <c r="L68" s="12">
        <v>1</v>
      </c>
      <c r="M68" s="12">
        <v>5</v>
      </c>
      <c r="N68" s="12">
        <v>5</v>
      </c>
      <c r="O68" s="27" t="s">
        <v>423</v>
      </c>
      <c r="P68" s="18">
        <v>15.26</v>
      </c>
      <c r="Q68" s="18">
        <f t="shared" si="2"/>
        <v>76.3</v>
      </c>
      <c r="R68" s="12"/>
    </row>
    <row r="69" spans="1:18" ht="19.5" thickBot="1">
      <c r="A69" s="2"/>
      <c r="B69"/>
      <c r="C69"/>
      <c r="N69" s="37" t="s">
        <v>424</v>
      </c>
      <c r="O69" s="38"/>
      <c r="P69" s="38"/>
      <c r="Q69" s="28">
        <f>SUM(Q3:Q68)</f>
        <v>187.77350000000001</v>
      </c>
    </row>
    <row r="70" spans="1:18" ht="19.5" thickBot="1">
      <c r="A70" s="2"/>
      <c r="B70"/>
      <c r="C70"/>
      <c r="N70" s="37" t="s">
        <v>425</v>
      </c>
      <c r="O70" s="38"/>
      <c r="P70" s="38"/>
      <c r="Q70" s="29">
        <f>Q69/5</f>
        <v>37.554700000000004</v>
      </c>
    </row>
  </sheetData>
  <mergeCells count="3">
    <mergeCell ref="K1:R1"/>
    <mergeCell ref="N69:P69"/>
    <mergeCell ref="N70:P70"/>
  </mergeCells>
  <hyperlinks>
    <hyperlink ref="O4" r:id="rId1"/>
    <hyperlink ref="O5" r:id="rId2"/>
    <hyperlink ref="O7" r:id="rId3"/>
    <hyperlink ref="O9" r:id="rId4"/>
    <hyperlink ref="O10" r:id="rId5"/>
    <hyperlink ref="O11" r:id="rId6"/>
    <hyperlink ref="O12" r:id="rId7"/>
    <hyperlink ref="O13" r:id="rId8"/>
    <hyperlink ref="O14" r:id="rId9"/>
    <hyperlink ref="O15" r:id="rId10"/>
    <hyperlink ref="O16" r:id="rId11"/>
    <hyperlink ref="O17" r:id="rId12"/>
    <hyperlink ref="O18" r:id="rId13"/>
    <hyperlink ref="O19" r:id="rId14"/>
    <hyperlink ref="O20" r:id="rId15"/>
    <hyperlink ref="O21" r:id="rId16"/>
    <hyperlink ref="O22" r:id="rId17"/>
    <hyperlink ref="O23" r:id="rId18"/>
    <hyperlink ref="O24" r:id="rId19"/>
    <hyperlink ref="O3" r:id="rId20"/>
    <hyperlink ref="O6" r:id="rId21"/>
    <hyperlink ref="O8" r:id="rId22"/>
    <hyperlink ref="O25" r:id="rId23"/>
    <hyperlink ref="O26" r:id="rId24"/>
    <hyperlink ref="O27" r:id="rId25"/>
    <hyperlink ref="O28" r:id="rId26"/>
    <hyperlink ref="O29" r:id="rId27"/>
    <hyperlink ref="O30" r:id="rId28"/>
    <hyperlink ref="O32" r:id="rId29"/>
    <hyperlink ref="O68" r:id="rId30"/>
    <hyperlink ref="O67" r:id="rId31"/>
    <hyperlink ref="O66" r:id="rId32"/>
    <hyperlink ref="O65" r:id="rId33"/>
    <hyperlink ref="O64" r:id="rId34"/>
    <hyperlink ref="O63" r:id="rId35"/>
    <hyperlink ref="O62" r:id="rId36"/>
    <hyperlink ref="O61" r:id="rId37"/>
    <hyperlink ref="O60" r:id="rId38"/>
    <hyperlink ref="O59" r:id="rId39"/>
    <hyperlink ref="O57" r:id="rId40"/>
    <hyperlink ref="O55" r:id="rId41"/>
    <hyperlink ref="O54" r:id="rId42"/>
    <hyperlink ref="O53" r:id="rId43"/>
    <hyperlink ref="O52" r:id="rId44"/>
    <hyperlink ref="O51" r:id="rId45"/>
    <hyperlink ref="O50" r:id="rId46"/>
    <hyperlink ref="O49" r:id="rId47"/>
    <hyperlink ref="O48" r:id="rId48"/>
    <hyperlink ref="O47" r:id="rId49"/>
    <hyperlink ref="O46" r:id="rId50"/>
    <hyperlink ref="O45" r:id="rId51"/>
    <hyperlink ref="O44" r:id="rId52"/>
    <hyperlink ref="O43" r:id="rId53"/>
    <hyperlink ref="O42" r:id="rId54"/>
    <hyperlink ref="O41" r:id="rId55"/>
    <hyperlink ref="O40" r:id="rId56"/>
    <hyperlink ref="O39" r:id="rId57"/>
    <hyperlink ref="O38" r:id="rId58"/>
    <hyperlink ref="O37" r:id="rId59"/>
    <hyperlink ref="O36" r:id="rId60"/>
    <hyperlink ref="O35" r:id="rId61"/>
    <hyperlink ref="O34" r:id="rId62"/>
    <hyperlink ref="O33" r:id="rId63"/>
    <hyperlink ref="O58" r:id="rId64"/>
    <hyperlink ref="O56" r:id="rId65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A9" workbookViewId="0">
      <selection activeCell="D21" sqref="D21"/>
    </sheetView>
  </sheetViews>
  <sheetFormatPr defaultColWidth="9.140625" defaultRowHeight="15"/>
  <cols>
    <col min="2" max="2" width="3.5703125" customWidth="1"/>
    <col min="3" max="3" width="14.7109375" customWidth="1"/>
    <col min="4" max="4" width="17.140625" customWidth="1"/>
    <col min="5" max="5" width="24" customWidth="1"/>
    <col min="7" max="7" width="27.28515625" customWidth="1"/>
    <col min="8" max="8" width="14.140625" customWidth="1"/>
    <col min="9" max="9" width="23.140625" customWidth="1"/>
    <col min="10" max="10" width="18.28515625" customWidth="1"/>
    <col min="11" max="11" width="8.85546875" customWidth="1"/>
    <col min="12" max="12" width="9.28515625" customWidth="1"/>
    <col min="13" max="13" width="19.5703125" customWidth="1"/>
    <col min="14" max="14" width="16.7109375" customWidth="1"/>
    <col min="16" max="16" width="20.140625" customWidth="1"/>
    <col min="17" max="17" width="20.7109375" customWidth="1"/>
  </cols>
  <sheetData>
    <row r="1" spans="1:18">
      <c r="A1" s="2"/>
      <c r="B1" s="3"/>
      <c r="C1" s="3"/>
      <c r="D1" s="4"/>
      <c r="E1" s="4"/>
      <c r="F1" s="4"/>
      <c r="G1" s="4"/>
      <c r="H1" s="4"/>
      <c r="I1" s="4"/>
      <c r="J1" s="4"/>
      <c r="K1" s="36"/>
      <c r="L1" s="36"/>
      <c r="M1" s="36"/>
      <c r="N1" s="36"/>
      <c r="O1" s="36"/>
      <c r="P1" s="36"/>
      <c r="Q1" s="36"/>
      <c r="R1" s="36"/>
    </row>
    <row r="2" spans="1:18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426</v>
      </c>
      <c r="N2" s="30" t="s">
        <v>427</v>
      </c>
      <c r="O2" s="5" t="s">
        <v>13</v>
      </c>
      <c r="P2" s="31" t="s">
        <v>428</v>
      </c>
      <c r="Q2" s="5" t="s">
        <v>429</v>
      </c>
      <c r="R2" s="5" t="s">
        <v>430</v>
      </c>
    </row>
    <row r="3" spans="1:18">
      <c r="A3" s="2"/>
      <c r="B3" s="7">
        <f t="shared" ref="B3:B34" si="0">ROW(B3)-ROW($B$2)</f>
        <v>1</v>
      </c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/>
      <c r="J3" s="9" t="s">
        <v>23</v>
      </c>
      <c r="K3" s="9" t="s">
        <v>24</v>
      </c>
      <c r="L3" s="9">
        <v>2</v>
      </c>
      <c r="M3" s="9">
        <f>L3*10</f>
        <v>20</v>
      </c>
      <c r="N3" s="9">
        <v>100</v>
      </c>
      <c r="O3" s="15" t="s">
        <v>25</v>
      </c>
      <c r="P3" s="16">
        <v>1.1999999999999999E-3</v>
      </c>
      <c r="Q3" s="16">
        <f t="shared" ref="Q3:Q30" si="1">P3*N3</f>
        <v>0.12</v>
      </c>
      <c r="R3" s="9"/>
    </row>
    <row r="4" spans="1:18">
      <c r="A4" s="2"/>
      <c r="B4" s="10">
        <f t="shared" si="0"/>
        <v>2</v>
      </c>
      <c r="C4" s="11" t="s">
        <v>17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/>
      <c r="J4" s="12" t="s">
        <v>31</v>
      </c>
      <c r="K4" s="12" t="s">
        <v>32</v>
      </c>
      <c r="L4" s="12">
        <v>1</v>
      </c>
      <c r="M4" s="9">
        <f t="shared" ref="M4:M35" si="2">L4*10</f>
        <v>10</v>
      </c>
      <c r="N4" s="12">
        <v>10</v>
      </c>
      <c r="O4" s="17" t="s">
        <v>25</v>
      </c>
      <c r="P4" s="18" t="s">
        <v>34</v>
      </c>
      <c r="Q4" s="18">
        <f t="shared" si="1"/>
        <v>8.0289999999999999</v>
      </c>
      <c r="R4" s="12"/>
    </row>
    <row r="5" spans="1:18">
      <c r="A5" s="2"/>
      <c r="B5" s="7">
        <f t="shared" si="0"/>
        <v>3</v>
      </c>
      <c r="C5" s="8" t="s">
        <v>17</v>
      </c>
      <c r="D5" s="9" t="s">
        <v>35</v>
      </c>
      <c r="E5" s="9" t="s">
        <v>36</v>
      </c>
      <c r="F5" s="9" t="s">
        <v>20</v>
      </c>
      <c r="G5" s="9" t="s">
        <v>37</v>
      </c>
      <c r="H5" s="9" t="s">
        <v>22</v>
      </c>
      <c r="I5" s="9"/>
      <c r="J5" s="9" t="s">
        <v>38</v>
      </c>
      <c r="K5" s="9" t="s">
        <v>39</v>
      </c>
      <c r="L5" s="9">
        <v>4</v>
      </c>
      <c r="M5" s="9">
        <f t="shared" si="2"/>
        <v>40</v>
      </c>
      <c r="N5" s="9" t="s">
        <v>40</v>
      </c>
      <c r="O5" s="17" t="s">
        <v>25</v>
      </c>
      <c r="P5" s="16" t="s">
        <v>41</v>
      </c>
      <c r="Q5" s="16">
        <f t="shared" si="1"/>
        <v>0.19</v>
      </c>
      <c r="R5" s="9"/>
    </row>
    <row r="6" spans="1:18">
      <c r="A6" s="2"/>
      <c r="B6" s="10">
        <f t="shared" si="0"/>
        <v>4</v>
      </c>
      <c r="C6" s="11" t="s">
        <v>17</v>
      </c>
      <c r="D6" s="12" t="s">
        <v>42</v>
      </c>
      <c r="E6" s="12" t="s">
        <v>43</v>
      </c>
      <c r="F6" s="12" t="s">
        <v>44</v>
      </c>
      <c r="G6" s="12" t="s">
        <v>45</v>
      </c>
      <c r="H6" s="12" t="s">
        <v>22</v>
      </c>
      <c r="I6" s="12"/>
      <c r="J6" s="12" t="s">
        <v>46</v>
      </c>
      <c r="K6" s="12" t="s">
        <v>47</v>
      </c>
      <c r="L6" s="12">
        <v>1</v>
      </c>
      <c r="M6" s="9">
        <f t="shared" si="2"/>
        <v>10</v>
      </c>
      <c r="N6" s="12">
        <v>10</v>
      </c>
      <c r="O6" s="32" t="s">
        <v>25</v>
      </c>
      <c r="P6" s="18">
        <v>3.9300000000000002E-2</v>
      </c>
      <c r="Q6" s="18">
        <f t="shared" si="1"/>
        <v>0.39300000000000002</v>
      </c>
      <c r="R6" s="12"/>
    </row>
    <row r="7" spans="1:18">
      <c r="A7" s="2"/>
      <c r="B7" s="7">
        <f t="shared" si="0"/>
        <v>5</v>
      </c>
      <c r="C7" s="8" t="s">
        <v>48</v>
      </c>
      <c r="D7" s="9" t="s">
        <v>49</v>
      </c>
      <c r="E7" s="9" t="s">
        <v>50</v>
      </c>
      <c r="F7" s="9" t="s">
        <v>20</v>
      </c>
      <c r="G7" s="9" t="s">
        <v>51</v>
      </c>
      <c r="H7" s="9" t="s">
        <v>52</v>
      </c>
      <c r="I7" s="9"/>
      <c r="J7" s="9" t="s">
        <v>53</v>
      </c>
      <c r="K7" s="9" t="s">
        <v>54</v>
      </c>
      <c r="L7" s="9">
        <v>1</v>
      </c>
      <c r="M7" s="9">
        <f t="shared" si="2"/>
        <v>10</v>
      </c>
      <c r="N7" s="9" t="s">
        <v>55</v>
      </c>
      <c r="O7" s="17" t="s">
        <v>25</v>
      </c>
      <c r="P7" s="16" t="s">
        <v>56</v>
      </c>
      <c r="Q7" s="16">
        <f t="shared" si="1"/>
        <v>0.53400000000000003</v>
      </c>
      <c r="R7" s="9"/>
    </row>
    <row r="8" spans="1:18" ht="24">
      <c r="A8" s="2"/>
      <c r="B8" s="10">
        <f t="shared" si="0"/>
        <v>6</v>
      </c>
      <c r="C8" s="11" t="s">
        <v>17</v>
      </c>
      <c r="D8" s="12" t="s">
        <v>57</v>
      </c>
      <c r="E8" s="12" t="s">
        <v>58</v>
      </c>
      <c r="F8" s="12" t="s">
        <v>59</v>
      </c>
      <c r="G8" s="12" t="s">
        <v>60</v>
      </c>
      <c r="H8" s="12" t="s">
        <v>61</v>
      </c>
      <c r="I8" s="12"/>
      <c r="J8" s="12" t="s">
        <v>62</v>
      </c>
      <c r="K8" s="12" t="s">
        <v>47</v>
      </c>
      <c r="L8" s="12">
        <v>1</v>
      </c>
      <c r="M8" s="9">
        <f t="shared" si="2"/>
        <v>10</v>
      </c>
      <c r="N8" s="12">
        <v>10</v>
      </c>
      <c r="O8" s="32" t="s">
        <v>63</v>
      </c>
      <c r="P8" s="18">
        <v>0.77</v>
      </c>
      <c r="Q8" s="18">
        <f t="shared" si="1"/>
        <v>7.7</v>
      </c>
      <c r="R8" s="12"/>
    </row>
    <row r="9" spans="1:18">
      <c r="A9" s="2"/>
      <c r="B9" s="7">
        <f t="shared" si="0"/>
        <v>7</v>
      </c>
      <c r="C9" s="8" t="s">
        <v>17</v>
      </c>
      <c r="D9" s="9" t="s">
        <v>64</v>
      </c>
      <c r="E9" s="9" t="s">
        <v>65</v>
      </c>
      <c r="F9" s="9" t="s">
        <v>20</v>
      </c>
      <c r="G9" s="9" t="s">
        <v>66</v>
      </c>
      <c r="H9" s="9" t="s">
        <v>22</v>
      </c>
      <c r="I9" s="9"/>
      <c r="J9" s="9" t="s">
        <v>67</v>
      </c>
      <c r="K9" s="9" t="s">
        <v>68</v>
      </c>
      <c r="L9" s="9">
        <v>4</v>
      </c>
      <c r="M9" s="9">
        <f t="shared" si="2"/>
        <v>40</v>
      </c>
      <c r="N9" s="9" t="s">
        <v>40</v>
      </c>
      <c r="O9" s="17" t="s">
        <v>25</v>
      </c>
      <c r="P9" s="16" t="s">
        <v>69</v>
      </c>
      <c r="Q9" s="16">
        <f t="shared" si="1"/>
        <v>0.18</v>
      </c>
      <c r="R9" s="9"/>
    </row>
    <row r="10" spans="1:18">
      <c r="A10" s="2"/>
      <c r="B10" s="10">
        <f t="shared" si="0"/>
        <v>8</v>
      </c>
      <c r="C10" s="11" t="s">
        <v>17</v>
      </c>
      <c r="D10" s="12" t="s">
        <v>70</v>
      </c>
      <c r="E10" s="12" t="s">
        <v>71</v>
      </c>
      <c r="F10" s="12" t="s">
        <v>72</v>
      </c>
      <c r="G10" s="12" t="s">
        <v>73</v>
      </c>
      <c r="H10" s="12" t="s">
        <v>30</v>
      </c>
      <c r="I10" s="12"/>
      <c r="J10" s="12" t="s">
        <v>74</v>
      </c>
      <c r="K10" s="12" t="s">
        <v>75</v>
      </c>
      <c r="L10" s="12">
        <v>1</v>
      </c>
      <c r="M10" s="9">
        <f t="shared" si="2"/>
        <v>10</v>
      </c>
      <c r="N10" s="12">
        <v>10</v>
      </c>
      <c r="O10" s="17" t="s">
        <v>25</v>
      </c>
      <c r="P10" s="18" t="s">
        <v>77</v>
      </c>
      <c r="Q10" s="18">
        <f t="shared" si="1"/>
        <v>1.3420000000000001</v>
      </c>
      <c r="R10" s="12"/>
    </row>
    <row r="11" spans="1:18">
      <c r="A11" s="2"/>
      <c r="B11" s="7">
        <f t="shared" si="0"/>
        <v>9</v>
      </c>
      <c r="C11" s="8" t="s">
        <v>17</v>
      </c>
      <c r="D11" s="9" t="s">
        <v>78</v>
      </c>
      <c r="E11" s="9" t="s">
        <v>79</v>
      </c>
      <c r="F11" s="9" t="s">
        <v>44</v>
      </c>
      <c r="G11" s="9" t="s">
        <v>80</v>
      </c>
      <c r="H11" s="9" t="s">
        <v>22</v>
      </c>
      <c r="I11" s="9"/>
      <c r="J11" s="9" t="s">
        <v>81</v>
      </c>
      <c r="K11" s="9" t="s">
        <v>39</v>
      </c>
      <c r="L11" s="9">
        <v>3</v>
      </c>
      <c r="M11" s="9">
        <f t="shared" si="2"/>
        <v>30</v>
      </c>
      <c r="N11" s="9" t="s">
        <v>40</v>
      </c>
      <c r="O11" s="17" t="s">
        <v>25</v>
      </c>
      <c r="P11" s="16" t="s">
        <v>82</v>
      </c>
      <c r="Q11" s="16">
        <f t="shared" si="1"/>
        <v>0.33999999999999997</v>
      </c>
      <c r="R11" s="9"/>
    </row>
    <row r="12" spans="1:18">
      <c r="A12" s="2"/>
      <c r="B12" s="10">
        <f t="shared" si="0"/>
        <v>10</v>
      </c>
      <c r="C12" s="11" t="s">
        <v>17</v>
      </c>
      <c r="D12" s="12" t="s">
        <v>83</v>
      </c>
      <c r="E12" s="12" t="s">
        <v>84</v>
      </c>
      <c r="F12" s="12" t="s">
        <v>20</v>
      </c>
      <c r="G12" s="12" t="s">
        <v>85</v>
      </c>
      <c r="H12" s="12" t="s">
        <v>86</v>
      </c>
      <c r="I12" s="12"/>
      <c r="J12" s="12" t="s">
        <v>87</v>
      </c>
      <c r="K12" s="12" t="s">
        <v>68</v>
      </c>
      <c r="L12" s="12">
        <v>1</v>
      </c>
      <c r="M12" s="9">
        <f t="shared" si="2"/>
        <v>10</v>
      </c>
      <c r="N12" s="12">
        <v>10</v>
      </c>
      <c r="O12" s="17" t="s">
        <v>25</v>
      </c>
      <c r="P12" s="18" t="s">
        <v>88</v>
      </c>
      <c r="Q12" s="18">
        <f t="shared" si="1"/>
        <v>0.9850000000000001</v>
      </c>
      <c r="R12" s="12"/>
    </row>
    <row r="13" spans="1:18">
      <c r="A13" s="2"/>
      <c r="B13" s="7">
        <f t="shared" si="0"/>
        <v>11</v>
      </c>
      <c r="C13" s="8" t="s">
        <v>17</v>
      </c>
      <c r="D13" s="9" t="s">
        <v>89</v>
      </c>
      <c r="E13" s="9" t="s">
        <v>90</v>
      </c>
      <c r="F13" s="9" t="s">
        <v>44</v>
      </c>
      <c r="G13" s="9" t="s">
        <v>91</v>
      </c>
      <c r="H13" s="9" t="s">
        <v>22</v>
      </c>
      <c r="I13" s="9"/>
      <c r="J13" s="9" t="s">
        <v>92</v>
      </c>
      <c r="K13" s="9" t="s">
        <v>68</v>
      </c>
      <c r="L13" s="9">
        <v>1</v>
      </c>
      <c r="M13" s="9">
        <f t="shared" si="2"/>
        <v>10</v>
      </c>
      <c r="N13" s="9" t="s">
        <v>40</v>
      </c>
      <c r="O13" s="17" t="s">
        <v>25</v>
      </c>
      <c r="P13" s="16" t="s">
        <v>93</v>
      </c>
      <c r="Q13" s="16">
        <f t="shared" si="1"/>
        <v>0.31</v>
      </c>
      <c r="R13" s="9"/>
    </row>
    <row r="14" spans="1:18">
      <c r="A14" s="2"/>
      <c r="B14" s="10">
        <f t="shared" si="0"/>
        <v>12</v>
      </c>
      <c r="C14" s="11" t="s">
        <v>17</v>
      </c>
      <c r="D14" s="12" t="s">
        <v>94</v>
      </c>
      <c r="E14" s="12" t="s">
        <v>95</v>
      </c>
      <c r="F14" s="12" t="s">
        <v>44</v>
      </c>
      <c r="G14" s="12" t="s">
        <v>96</v>
      </c>
      <c r="H14" s="12" t="s">
        <v>22</v>
      </c>
      <c r="I14" s="12"/>
      <c r="J14" s="12" t="s">
        <v>97</v>
      </c>
      <c r="K14" s="12" t="s">
        <v>98</v>
      </c>
      <c r="L14" s="12">
        <v>2</v>
      </c>
      <c r="M14" s="9">
        <f t="shared" si="2"/>
        <v>20</v>
      </c>
      <c r="N14" s="12" t="s">
        <v>55</v>
      </c>
      <c r="O14" s="17" t="s">
        <v>25</v>
      </c>
      <c r="P14" s="18" t="s">
        <v>99</v>
      </c>
      <c r="Q14" s="18">
        <f t="shared" si="1"/>
        <v>0.73799999999999999</v>
      </c>
      <c r="R14" s="12"/>
    </row>
    <row r="15" spans="1:18">
      <c r="A15" s="2"/>
      <c r="B15" s="7">
        <f t="shared" si="0"/>
        <v>13</v>
      </c>
      <c r="C15" s="8" t="s">
        <v>17</v>
      </c>
      <c r="D15" s="9" t="s">
        <v>100</v>
      </c>
      <c r="E15" s="9" t="s">
        <v>101</v>
      </c>
      <c r="F15" s="9" t="s">
        <v>44</v>
      </c>
      <c r="G15" s="9" t="s">
        <v>102</v>
      </c>
      <c r="H15" s="9" t="s">
        <v>103</v>
      </c>
      <c r="I15" s="9"/>
      <c r="J15" s="9" t="s">
        <v>104</v>
      </c>
      <c r="K15" s="9" t="s">
        <v>54</v>
      </c>
      <c r="L15" s="9">
        <v>1</v>
      </c>
      <c r="M15" s="9">
        <f t="shared" si="2"/>
        <v>10</v>
      </c>
      <c r="N15" s="9" t="s">
        <v>105</v>
      </c>
      <c r="O15" s="17" t="s">
        <v>25</v>
      </c>
      <c r="P15" s="16" t="s">
        <v>106</v>
      </c>
      <c r="Q15" s="16">
        <f t="shared" si="1"/>
        <v>0.23500000000000001</v>
      </c>
      <c r="R15" s="9"/>
    </row>
    <row r="16" spans="1:18" ht="48">
      <c r="A16" s="2"/>
      <c r="B16" s="10">
        <f t="shared" si="0"/>
        <v>14</v>
      </c>
      <c r="C16" s="11" t="s">
        <v>17</v>
      </c>
      <c r="D16" s="12" t="s">
        <v>107</v>
      </c>
      <c r="E16" s="12" t="s">
        <v>108</v>
      </c>
      <c r="F16" s="12" t="s">
        <v>44</v>
      </c>
      <c r="G16" s="12" t="s">
        <v>109</v>
      </c>
      <c r="H16" s="12" t="s">
        <v>110</v>
      </c>
      <c r="I16" s="12"/>
      <c r="J16" s="12" t="s">
        <v>111</v>
      </c>
      <c r="K16" s="12" t="s">
        <v>54</v>
      </c>
      <c r="L16" s="12">
        <v>1</v>
      </c>
      <c r="M16" s="9">
        <f t="shared" si="2"/>
        <v>10</v>
      </c>
      <c r="N16" s="12" t="s">
        <v>40</v>
      </c>
      <c r="O16" s="17" t="s">
        <v>25</v>
      </c>
      <c r="P16" s="18" t="s">
        <v>112</v>
      </c>
      <c r="Q16" s="18">
        <f t="shared" si="1"/>
        <v>0.4</v>
      </c>
      <c r="R16" s="12"/>
    </row>
    <row r="17" spans="1:18" ht="24">
      <c r="A17" s="2"/>
      <c r="B17" s="7">
        <f t="shared" si="0"/>
        <v>15</v>
      </c>
      <c r="C17" s="8" t="s">
        <v>48</v>
      </c>
      <c r="D17" s="9" t="s">
        <v>113</v>
      </c>
      <c r="E17" s="9" t="s">
        <v>114</v>
      </c>
      <c r="F17" s="9" t="s">
        <v>44</v>
      </c>
      <c r="G17" s="9" t="s">
        <v>115</v>
      </c>
      <c r="H17" s="9" t="s">
        <v>103</v>
      </c>
      <c r="I17" s="9"/>
      <c r="J17" s="9" t="s">
        <v>116</v>
      </c>
      <c r="K17" s="9" t="s">
        <v>117</v>
      </c>
      <c r="L17" s="9">
        <v>2</v>
      </c>
      <c r="M17" s="9">
        <f t="shared" si="2"/>
        <v>20</v>
      </c>
      <c r="N17" s="9" t="s">
        <v>40</v>
      </c>
      <c r="O17" s="17" t="s">
        <v>25</v>
      </c>
      <c r="P17" s="16" t="s">
        <v>118</v>
      </c>
      <c r="Q17" s="16">
        <f t="shared" si="1"/>
        <v>0.43</v>
      </c>
      <c r="R17" s="9"/>
    </row>
    <row r="18" spans="1:18" ht="36">
      <c r="A18" s="2"/>
      <c r="B18" s="10">
        <f t="shared" si="0"/>
        <v>16</v>
      </c>
      <c r="C18" s="11" t="s">
        <v>119</v>
      </c>
      <c r="D18" s="12" t="s">
        <v>120</v>
      </c>
      <c r="E18" s="12" t="s">
        <v>121</v>
      </c>
      <c r="F18" s="12" t="s">
        <v>122</v>
      </c>
      <c r="G18" s="12" t="s">
        <v>123</v>
      </c>
      <c r="H18" s="12" t="s">
        <v>124</v>
      </c>
      <c r="I18" s="12"/>
      <c r="J18" s="12" t="s">
        <v>125</v>
      </c>
      <c r="K18" s="12" t="s">
        <v>62</v>
      </c>
      <c r="L18" s="12">
        <v>1</v>
      </c>
      <c r="M18" s="9">
        <f t="shared" si="2"/>
        <v>10</v>
      </c>
      <c r="N18" s="12" t="s">
        <v>55</v>
      </c>
      <c r="O18" s="17" t="s">
        <v>25</v>
      </c>
      <c r="P18" s="18" t="s">
        <v>126</v>
      </c>
      <c r="Q18" s="18">
        <f t="shared" si="1"/>
        <v>0.41000000000000003</v>
      </c>
      <c r="R18" s="12"/>
    </row>
    <row r="19" spans="1:18" ht="24">
      <c r="A19" s="2"/>
      <c r="B19" s="7">
        <f t="shared" si="0"/>
        <v>17</v>
      </c>
      <c r="C19" s="11" t="s">
        <v>119</v>
      </c>
      <c r="D19" s="9" t="s">
        <v>127</v>
      </c>
      <c r="E19" s="9" t="s">
        <v>128</v>
      </c>
      <c r="F19" s="9" t="s">
        <v>129</v>
      </c>
      <c r="G19" s="9" t="s">
        <v>130</v>
      </c>
      <c r="H19" s="9" t="s">
        <v>131</v>
      </c>
      <c r="I19" s="9"/>
      <c r="J19" s="9" t="s">
        <v>132</v>
      </c>
      <c r="K19" s="12" t="s">
        <v>62</v>
      </c>
      <c r="L19" s="9">
        <v>1</v>
      </c>
      <c r="M19" s="9">
        <f t="shared" si="2"/>
        <v>10</v>
      </c>
      <c r="N19" s="9" t="s">
        <v>55</v>
      </c>
      <c r="O19" s="17" t="s">
        <v>25</v>
      </c>
      <c r="P19" s="16" t="s">
        <v>133</v>
      </c>
      <c r="Q19" s="16">
        <f t="shared" si="1"/>
        <v>0.61</v>
      </c>
      <c r="R19" s="9"/>
    </row>
    <row r="20" spans="1:18" ht="24">
      <c r="A20" s="2"/>
      <c r="B20" s="10">
        <f t="shared" si="0"/>
        <v>18</v>
      </c>
      <c r="C20" s="11" t="s">
        <v>119</v>
      </c>
      <c r="D20" s="12" t="s">
        <v>134</v>
      </c>
      <c r="E20" s="12" t="s">
        <v>135</v>
      </c>
      <c r="F20" s="12" t="s">
        <v>129</v>
      </c>
      <c r="G20" s="12" t="s">
        <v>136</v>
      </c>
      <c r="H20" s="12" t="s">
        <v>131</v>
      </c>
      <c r="I20" s="12"/>
      <c r="J20" s="12" t="s">
        <v>137</v>
      </c>
      <c r="K20" s="12" t="s">
        <v>62</v>
      </c>
      <c r="L20" s="12">
        <v>1</v>
      </c>
      <c r="M20" s="9">
        <f t="shared" si="2"/>
        <v>10</v>
      </c>
      <c r="N20" s="12" t="s">
        <v>105</v>
      </c>
      <c r="O20" s="17" t="s">
        <v>25</v>
      </c>
      <c r="P20" s="18" t="s">
        <v>138</v>
      </c>
      <c r="Q20" s="18">
        <f t="shared" si="1"/>
        <v>0.80499999999999994</v>
      </c>
      <c r="R20" s="12"/>
    </row>
    <row r="21" spans="1:18" ht="48">
      <c r="A21" s="2"/>
      <c r="B21" s="7">
        <f t="shared" si="0"/>
        <v>19</v>
      </c>
      <c r="C21" s="8" t="s">
        <v>139</v>
      </c>
      <c r="D21" s="39" t="s">
        <v>440</v>
      </c>
      <c r="E21" s="9" t="s">
        <v>140</v>
      </c>
      <c r="F21" s="9" t="s">
        <v>141</v>
      </c>
      <c r="G21" s="9" t="s">
        <v>142</v>
      </c>
      <c r="H21" s="9" t="s">
        <v>143</v>
      </c>
      <c r="I21" s="9"/>
      <c r="J21" s="9" t="s">
        <v>144</v>
      </c>
      <c r="K21" s="12" t="s">
        <v>62</v>
      </c>
      <c r="L21" s="9">
        <v>9</v>
      </c>
      <c r="M21" s="9">
        <f t="shared" si="2"/>
        <v>90</v>
      </c>
      <c r="N21" s="9">
        <v>90</v>
      </c>
      <c r="O21" s="17" t="s">
        <v>25</v>
      </c>
      <c r="P21" s="16" t="s">
        <v>145</v>
      </c>
      <c r="Q21" s="16">
        <f t="shared" si="1"/>
        <v>0.79200000000000004</v>
      </c>
      <c r="R21" s="9"/>
    </row>
    <row r="22" spans="1:18" ht="36">
      <c r="A22" s="2"/>
      <c r="B22" s="10">
        <f t="shared" si="0"/>
        <v>20</v>
      </c>
      <c r="C22" s="11" t="s">
        <v>119</v>
      </c>
      <c r="D22" s="12" t="s">
        <v>146</v>
      </c>
      <c r="E22" s="12" t="s">
        <v>147</v>
      </c>
      <c r="F22" s="12" t="s">
        <v>148</v>
      </c>
      <c r="G22" s="12" t="s">
        <v>149</v>
      </c>
      <c r="H22" s="12" t="s">
        <v>150</v>
      </c>
      <c r="I22" s="12"/>
      <c r="J22" s="12" t="s">
        <v>151</v>
      </c>
      <c r="K22" s="12" t="s">
        <v>62</v>
      </c>
      <c r="L22" s="12">
        <v>1</v>
      </c>
      <c r="M22" s="9">
        <f t="shared" si="2"/>
        <v>10</v>
      </c>
      <c r="N22" s="12" t="s">
        <v>152</v>
      </c>
      <c r="O22" s="17" t="s">
        <v>25</v>
      </c>
      <c r="P22" s="18" t="s">
        <v>153</v>
      </c>
      <c r="Q22" s="18">
        <f t="shared" si="1"/>
        <v>0.44800000000000001</v>
      </c>
      <c r="R22" s="12"/>
    </row>
    <row r="23" spans="1:18" ht="24">
      <c r="A23" s="2"/>
      <c r="B23" s="7">
        <f t="shared" si="0"/>
        <v>21</v>
      </c>
      <c r="C23" s="8" t="s">
        <v>119</v>
      </c>
      <c r="D23" s="9" t="s">
        <v>154</v>
      </c>
      <c r="E23" s="9" t="s">
        <v>155</v>
      </c>
      <c r="F23" s="9" t="s">
        <v>156</v>
      </c>
      <c r="G23" s="9" t="s">
        <v>157</v>
      </c>
      <c r="H23" s="9" t="s">
        <v>158</v>
      </c>
      <c r="I23" s="9"/>
      <c r="J23" s="9" t="s">
        <v>159</v>
      </c>
      <c r="K23" s="12" t="s">
        <v>62</v>
      </c>
      <c r="L23" s="9">
        <v>1</v>
      </c>
      <c r="M23" s="9">
        <f t="shared" si="2"/>
        <v>10</v>
      </c>
      <c r="N23" s="9" t="s">
        <v>152</v>
      </c>
      <c r="O23" s="17" t="s">
        <v>25</v>
      </c>
      <c r="P23" s="16" t="s">
        <v>160</v>
      </c>
      <c r="Q23" s="16">
        <f t="shared" si="1"/>
        <v>0.63600000000000001</v>
      </c>
      <c r="R23" s="9"/>
    </row>
    <row r="24" spans="1:18" ht="36">
      <c r="A24" s="2"/>
      <c r="B24" s="10">
        <f t="shared" si="0"/>
        <v>22</v>
      </c>
      <c r="C24" s="11" t="s">
        <v>161</v>
      </c>
      <c r="D24" s="12" t="s">
        <v>162</v>
      </c>
      <c r="E24" s="12" t="s">
        <v>163</v>
      </c>
      <c r="F24" s="12" t="s">
        <v>164</v>
      </c>
      <c r="G24" s="12" t="s">
        <v>165</v>
      </c>
      <c r="H24" s="12" t="s">
        <v>166</v>
      </c>
      <c r="I24" s="12"/>
      <c r="J24" s="12" t="s">
        <v>165</v>
      </c>
      <c r="K24" s="12" t="s">
        <v>62</v>
      </c>
      <c r="L24" s="12">
        <v>1</v>
      </c>
      <c r="M24" s="9">
        <f t="shared" si="2"/>
        <v>10</v>
      </c>
      <c r="N24" s="12" t="s">
        <v>167</v>
      </c>
      <c r="O24" s="17" t="s">
        <v>25</v>
      </c>
      <c r="P24" s="18" t="s">
        <v>168</v>
      </c>
      <c r="Q24" s="18">
        <f t="shared" si="1"/>
        <v>0.86280000000000001</v>
      </c>
      <c r="R24" s="12"/>
    </row>
    <row r="25" spans="1:18" ht="24">
      <c r="A25" s="2"/>
      <c r="B25" s="7">
        <f t="shared" si="0"/>
        <v>23</v>
      </c>
      <c r="C25" s="8" t="s">
        <v>169</v>
      </c>
      <c r="D25" s="9" t="s">
        <v>170</v>
      </c>
      <c r="E25" s="9" t="s">
        <v>171</v>
      </c>
      <c r="F25" s="9" t="s">
        <v>172</v>
      </c>
      <c r="G25" s="9" t="s">
        <v>173</v>
      </c>
      <c r="H25" s="9" t="s">
        <v>174</v>
      </c>
      <c r="I25" s="9"/>
      <c r="J25" s="9" t="s">
        <v>175</v>
      </c>
      <c r="K25" s="12" t="s">
        <v>62</v>
      </c>
      <c r="L25" s="9">
        <v>1</v>
      </c>
      <c r="M25" s="9">
        <f t="shared" si="2"/>
        <v>10</v>
      </c>
      <c r="N25" s="9">
        <v>10</v>
      </c>
      <c r="O25" s="15" t="s">
        <v>25</v>
      </c>
      <c r="P25" s="16">
        <v>0.17399999999999999</v>
      </c>
      <c r="Q25" s="16">
        <f t="shared" si="1"/>
        <v>1.7399999999999998</v>
      </c>
      <c r="R25" s="9"/>
    </row>
    <row r="26" spans="1:18" ht="84">
      <c r="A26" s="2"/>
      <c r="B26" s="10">
        <f t="shared" si="0"/>
        <v>24</v>
      </c>
      <c r="C26" s="11" t="s">
        <v>176</v>
      </c>
      <c r="D26" s="12" t="s">
        <v>177</v>
      </c>
      <c r="E26" s="12" t="s">
        <v>178</v>
      </c>
      <c r="F26" s="12" t="s">
        <v>179</v>
      </c>
      <c r="G26" s="12" t="s">
        <v>179</v>
      </c>
      <c r="H26" s="12" t="s">
        <v>180</v>
      </c>
      <c r="I26" s="12"/>
      <c r="J26" s="12" t="s">
        <v>181</v>
      </c>
      <c r="K26" s="12" t="s">
        <v>62</v>
      </c>
      <c r="L26" s="12">
        <v>1</v>
      </c>
      <c r="M26" s="9">
        <f t="shared" si="2"/>
        <v>10</v>
      </c>
      <c r="N26" s="12">
        <v>10</v>
      </c>
      <c r="O26" s="33" t="s">
        <v>25</v>
      </c>
      <c r="P26" s="18">
        <v>0.1187</v>
      </c>
      <c r="Q26" s="18">
        <f t="shared" si="1"/>
        <v>1.1870000000000001</v>
      </c>
      <c r="R26" s="12"/>
    </row>
    <row r="27" spans="1:18" ht="72">
      <c r="A27" s="2"/>
      <c r="B27" s="7">
        <f t="shared" si="0"/>
        <v>25</v>
      </c>
      <c r="C27" s="8" t="s">
        <v>182</v>
      </c>
      <c r="D27" s="9" t="s">
        <v>183</v>
      </c>
      <c r="E27" s="9" t="s">
        <v>184</v>
      </c>
      <c r="F27" s="9" t="s">
        <v>185</v>
      </c>
      <c r="G27" s="9" t="s">
        <v>185</v>
      </c>
      <c r="H27" s="9" t="s">
        <v>186</v>
      </c>
      <c r="I27" s="9"/>
      <c r="J27" s="9" t="s">
        <v>187</v>
      </c>
      <c r="K27" s="12" t="s">
        <v>62</v>
      </c>
      <c r="L27" s="9">
        <v>1</v>
      </c>
      <c r="M27" s="9">
        <f t="shared" si="2"/>
        <v>10</v>
      </c>
      <c r="N27" s="9">
        <v>10</v>
      </c>
      <c r="O27" s="15" t="s">
        <v>25</v>
      </c>
      <c r="P27" s="16">
        <v>0.1706</v>
      </c>
      <c r="Q27" s="16">
        <f t="shared" si="1"/>
        <v>1.706</v>
      </c>
      <c r="R27" s="9"/>
    </row>
    <row r="28" spans="1:18" ht="24">
      <c r="A28" s="2"/>
      <c r="B28" s="10">
        <f t="shared" si="0"/>
        <v>26</v>
      </c>
      <c r="C28" s="11" t="s">
        <v>188</v>
      </c>
      <c r="D28" s="12" t="s">
        <v>189</v>
      </c>
      <c r="E28" s="12" t="s">
        <v>190</v>
      </c>
      <c r="F28" s="12" t="s">
        <v>191</v>
      </c>
      <c r="G28" s="12" t="s">
        <v>191</v>
      </c>
      <c r="H28" s="12" t="s">
        <v>192</v>
      </c>
      <c r="I28" s="12"/>
      <c r="J28" s="12" t="s">
        <v>62</v>
      </c>
      <c r="K28" s="12" t="s">
        <v>193</v>
      </c>
      <c r="L28" s="12">
        <v>1</v>
      </c>
      <c r="M28" s="9">
        <f t="shared" si="2"/>
        <v>10</v>
      </c>
      <c r="N28" s="9">
        <v>10</v>
      </c>
      <c r="O28" s="33" t="s">
        <v>63</v>
      </c>
      <c r="P28" s="18">
        <v>0.69</v>
      </c>
      <c r="Q28" s="18">
        <f t="shared" si="1"/>
        <v>6.8999999999999995</v>
      </c>
      <c r="R28" s="12"/>
    </row>
    <row r="29" spans="1:18" ht="36">
      <c r="A29" s="2"/>
      <c r="B29" s="7">
        <f t="shared" si="0"/>
        <v>27</v>
      </c>
      <c r="C29" s="8" t="s">
        <v>194</v>
      </c>
      <c r="D29" s="9" t="s">
        <v>195</v>
      </c>
      <c r="E29" s="9" t="s">
        <v>196</v>
      </c>
      <c r="F29" s="9" t="s">
        <v>197</v>
      </c>
      <c r="G29" s="9" t="s">
        <v>198</v>
      </c>
      <c r="H29" s="9" t="s">
        <v>199</v>
      </c>
      <c r="I29" s="9"/>
      <c r="J29" s="9" t="s">
        <v>200</v>
      </c>
      <c r="K29" s="9" t="s">
        <v>62</v>
      </c>
      <c r="L29" s="9">
        <v>1</v>
      </c>
      <c r="M29" s="9">
        <f t="shared" si="2"/>
        <v>10</v>
      </c>
      <c r="N29" s="9">
        <v>10</v>
      </c>
      <c r="O29" s="33" t="s">
        <v>25</v>
      </c>
      <c r="P29" s="16" t="s">
        <v>201</v>
      </c>
      <c r="Q29" s="16">
        <f t="shared" si="1"/>
        <v>0.97799999999999998</v>
      </c>
      <c r="R29" s="9"/>
    </row>
    <row r="30" spans="1:18" ht="36">
      <c r="A30" s="2"/>
      <c r="B30" s="10">
        <f t="shared" si="0"/>
        <v>28</v>
      </c>
      <c r="C30" s="11" t="s">
        <v>202</v>
      </c>
      <c r="D30" s="12" t="s">
        <v>203</v>
      </c>
      <c r="E30" s="12" t="s">
        <v>204</v>
      </c>
      <c r="F30" s="12" t="s">
        <v>205</v>
      </c>
      <c r="G30" s="12" t="s">
        <v>206</v>
      </c>
      <c r="H30" s="12" t="s">
        <v>207</v>
      </c>
      <c r="I30" s="12"/>
      <c r="J30" s="12" t="s">
        <v>208</v>
      </c>
      <c r="K30" s="9" t="s">
        <v>62</v>
      </c>
      <c r="L30" s="12">
        <v>1</v>
      </c>
      <c r="M30" s="9">
        <f t="shared" si="2"/>
        <v>10</v>
      </c>
      <c r="N30" s="9">
        <v>10</v>
      </c>
      <c r="O30" s="33" t="s">
        <v>25</v>
      </c>
      <c r="P30" s="18" t="s">
        <v>209</v>
      </c>
      <c r="Q30" s="18">
        <f t="shared" si="1"/>
        <v>3.35</v>
      </c>
      <c r="R30" s="12"/>
    </row>
    <row r="31" spans="1:18" ht="24">
      <c r="A31" s="2"/>
      <c r="B31" s="7">
        <f t="shared" si="0"/>
        <v>29</v>
      </c>
      <c r="C31" s="8" t="s">
        <v>210</v>
      </c>
      <c r="D31" s="13" t="s">
        <v>211</v>
      </c>
      <c r="E31" s="14" t="s">
        <v>212</v>
      </c>
      <c r="F31" s="13" t="s">
        <v>213</v>
      </c>
      <c r="G31" s="13" t="s">
        <v>213</v>
      </c>
      <c r="H31" s="13" t="s">
        <v>62</v>
      </c>
      <c r="I31" s="22" t="s">
        <v>62</v>
      </c>
      <c r="J31" s="13" t="s">
        <v>62</v>
      </c>
      <c r="K31" s="9" t="s">
        <v>62</v>
      </c>
      <c r="L31" s="13">
        <v>5</v>
      </c>
      <c r="M31" s="9">
        <f t="shared" si="2"/>
        <v>50</v>
      </c>
      <c r="N31" s="13" t="s">
        <v>62</v>
      </c>
      <c r="O31" s="13" t="s">
        <v>62</v>
      </c>
      <c r="P31" s="13" t="s">
        <v>62</v>
      </c>
      <c r="Q31" s="25" t="s">
        <v>62</v>
      </c>
      <c r="R31" s="26" t="s">
        <v>214</v>
      </c>
    </row>
    <row r="32" spans="1:18" ht="36">
      <c r="A32" s="2"/>
      <c r="B32" s="10">
        <f t="shared" si="0"/>
        <v>30</v>
      </c>
      <c r="C32" s="11" t="s">
        <v>215</v>
      </c>
      <c r="D32" s="12" t="s">
        <v>216</v>
      </c>
      <c r="E32" s="12" t="s">
        <v>217</v>
      </c>
      <c r="F32" s="12" t="s">
        <v>218</v>
      </c>
      <c r="G32" s="12" t="s">
        <v>219</v>
      </c>
      <c r="H32" s="12" t="s">
        <v>220</v>
      </c>
      <c r="I32" s="12"/>
      <c r="J32" s="12" t="s">
        <v>221</v>
      </c>
      <c r="K32" s="9" t="s">
        <v>62</v>
      </c>
      <c r="L32" s="12">
        <v>2</v>
      </c>
      <c r="M32" s="9">
        <f t="shared" si="2"/>
        <v>20</v>
      </c>
      <c r="N32" s="12" t="s">
        <v>105</v>
      </c>
      <c r="O32" s="24" t="s">
        <v>25</v>
      </c>
      <c r="P32" s="18" t="s">
        <v>222</v>
      </c>
      <c r="Q32" s="18">
        <f t="shared" ref="Q32:Q40" si="3">P32*N32</f>
        <v>0.75</v>
      </c>
      <c r="R32" s="12"/>
    </row>
    <row r="33" spans="1:18" ht="36">
      <c r="A33" s="2"/>
      <c r="B33" s="7">
        <f t="shared" si="0"/>
        <v>31</v>
      </c>
      <c r="C33" s="8" t="s">
        <v>215</v>
      </c>
      <c r="D33" s="9" t="s">
        <v>223</v>
      </c>
      <c r="E33" s="9" t="s">
        <v>224</v>
      </c>
      <c r="F33" s="9" t="s">
        <v>225</v>
      </c>
      <c r="G33" s="9" t="s">
        <v>226</v>
      </c>
      <c r="H33" s="9" t="s">
        <v>227</v>
      </c>
      <c r="I33" s="9"/>
      <c r="J33" s="9" t="s">
        <v>228</v>
      </c>
      <c r="K33" s="9" t="s">
        <v>62</v>
      </c>
      <c r="L33" s="9">
        <v>1</v>
      </c>
      <c r="M33" s="9">
        <f t="shared" si="2"/>
        <v>10</v>
      </c>
      <c r="N33" s="9" t="s">
        <v>152</v>
      </c>
      <c r="O33" s="24" t="s">
        <v>25</v>
      </c>
      <c r="P33" s="16" t="s">
        <v>229</v>
      </c>
      <c r="Q33" s="16">
        <f t="shared" si="3"/>
        <v>0.51800000000000002</v>
      </c>
      <c r="R33" s="9"/>
    </row>
    <row r="34" spans="1:18" ht="24">
      <c r="A34" s="2"/>
      <c r="B34" s="10">
        <f t="shared" si="0"/>
        <v>32</v>
      </c>
      <c r="C34" s="11" t="s">
        <v>230</v>
      </c>
      <c r="D34" s="12" t="s">
        <v>231</v>
      </c>
      <c r="E34" s="12" t="s">
        <v>232</v>
      </c>
      <c r="F34" s="12" t="s">
        <v>233</v>
      </c>
      <c r="G34" s="12" t="s">
        <v>234</v>
      </c>
      <c r="H34" s="12" t="s">
        <v>158</v>
      </c>
      <c r="I34" s="12"/>
      <c r="J34" s="12" t="s">
        <v>235</v>
      </c>
      <c r="K34" s="9" t="s">
        <v>62</v>
      </c>
      <c r="L34" s="12">
        <v>1</v>
      </c>
      <c r="M34" s="9">
        <f t="shared" si="2"/>
        <v>10</v>
      </c>
      <c r="N34" s="12" t="s">
        <v>105</v>
      </c>
      <c r="O34" s="24" t="s">
        <v>25</v>
      </c>
      <c r="P34" s="18" t="s">
        <v>236</v>
      </c>
      <c r="Q34" s="18">
        <f t="shared" si="3"/>
        <v>0.48</v>
      </c>
      <c r="R34" s="12"/>
    </row>
    <row r="35" spans="1:18">
      <c r="A35" s="2"/>
      <c r="B35" s="7">
        <f t="shared" ref="B35:B68" si="4">ROW(B35)-ROW($B$2)</f>
        <v>33</v>
      </c>
      <c r="C35" s="8" t="s">
        <v>237</v>
      </c>
      <c r="D35" s="9" t="s">
        <v>238</v>
      </c>
      <c r="E35" s="9" t="s">
        <v>239</v>
      </c>
      <c r="F35" s="9" t="s">
        <v>240</v>
      </c>
      <c r="G35" s="9" t="s">
        <v>241</v>
      </c>
      <c r="H35" s="9" t="s">
        <v>22</v>
      </c>
      <c r="I35" s="9"/>
      <c r="J35" s="9" t="s">
        <v>242</v>
      </c>
      <c r="K35" s="9" t="s">
        <v>243</v>
      </c>
      <c r="L35" s="9">
        <v>4</v>
      </c>
      <c r="M35" s="9">
        <f t="shared" si="2"/>
        <v>40</v>
      </c>
      <c r="N35" s="9" t="s">
        <v>40</v>
      </c>
      <c r="O35" s="24" t="s">
        <v>25</v>
      </c>
      <c r="P35" s="16" t="s">
        <v>244</v>
      </c>
      <c r="Q35" s="16">
        <f t="shared" si="3"/>
        <v>0.06</v>
      </c>
      <c r="R35" s="9"/>
    </row>
    <row r="36" spans="1:18">
      <c r="A36" s="2"/>
      <c r="B36" s="10">
        <f t="shared" si="4"/>
        <v>34</v>
      </c>
      <c r="C36" s="11" t="s">
        <v>237</v>
      </c>
      <c r="D36" s="12" t="s">
        <v>245</v>
      </c>
      <c r="E36" s="12" t="s">
        <v>246</v>
      </c>
      <c r="F36" s="12" t="s">
        <v>247</v>
      </c>
      <c r="G36" s="12" t="s">
        <v>248</v>
      </c>
      <c r="H36" s="9" t="s">
        <v>22</v>
      </c>
      <c r="I36" s="12"/>
      <c r="J36" s="12" t="s">
        <v>249</v>
      </c>
      <c r="K36" s="12" t="s">
        <v>243</v>
      </c>
      <c r="L36" s="12">
        <v>2</v>
      </c>
      <c r="M36" s="9">
        <f t="shared" ref="M36:M68" si="5">L36*10</f>
        <v>20</v>
      </c>
      <c r="N36" s="12" t="s">
        <v>55</v>
      </c>
      <c r="O36" s="24" t="s">
        <v>25</v>
      </c>
      <c r="P36" s="18" t="s">
        <v>250</v>
      </c>
      <c r="Q36" s="18">
        <f t="shared" si="3"/>
        <v>0.56000000000000005</v>
      </c>
      <c r="R36" s="12"/>
    </row>
    <row r="37" spans="1:18" ht="36">
      <c r="A37" s="2"/>
      <c r="B37" s="7">
        <f t="shared" si="4"/>
        <v>35</v>
      </c>
      <c r="C37" s="8" t="s">
        <v>237</v>
      </c>
      <c r="D37" s="9" t="s">
        <v>251</v>
      </c>
      <c r="E37" s="9" t="s">
        <v>252</v>
      </c>
      <c r="F37" s="9" t="s">
        <v>247</v>
      </c>
      <c r="G37" s="9" t="s">
        <v>253</v>
      </c>
      <c r="H37" s="9" t="s">
        <v>22</v>
      </c>
      <c r="I37" s="9"/>
      <c r="J37" s="9" t="s">
        <v>254</v>
      </c>
      <c r="K37" s="9" t="s">
        <v>255</v>
      </c>
      <c r="L37" s="9">
        <v>10</v>
      </c>
      <c r="M37" s="9">
        <f t="shared" si="5"/>
        <v>100</v>
      </c>
      <c r="N37" s="9" t="s">
        <v>40</v>
      </c>
      <c r="O37" s="24" t="s">
        <v>25</v>
      </c>
      <c r="P37" s="16" t="s">
        <v>256</v>
      </c>
      <c r="Q37" s="16">
        <f t="shared" si="3"/>
        <v>0.11</v>
      </c>
      <c r="R37" s="9"/>
    </row>
    <row r="38" spans="1:18">
      <c r="A38" s="2"/>
      <c r="B38" s="10">
        <f t="shared" si="4"/>
        <v>36</v>
      </c>
      <c r="C38" s="11" t="s">
        <v>237</v>
      </c>
      <c r="D38" s="12" t="s">
        <v>257</v>
      </c>
      <c r="E38" s="12" t="s">
        <v>258</v>
      </c>
      <c r="F38" s="12" t="s">
        <v>247</v>
      </c>
      <c r="G38" s="12" t="s">
        <v>259</v>
      </c>
      <c r="H38" s="12" t="s">
        <v>22</v>
      </c>
      <c r="I38" s="12"/>
      <c r="J38" s="12" t="s">
        <v>260</v>
      </c>
      <c r="K38" s="12" t="s">
        <v>261</v>
      </c>
      <c r="L38" s="12">
        <v>3</v>
      </c>
      <c r="M38" s="9">
        <f t="shared" si="5"/>
        <v>30</v>
      </c>
      <c r="N38" s="12" t="s">
        <v>40</v>
      </c>
      <c r="O38" s="24" t="s">
        <v>25</v>
      </c>
      <c r="P38" s="18" t="s">
        <v>262</v>
      </c>
      <c r="Q38" s="18">
        <f t="shared" si="3"/>
        <v>0.12</v>
      </c>
      <c r="R38" s="12"/>
    </row>
    <row r="39" spans="1:18" ht="24">
      <c r="A39" s="2"/>
      <c r="B39" s="7">
        <f t="shared" si="4"/>
        <v>37</v>
      </c>
      <c r="C39" s="8" t="s">
        <v>237</v>
      </c>
      <c r="D39" s="9" t="s">
        <v>263</v>
      </c>
      <c r="E39" s="9" t="s">
        <v>264</v>
      </c>
      <c r="F39" s="9" t="s">
        <v>247</v>
      </c>
      <c r="G39" s="9" t="s">
        <v>265</v>
      </c>
      <c r="H39" s="9" t="s">
        <v>22</v>
      </c>
      <c r="I39" s="9"/>
      <c r="J39" s="9" t="s">
        <v>266</v>
      </c>
      <c r="K39" s="9" t="s">
        <v>243</v>
      </c>
      <c r="L39" s="9">
        <v>6</v>
      </c>
      <c r="M39" s="9">
        <f t="shared" si="5"/>
        <v>60</v>
      </c>
      <c r="N39" s="9" t="s">
        <v>40</v>
      </c>
      <c r="O39" s="24" t="s">
        <v>25</v>
      </c>
      <c r="P39" s="16" t="s">
        <v>256</v>
      </c>
      <c r="Q39" s="16">
        <f t="shared" si="3"/>
        <v>0.11</v>
      </c>
      <c r="R39" s="9"/>
    </row>
    <row r="40" spans="1:18" ht="48">
      <c r="A40" s="2"/>
      <c r="B40" s="10">
        <f t="shared" si="4"/>
        <v>38</v>
      </c>
      <c r="C40" s="11" t="s">
        <v>237</v>
      </c>
      <c r="D40" s="12" t="s">
        <v>267</v>
      </c>
      <c r="E40" s="12" t="s">
        <v>268</v>
      </c>
      <c r="F40" s="12" t="s">
        <v>269</v>
      </c>
      <c r="G40" s="12" t="s">
        <v>270</v>
      </c>
      <c r="H40" s="12" t="s">
        <v>271</v>
      </c>
      <c r="I40" s="12"/>
      <c r="J40" s="12" t="s">
        <v>272</v>
      </c>
      <c r="K40" s="12" t="s">
        <v>273</v>
      </c>
      <c r="L40" s="12">
        <v>1</v>
      </c>
      <c r="M40" s="9">
        <f t="shared" si="5"/>
        <v>10</v>
      </c>
      <c r="N40" s="12" t="s">
        <v>40</v>
      </c>
      <c r="O40" s="24" t="s">
        <v>25</v>
      </c>
      <c r="P40" s="18" t="s">
        <v>274</v>
      </c>
      <c r="Q40" s="18">
        <f t="shared" si="3"/>
        <v>0.21</v>
      </c>
      <c r="R40" s="12"/>
    </row>
    <row r="41" spans="1:18" ht="24">
      <c r="A41" s="2"/>
      <c r="B41" s="7">
        <f t="shared" si="4"/>
        <v>39</v>
      </c>
      <c r="C41" s="8" t="s">
        <v>237</v>
      </c>
      <c r="D41" s="13" t="s">
        <v>275</v>
      </c>
      <c r="E41" s="13" t="s">
        <v>258</v>
      </c>
      <c r="F41" s="13" t="s">
        <v>247</v>
      </c>
      <c r="G41" s="13" t="s">
        <v>259</v>
      </c>
      <c r="H41" s="13" t="s">
        <v>22</v>
      </c>
      <c r="I41" s="13"/>
      <c r="J41" s="13" t="s">
        <v>260</v>
      </c>
      <c r="K41" s="13" t="s">
        <v>276</v>
      </c>
      <c r="L41" s="13">
        <v>2</v>
      </c>
      <c r="M41" s="9">
        <f t="shared" si="5"/>
        <v>20</v>
      </c>
      <c r="N41" s="13" t="s">
        <v>40</v>
      </c>
      <c r="O41" s="24" t="s">
        <v>25</v>
      </c>
      <c r="P41" s="25" t="s">
        <v>62</v>
      </c>
      <c r="Q41" s="25" t="s">
        <v>62</v>
      </c>
      <c r="R41" s="26" t="s">
        <v>214</v>
      </c>
    </row>
    <row r="42" spans="1:18">
      <c r="A42" s="2"/>
      <c r="B42" s="10">
        <f t="shared" si="4"/>
        <v>40</v>
      </c>
      <c r="C42" s="11" t="s">
        <v>237</v>
      </c>
      <c r="D42" s="12" t="s">
        <v>277</v>
      </c>
      <c r="E42" s="12" t="s">
        <v>278</v>
      </c>
      <c r="F42" s="12" t="s">
        <v>240</v>
      </c>
      <c r="G42" s="12" t="s">
        <v>279</v>
      </c>
      <c r="H42" s="12" t="s">
        <v>22</v>
      </c>
      <c r="I42" s="12"/>
      <c r="J42" s="12" t="s">
        <v>280</v>
      </c>
      <c r="K42" s="12" t="s">
        <v>281</v>
      </c>
      <c r="L42" s="12">
        <v>1</v>
      </c>
      <c r="M42" s="9">
        <f t="shared" si="5"/>
        <v>10</v>
      </c>
      <c r="N42" s="12" t="s">
        <v>40</v>
      </c>
      <c r="O42" s="24" t="s">
        <v>25</v>
      </c>
      <c r="P42" s="18" t="s">
        <v>282</v>
      </c>
      <c r="Q42" s="18">
        <f t="shared" ref="Q42:Q54" si="6">P42*N42</f>
        <v>6.9999999999999993E-2</v>
      </c>
      <c r="R42" s="12"/>
    </row>
    <row r="43" spans="1:18">
      <c r="A43" s="2"/>
      <c r="B43" s="7">
        <f t="shared" si="4"/>
        <v>41</v>
      </c>
      <c r="C43" s="8" t="s">
        <v>237</v>
      </c>
      <c r="D43" s="9" t="s">
        <v>283</v>
      </c>
      <c r="E43" s="9" t="s">
        <v>284</v>
      </c>
      <c r="F43" s="9" t="s">
        <v>240</v>
      </c>
      <c r="G43" s="9" t="s">
        <v>285</v>
      </c>
      <c r="H43" s="9" t="s">
        <v>22</v>
      </c>
      <c r="I43" s="9"/>
      <c r="J43" s="9" t="s">
        <v>286</v>
      </c>
      <c r="K43" s="9" t="s">
        <v>287</v>
      </c>
      <c r="L43" s="9">
        <v>1</v>
      </c>
      <c r="M43" s="9">
        <f t="shared" si="5"/>
        <v>10</v>
      </c>
      <c r="N43" s="9" t="s">
        <v>40</v>
      </c>
      <c r="O43" s="24" t="s">
        <v>25</v>
      </c>
      <c r="P43" s="16" t="s">
        <v>282</v>
      </c>
      <c r="Q43" s="16">
        <f t="shared" si="6"/>
        <v>6.9999999999999993E-2</v>
      </c>
      <c r="R43" s="9"/>
    </row>
    <row r="44" spans="1:18" ht="24">
      <c r="A44" s="2"/>
      <c r="B44" s="10">
        <f t="shared" si="4"/>
        <v>42</v>
      </c>
      <c r="C44" s="11" t="s">
        <v>288</v>
      </c>
      <c r="D44" s="12" t="s">
        <v>289</v>
      </c>
      <c r="E44" s="12" t="s">
        <v>290</v>
      </c>
      <c r="F44" s="12" t="s">
        <v>240</v>
      </c>
      <c r="G44" s="12" t="s">
        <v>291</v>
      </c>
      <c r="H44" s="12" t="s">
        <v>22</v>
      </c>
      <c r="I44" s="12"/>
      <c r="J44" s="12" t="s">
        <v>292</v>
      </c>
      <c r="K44" s="12" t="s">
        <v>255</v>
      </c>
      <c r="L44" s="12">
        <v>1</v>
      </c>
      <c r="M44" s="9">
        <f t="shared" si="5"/>
        <v>10</v>
      </c>
      <c r="N44" s="12" t="s">
        <v>40</v>
      </c>
      <c r="O44" s="24" t="s">
        <v>25</v>
      </c>
      <c r="P44" s="18" t="s">
        <v>244</v>
      </c>
      <c r="Q44" s="18">
        <f t="shared" si="6"/>
        <v>0.06</v>
      </c>
      <c r="R44" s="12"/>
    </row>
    <row r="45" spans="1:18">
      <c r="A45" s="2"/>
      <c r="B45" s="7">
        <f t="shared" si="4"/>
        <v>43</v>
      </c>
      <c r="C45" s="8" t="s">
        <v>237</v>
      </c>
      <c r="D45" s="9" t="s">
        <v>293</v>
      </c>
      <c r="E45" s="9" t="s">
        <v>294</v>
      </c>
      <c r="F45" s="9" t="s">
        <v>240</v>
      </c>
      <c r="G45" s="9" t="s">
        <v>295</v>
      </c>
      <c r="H45" s="9" t="s">
        <v>22</v>
      </c>
      <c r="I45" s="9"/>
      <c r="J45" s="9" t="s">
        <v>296</v>
      </c>
      <c r="K45" s="9" t="s">
        <v>297</v>
      </c>
      <c r="L45" s="9">
        <v>2</v>
      </c>
      <c r="M45" s="9">
        <f t="shared" si="5"/>
        <v>20</v>
      </c>
      <c r="N45" s="9" t="s">
        <v>40</v>
      </c>
      <c r="O45" s="24" t="s">
        <v>25</v>
      </c>
      <c r="P45" s="16" t="s">
        <v>244</v>
      </c>
      <c r="Q45" s="16">
        <f t="shared" si="6"/>
        <v>0.06</v>
      </c>
      <c r="R45" s="9"/>
    </row>
    <row r="46" spans="1:18">
      <c r="A46" s="2"/>
      <c r="B46" s="10">
        <f t="shared" si="4"/>
        <v>44</v>
      </c>
      <c r="C46" s="11" t="s">
        <v>237</v>
      </c>
      <c r="D46" s="12" t="s">
        <v>298</v>
      </c>
      <c r="E46" s="12" t="s">
        <v>299</v>
      </c>
      <c r="F46" s="12" t="s">
        <v>240</v>
      </c>
      <c r="G46" s="12" t="s">
        <v>300</v>
      </c>
      <c r="H46" s="12" t="s">
        <v>22</v>
      </c>
      <c r="I46" s="12"/>
      <c r="J46" s="12" t="s">
        <v>301</v>
      </c>
      <c r="K46" s="12" t="s">
        <v>302</v>
      </c>
      <c r="L46" s="12">
        <v>2</v>
      </c>
      <c r="M46" s="9">
        <f t="shared" si="5"/>
        <v>20</v>
      </c>
      <c r="N46" s="12" t="s">
        <v>40</v>
      </c>
      <c r="O46" s="24" t="s">
        <v>25</v>
      </c>
      <c r="P46" s="18" t="s">
        <v>282</v>
      </c>
      <c r="Q46" s="18">
        <f t="shared" si="6"/>
        <v>6.9999999999999993E-2</v>
      </c>
      <c r="R46" s="12"/>
    </row>
    <row r="47" spans="1:18" ht="24">
      <c r="A47" s="2"/>
      <c r="B47" s="7">
        <f t="shared" si="4"/>
        <v>45</v>
      </c>
      <c r="C47" s="8" t="s">
        <v>237</v>
      </c>
      <c r="D47" s="9" t="s">
        <v>303</v>
      </c>
      <c r="E47" s="9" t="s">
        <v>304</v>
      </c>
      <c r="F47" s="9" t="s">
        <v>240</v>
      </c>
      <c r="G47" s="9" t="s">
        <v>305</v>
      </c>
      <c r="H47" s="9" t="s">
        <v>22</v>
      </c>
      <c r="I47" s="9"/>
      <c r="J47" s="9" t="s">
        <v>306</v>
      </c>
      <c r="K47" s="9" t="s">
        <v>307</v>
      </c>
      <c r="L47" s="9">
        <v>5</v>
      </c>
      <c r="M47" s="9">
        <f t="shared" si="5"/>
        <v>50</v>
      </c>
      <c r="N47" s="9" t="s">
        <v>40</v>
      </c>
      <c r="O47" s="24" t="s">
        <v>25</v>
      </c>
      <c r="P47" s="16" t="s">
        <v>282</v>
      </c>
      <c r="Q47" s="16">
        <f t="shared" si="6"/>
        <v>6.9999999999999993E-2</v>
      </c>
      <c r="R47" s="9"/>
    </row>
    <row r="48" spans="1:18">
      <c r="A48" s="2"/>
      <c r="B48" s="10">
        <f t="shared" si="4"/>
        <v>46</v>
      </c>
      <c r="C48" s="11" t="s">
        <v>237</v>
      </c>
      <c r="D48" s="12" t="s">
        <v>308</v>
      </c>
      <c r="E48" s="12" t="s">
        <v>309</v>
      </c>
      <c r="F48" s="12" t="s">
        <v>247</v>
      </c>
      <c r="G48" s="12" t="s">
        <v>310</v>
      </c>
      <c r="H48" s="12" t="s">
        <v>22</v>
      </c>
      <c r="I48" s="12"/>
      <c r="J48" s="12" t="s">
        <v>311</v>
      </c>
      <c r="K48" s="12" t="s">
        <v>312</v>
      </c>
      <c r="L48" s="12">
        <v>1</v>
      </c>
      <c r="M48" s="9">
        <f t="shared" si="5"/>
        <v>10</v>
      </c>
      <c r="N48" s="12" t="s">
        <v>40</v>
      </c>
      <c r="O48" s="24" t="s">
        <v>25</v>
      </c>
      <c r="P48" s="18" t="s">
        <v>262</v>
      </c>
      <c r="Q48" s="18">
        <f t="shared" si="6"/>
        <v>0.12</v>
      </c>
      <c r="R48" s="12"/>
    </row>
    <row r="49" spans="1:18" ht="24">
      <c r="A49" s="2"/>
      <c r="B49" s="7">
        <f t="shared" si="4"/>
        <v>47</v>
      </c>
      <c r="C49" s="8" t="s">
        <v>237</v>
      </c>
      <c r="D49" s="9" t="s">
        <v>313</v>
      </c>
      <c r="E49" s="9" t="s">
        <v>314</v>
      </c>
      <c r="F49" s="9" t="s">
        <v>247</v>
      </c>
      <c r="G49" s="9" t="s">
        <v>315</v>
      </c>
      <c r="H49" s="9" t="s">
        <v>22</v>
      </c>
      <c r="I49" s="9"/>
      <c r="J49" s="9" t="s">
        <v>316</v>
      </c>
      <c r="K49" s="9" t="s">
        <v>317</v>
      </c>
      <c r="L49" s="9">
        <v>1</v>
      </c>
      <c r="M49" s="9">
        <f t="shared" si="5"/>
        <v>10</v>
      </c>
      <c r="N49" s="9" t="s">
        <v>40</v>
      </c>
      <c r="O49" s="24" t="s">
        <v>25</v>
      </c>
      <c r="P49" s="16" t="s">
        <v>318</v>
      </c>
      <c r="Q49" s="16">
        <f t="shared" si="6"/>
        <v>0.53</v>
      </c>
      <c r="R49" s="9"/>
    </row>
    <row r="50" spans="1:18">
      <c r="A50" s="2"/>
      <c r="B50" s="10">
        <f t="shared" si="4"/>
        <v>48</v>
      </c>
      <c r="C50" s="11" t="s">
        <v>237</v>
      </c>
      <c r="D50" s="12" t="s">
        <v>319</v>
      </c>
      <c r="E50" s="12" t="s">
        <v>246</v>
      </c>
      <c r="F50" s="12" t="s">
        <v>247</v>
      </c>
      <c r="G50" s="12" t="s">
        <v>248</v>
      </c>
      <c r="H50" s="12" t="s">
        <v>320</v>
      </c>
      <c r="I50" s="12"/>
      <c r="J50" s="12" t="s">
        <v>249</v>
      </c>
      <c r="K50" s="12" t="s">
        <v>243</v>
      </c>
      <c r="L50" s="12">
        <v>4</v>
      </c>
      <c r="M50" s="9">
        <f t="shared" si="5"/>
        <v>40</v>
      </c>
      <c r="N50" s="12">
        <v>40</v>
      </c>
      <c r="O50" s="24" t="s">
        <v>25</v>
      </c>
      <c r="P50" s="18" t="s">
        <v>250</v>
      </c>
      <c r="Q50" s="18">
        <f t="shared" si="6"/>
        <v>1.1200000000000001</v>
      </c>
      <c r="R50" s="12"/>
    </row>
    <row r="51" spans="1:18" ht="24">
      <c r="A51" s="2"/>
      <c r="B51" s="7">
        <f t="shared" si="4"/>
        <v>49</v>
      </c>
      <c r="C51" s="8" t="s">
        <v>237</v>
      </c>
      <c r="D51" s="9" t="s">
        <v>321</v>
      </c>
      <c r="E51" s="9" t="s">
        <v>322</v>
      </c>
      <c r="F51" s="9" t="s">
        <v>247</v>
      </c>
      <c r="G51" s="9" t="s">
        <v>323</v>
      </c>
      <c r="H51" s="9" t="s">
        <v>22</v>
      </c>
      <c r="I51" s="9"/>
      <c r="J51" s="9" t="s">
        <v>324</v>
      </c>
      <c r="K51" s="9" t="s">
        <v>307</v>
      </c>
      <c r="L51" s="9">
        <v>2</v>
      </c>
      <c r="M51" s="9">
        <f t="shared" si="5"/>
        <v>20</v>
      </c>
      <c r="N51" s="9" t="s">
        <v>40</v>
      </c>
      <c r="O51" s="24" t="s">
        <v>25</v>
      </c>
      <c r="P51" s="16" t="s">
        <v>256</v>
      </c>
      <c r="Q51" s="16">
        <f t="shared" si="6"/>
        <v>0.11</v>
      </c>
      <c r="R51" s="9"/>
    </row>
    <row r="52" spans="1:18">
      <c r="A52" s="2"/>
      <c r="B52" s="10">
        <f t="shared" si="4"/>
        <v>50</v>
      </c>
      <c r="C52" s="11" t="s">
        <v>237</v>
      </c>
      <c r="D52" s="12" t="s">
        <v>325</v>
      </c>
      <c r="E52" s="12" t="s">
        <v>326</v>
      </c>
      <c r="F52" s="12" t="s">
        <v>247</v>
      </c>
      <c r="G52" s="12" t="s">
        <v>327</v>
      </c>
      <c r="H52" s="12" t="s">
        <v>22</v>
      </c>
      <c r="I52" s="12"/>
      <c r="J52" s="12" t="s">
        <v>328</v>
      </c>
      <c r="K52" s="12" t="s">
        <v>329</v>
      </c>
      <c r="L52" s="12">
        <v>1</v>
      </c>
      <c r="M52" s="9">
        <f t="shared" si="5"/>
        <v>10</v>
      </c>
      <c r="N52" s="12" t="s">
        <v>40</v>
      </c>
      <c r="O52" s="24" t="s">
        <v>25</v>
      </c>
      <c r="P52" s="18" t="s">
        <v>262</v>
      </c>
      <c r="Q52" s="18">
        <f t="shared" si="6"/>
        <v>0.12</v>
      </c>
      <c r="R52" s="12"/>
    </row>
    <row r="53" spans="1:18">
      <c r="A53" s="2"/>
      <c r="B53" s="7">
        <f t="shared" si="4"/>
        <v>51</v>
      </c>
      <c r="C53" s="8" t="s">
        <v>288</v>
      </c>
      <c r="D53" s="9" t="s">
        <v>330</v>
      </c>
      <c r="E53" s="9" t="s">
        <v>331</v>
      </c>
      <c r="F53" s="9" t="s">
        <v>247</v>
      </c>
      <c r="G53" s="9" t="s">
        <v>332</v>
      </c>
      <c r="H53" s="9" t="s">
        <v>22</v>
      </c>
      <c r="I53" s="9"/>
      <c r="J53" s="9" t="s">
        <v>333</v>
      </c>
      <c r="K53" s="9" t="s">
        <v>334</v>
      </c>
      <c r="L53" s="9">
        <v>1</v>
      </c>
      <c r="M53" s="9">
        <f t="shared" si="5"/>
        <v>10</v>
      </c>
      <c r="N53" s="9" t="s">
        <v>40</v>
      </c>
      <c r="O53" s="24" t="s">
        <v>25</v>
      </c>
      <c r="P53" s="16" t="s">
        <v>335</v>
      </c>
      <c r="Q53" s="16">
        <f t="shared" si="6"/>
        <v>0.1</v>
      </c>
      <c r="R53" s="9"/>
    </row>
    <row r="54" spans="1:18">
      <c r="A54" s="2"/>
      <c r="B54" s="10">
        <f t="shared" si="4"/>
        <v>52</v>
      </c>
      <c r="C54" s="11" t="s">
        <v>237</v>
      </c>
      <c r="D54" s="12" t="s">
        <v>336</v>
      </c>
      <c r="E54" s="12" t="s">
        <v>337</v>
      </c>
      <c r="F54" s="12" t="s">
        <v>240</v>
      </c>
      <c r="G54" s="12" t="s">
        <v>338</v>
      </c>
      <c r="H54" s="12" t="s">
        <v>22</v>
      </c>
      <c r="I54" s="12"/>
      <c r="J54" s="12" t="s">
        <v>339</v>
      </c>
      <c r="K54" s="12" t="s">
        <v>334</v>
      </c>
      <c r="L54" s="12">
        <v>1</v>
      </c>
      <c r="M54" s="9">
        <f t="shared" si="5"/>
        <v>10</v>
      </c>
      <c r="N54" s="12" t="s">
        <v>40</v>
      </c>
      <c r="O54" s="24" t="s">
        <v>25</v>
      </c>
      <c r="P54" s="18" t="s">
        <v>244</v>
      </c>
      <c r="Q54" s="18">
        <f t="shared" si="6"/>
        <v>0.06</v>
      </c>
      <c r="R54" s="12"/>
    </row>
    <row r="55" spans="1:18" ht="24">
      <c r="A55" s="2"/>
      <c r="B55" s="7">
        <f t="shared" si="4"/>
        <v>53</v>
      </c>
      <c r="C55" s="8" t="s">
        <v>288</v>
      </c>
      <c r="D55" s="13" t="s">
        <v>340</v>
      </c>
      <c r="E55" s="13" t="s">
        <v>331</v>
      </c>
      <c r="F55" s="13" t="s">
        <v>247</v>
      </c>
      <c r="G55" s="13" t="s">
        <v>332</v>
      </c>
      <c r="H55" s="13" t="s">
        <v>22</v>
      </c>
      <c r="I55" s="13"/>
      <c r="J55" s="13" t="s">
        <v>333</v>
      </c>
      <c r="K55" s="13" t="s">
        <v>276</v>
      </c>
      <c r="L55" s="13">
        <v>1</v>
      </c>
      <c r="M55" s="9">
        <f t="shared" si="5"/>
        <v>10</v>
      </c>
      <c r="N55" s="13" t="s">
        <v>40</v>
      </c>
      <c r="O55" s="24" t="s">
        <v>62</v>
      </c>
      <c r="P55" s="25" t="s">
        <v>62</v>
      </c>
      <c r="Q55" s="25" t="s">
        <v>62</v>
      </c>
      <c r="R55" s="26" t="s">
        <v>214</v>
      </c>
    </row>
    <row r="56" spans="1:18" ht="24">
      <c r="A56" s="2"/>
      <c r="B56" s="7">
        <f t="shared" si="4"/>
        <v>54</v>
      </c>
      <c r="C56" s="11" t="s">
        <v>237</v>
      </c>
      <c r="D56" s="13" t="s">
        <v>439</v>
      </c>
      <c r="E56" s="14" t="s">
        <v>252</v>
      </c>
      <c r="F56" s="13" t="s">
        <v>247</v>
      </c>
      <c r="G56" s="14" t="s">
        <v>253</v>
      </c>
      <c r="H56" s="13" t="s">
        <v>22</v>
      </c>
      <c r="I56" s="13"/>
      <c r="J56" s="13" t="s">
        <v>62</v>
      </c>
      <c r="K56" s="13" t="s">
        <v>276</v>
      </c>
      <c r="L56" s="13">
        <v>1</v>
      </c>
      <c r="M56" s="9">
        <f t="shared" si="5"/>
        <v>10</v>
      </c>
      <c r="N56" s="13" t="s">
        <v>40</v>
      </c>
      <c r="O56" s="24" t="s">
        <v>62</v>
      </c>
      <c r="P56" s="25" t="s">
        <v>62</v>
      </c>
      <c r="Q56" s="25" t="s">
        <v>62</v>
      </c>
      <c r="R56" s="26" t="s">
        <v>214</v>
      </c>
    </row>
    <row r="57" spans="1:18" ht="24">
      <c r="A57" s="2"/>
      <c r="B57" s="10">
        <f t="shared" si="4"/>
        <v>55</v>
      </c>
      <c r="C57" s="11" t="s">
        <v>341</v>
      </c>
      <c r="D57" s="12" t="s">
        <v>342</v>
      </c>
      <c r="E57" s="12" t="s">
        <v>343</v>
      </c>
      <c r="F57" s="12" t="s">
        <v>344</v>
      </c>
      <c r="G57" s="12" t="s">
        <v>344</v>
      </c>
      <c r="H57" s="12" t="s">
        <v>345</v>
      </c>
      <c r="I57" s="12"/>
      <c r="J57" s="12" t="s">
        <v>346</v>
      </c>
      <c r="K57" s="12" t="s">
        <v>62</v>
      </c>
      <c r="L57" s="12">
        <v>2</v>
      </c>
      <c r="M57" s="9">
        <f t="shared" si="5"/>
        <v>20</v>
      </c>
      <c r="N57" s="12">
        <v>20</v>
      </c>
      <c r="O57" s="24" t="s">
        <v>25</v>
      </c>
      <c r="P57" s="18" t="s">
        <v>347</v>
      </c>
      <c r="Q57" s="18">
        <f t="shared" ref="Q57:Q68" si="7">P57*N57</f>
        <v>3.0540000000000003</v>
      </c>
      <c r="R57" s="12"/>
    </row>
    <row r="58" spans="1:18" ht="24">
      <c r="A58" s="2"/>
      <c r="B58" s="7">
        <f t="shared" si="4"/>
        <v>56</v>
      </c>
      <c r="C58" s="8" t="s">
        <v>348</v>
      </c>
      <c r="D58" s="9" t="s">
        <v>349</v>
      </c>
      <c r="E58" s="35" t="s">
        <v>436</v>
      </c>
      <c r="F58" s="12" t="s">
        <v>435</v>
      </c>
      <c r="G58" s="35" t="s">
        <v>437</v>
      </c>
      <c r="H58" s="9" t="s">
        <v>350</v>
      </c>
      <c r="I58" s="9"/>
      <c r="J58" s="9" t="s">
        <v>438</v>
      </c>
      <c r="K58" s="12" t="s">
        <v>62</v>
      </c>
      <c r="L58" s="9">
        <v>1</v>
      </c>
      <c r="M58" s="9">
        <f t="shared" si="5"/>
        <v>10</v>
      </c>
      <c r="N58" s="9">
        <v>10</v>
      </c>
      <c r="O58" s="32" t="s">
        <v>25</v>
      </c>
      <c r="P58" s="16">
        <v>2.9537</v>
      </c>
      <c r="Q58" s="16">
        <f t="shared" si="7"/>
        <v>29.536999999999999</v>
      </c>
      <c r="R58" s="9"/>
    </row>
    <row r="59" spans="1:18" ht="24">
      <c r="A59" s="2"/>
      <c r="B59" s="10">
        <f t="shared" si="4"/>
        <v>57</v>
      </c>
      <c r="C59" s="11" t="s">
        <v>351</v>
      </c>
      <c r="D59" s="12" t="s">
        <v>352</v>
      </c>
      <c r="E59" s="12" t="s">
        <v>343</v>
      </c>
      <c r="F59" s="12" t="s">
        <v>353</v>
      </c>
      <c r="G59" s="12" t="s">
        <v>354</v>
      </c>
      <c r="H59" s="12" t="s">
        <v>355</v>
      </c>
      <c r="I59" s="12"/>
      <c r="J59" s="12" t="s">
        <v>356</v>
      </c>
      <c r="K59" s="12" t="s">
        <v>62</v>
      </c>
      <c r="L59" s="12">
        <v>3</v>
      </c>
      <c r="M59" s="9">
        <f t="shared" si="5"/>
        <v>30</v>
      </c>
      <c r="N59" s="12">
        <v>30</v>
      </c>
      <c r="O59" s="24" t="s">
        <v>25</v>
      </c>
      <c r="P59" s="18" t="s">
        <v>358</v>
      </c>
      <c r="Q59" s="18">
        <f t="shared" si="7"/>
        <v>20.859000000000002</v>
      </c>
      <c r="R59" s="12"/>
    </row>
    <row r="60" spans="1:18" ht="24">
      <c r="A60" s="2"/>
      <c r="B60" s="7">
        <f t="shared" si="4"/>
        <v>58</v>
      </c>
      <c r="C60" s="8" t="s">
        <v>359</v>
      </c>
      <c r="D60" s="9" t="s">
        <v>360</v>
      </c>
      <c r="E60" s="9" t="s">
        <v>361</v>
      </c>
      <c r="F60" s="9" t="s">
        <v>362</v>
      </c>
      <c r="G60" s="9" t="s">
        <v>363</v>
      </c>
      <c r="H60" s="9" t="s">
        <v>364</v>
      </c>
      <c r="I60" s="9"/>
      <c r="J60" s="9" t="s">
        <v>365</v>
      </c>
      <c r="K60" s="12" t="s">
        <v>62</v>
      </c>
      <c r="L60" s="9">
        <v>1</v>
      </c>
      <c r="M60" s="9">
        <f t="shared" si="5"/>
        <v>10</v>
      </c>
      <c r="N60" s="9">
        <v>10</v>
      </c>
      <c r="O60" s="24" t="s">
        <v>25</v>
      </c>
      <c r="P60" s="16" t="s">
        <v>366</v>
      </c>
      <c r="Q60" s="16">
        <f t="shared" si="7"/>
        <v>49.856999999999999</v>
      </c>
      <c r="R60" s="9"/>
    </row>
    <row r="61" spans="1:18" ht="24">
      <c r="A61" s="2"/>
      <c r="B61" s="10">
        <f t="shared" si="4"/>
        <v>59</v>
      </c>
      <c r="C61" s="11" t="s">
        <v>367</v>
      </c>
      <c r="D61" s="12" t="s">
        <v>368</v>
      </c>
      <c r="E61" s="12" t="s">
        <v>369</v>
      </c>
      <c r="F61" s="12" t="s">
        <v>370</v>
      </c>
      <c r="G61" s="12" t="s">
        <v>370</v>
      </c>
      <c r="H61" s="12" t="s">
        <v>371</v>
      </c>
      <c r="I61" s="12"/>
      <c r="J61" s="12" t="s">
        <v>372</v>
      </c>
      <c r="K61" s="12" t="s">
        <v>62</v>
      </c>
      <c r="L61" s="12">
        <v>1</v>
      </c>
      <c r="M61" s="9">
        <f t="shared" si="5"/>
        <v>10</v>
      </c>
      <c r="N61" s="9">
        <v>10</v>
      </c>
      <c r="O61" s="23" t="s">
        <v>25</v>
      </c>
      <c r="P61" s="18" t="s">
        <v>373</v>
      </c>
      <c r="Q61" s="18">
        <f t="shared" si="7"/>
        <v>9.3330000000000002</v>
      </c>
      <c r="R61" s="12"/>
    </row>
    <row r="62" spans="1:18" ht="24">
      <c r="A62" s="2"/>
      <c r="B62" s="7">
        <f t="shared" si="4"/>
        <v>60</v>
      </c>
      <c r="C62" s="8" t="s">
        <v>374</v>
      </c>
      <c r="D62" s="9" t="s">
        <v>375</v>
      </c>
      <c r="E62" s="9" t="s">
        <v>376</v>
      </c>
      <c r="F62" s="9" t="s">
        <v>377</v>
      </c>
      <c r="G62" s="9" t="s">
        <v>378</v>
      </c>
      <c r="H62" s="9" t="s">
        <v>379</v>
      </c>
      <c r="I62" s="9"/>
      <c r="J62" s="9" t="s">
        <v>380</v>
      </c>
      <c r="K62" s="12" t="s">
        <v>62</v>
      </c>
      <c r="L62" s="9">
        <v>1</v>
      </c>
      <c r="M62" s="9">
        <f t="shared" si="5"/>
        <v>10</v>
      </c>
      <c r="N62" s="9">
        <v>10</v>
      </c>
      <c r="O62" s="23" t="s">
        <v>25</v>
      </c>
      <c r="P62" s="16" t="s">
        <v>381</v>
      </c>
      <c r="Q62" s="16">
        <f t="shared" si="7"/>
        <v>7.327</v>
      </c>
      <c r="R62" s="9"/>
    </row>
    <row r="63" spans="1:18" ht="48">
      <c r="A63" s="2"/>
      <c r="B63" s="10">
        <f t="shared" si="4"/>
        <v>61</v>
      </c>
      <c r="C63" s="11" t="s">
        <v>382</v>
      </c>
      <c r="D63" s="12" t="s">
        <v>383</v>
      </c>
      <c r="E63" s="12" t="s">
        <v>384</v>
      </c>
      <c r="F63" s="12" t="s">
        <v>385</v>
      </c>
      <c r="G63" s="12" t="s">
        <v>386</v>
      </c>
      <c r="H63" s="12" t="s">
        <v>387</v>
      </c>
      <c r="I63" s="12"/>
      <c r="J63" s="12" t="s">
        <v>388</v>
      </c>
      <c r="K63" s="12" t="s">
        <v>62</v>
      </c>
      <c r="L63" s="12">
        <v>1</v>
      </c>
      <c r="M63" s="9">
        <f t="shared" si="5"/>
        <v>10</v>
      </c>
      <c r="N63" s="12">
        <v>10</v>
      </c>
      <c r="O63" s="23" t="s">
        <v>25</v>
      </c>
      <c r="P63" s="18" t="s">
        <v>389</v>
      </c>
      <c r="Q63" s="18">
        <f t="shared" si="7"/>
        <v>0.38300000000000001</v>
      </c>
      <c r="R63" s="12"/>
    </row>
    <row r="64" spans="1:18" ht="24">
      <c r="A64" s="2"/>
      <c r="B64" s="7">
        <f t="shared" si="4"/>
        <v>62</v>
      </c>
      <c r="C64" s="8" t="s">
        <v>374</v>
      </c>
      <c r="D64" s="9" t="s">
        <v>390</v>
      </c>
      <c r="E64" s="9" t="s">
        <v>391</v>
      </c>
      <c r="F64" s="9" t="s">
        <v>392</v>
      </c>
      <c r="G64" s="9" t="s">
        <v>393</v>
      </c>
      <c r="H64" s="9" t="s">
        <v>394</v>
      </c>
      <c r="I64" s="9"/>
      <c r="J64" s="9" t="s">
        <v>395</v>
      </c>
      <c r="K64" s="12" t="s">
        <v>62</v>
      </c>
      <c r="L64" s="9">
        <v>1</v>
      </c>
      <c r="M64" s="9">
        <f t="shared" si="5"/>
        <v>10</v>
      </c>
      <c r="N64" s="9">
        <v>10</v>
      </c>
      <c r="O64" s="23" t="s">
        <v>25</v>
      </c>
      <c r="P64" s="16" t="s">
        <v>396</v>
      </c>
      <c r="Q64" s="16">
        <f t="shared" si="7"/>
        <v>1.879</v>
      </c>
      <c r="R64" s="9"/>
    </row>
    <row r="65" spans="1:18" ht="24">
      <c r="A65" s="2"/>
      <c r="B65" s="10">
        <f t="shared" si="4"/>
        <v>63</v>
      </c>
      <c r="C65" s="11" t="s">
        <v>374</v>
      </c>
      <c r="D65" s="12" t="s">
        <v>397</v>
      </c>
      <c r="E65" s="12" t="s">
        <v>398</v>
      </c>
      <c r="F65" s="12" t="s">
        <v>399</v>
      </c>
      <c r="G65" s="12" t="s">
        <v>400</v>
      </c>
      <c r="H65" s="12" t="s">
        <v>401</v>
      </c>
      <c r="I65" s="12"/>
      <c r="J65" s="12" t="s">
        <v>402</v>
      </c>
      <c r="K65" s="12" t="s">
        <v>62</v>
      </c>
      <c r="L65" s="12">
        <v>1</v>
      </c>
      <c r="M65" s="9">
        <f t="shared" si="5"/>
        <v>10</v>
      </c>
      <c r="N65" s="9">
        <v>10</v>
      </c>
      <c r="O65" s="23" t="s">
        <v>25</v>
      </c>
      <c r="P65" s="18" t="s">
        <v>403</v>
      </c>
      <c r="Q65" s="18">
        <f t="shared" si="7"/>
        <v>24.563000000000002</v>
      </c>
      <c r="R65" s="12"/>
    </row>
    <row r="66" spans="1:18" ht="24">
      <c r="A66" s="2"/>
      <c r="B66" s="7">
        <f t="shared" si="4"/>
        <v>64</v>
      </c>
      <c r="C66" s="8" t="s">
        <v>374</v>
      </c>
      <c r="D66" s="9" t="s">
        <v>404</v>
      </c>
      <c r="E66" s="9" t="s">
        <v>405</v>
      </c>
      <c r="F66" s="9" t="s">
        <v>406</v>
      </c>
      <c r="G66" s="9" t="s">
        <v>407</v>
      </c>
      <c r="H66" s="9" t="s">
        <v>408</v>
      </c>
      <c r="I66" s="9"/>
      <c r="J66" s="9" t="s">
        <v>409</v>
      </c>
      <c r="K66" s="12" t="s">
        <v>62</v>
      </c>
      <c r="L66" s="9">
        <v>1</v>
      </c>
      <c r="M66" s="9">
        <f t="shared" si="5"/>
        <v>10</v>
      </c>
      <c r="N66" s="9">
        <v>10</v>
      </c>
      <c r="O66" s="23" t="s">
        <v>25</v>
      </c>
      <c r="P66" s="16" t="s">
        <v>410</v>
      </c>
      <c r="Q66" s="16">
        <f t="shared" si="7"/>
        <v>14.773</v>
      </c>
      <c r="R66" s="9"/>
    </row>
    <row r="67" spans="1:18" ht="36">
      <c r="A67" s="2"/>
      <c r="B67" s="10">
        <f t="shared" si="4"/>
        <v>65</v>
      </c>
      <c r="C67" s="11" t="s">
        <v>411</v>
      </c>
      <c r="D67" s="12" t="s">
        <v>412</v>
      </c>
      <c r="E67" s="12" t="s">
        <v>413</v>
      </c>
      <c r="F67" s="12" t="s">
        <v>414</v>
      </c>
      <c r="G67" s="12" t="s">
        <v>415</v>
      </c>
      <c r="H67" s="12" t="s">
        <v>416</v>
      </c>
      <c r="I67" s="12"/>
      <c r="J67" s="12" t="s">
        <v>417</v>
      </c>
      <c r="K67" s="12" t="s">
        <v>418</v>
      </c>
      <c r="L67" s="12">
        <v>1</v>
      </c>
      <c r="M67" s="9">
        <f t="shared" si="5"/>
        <v>10</v>
      </c>
      <c r="N67" s="9">
        <v>10</v>
      </c>
      <c r="O67" s="23" t="s">
        <v>25</v>
      </c>
      <c r="P67" s="18" t="s">
        <v>419</v>
      </c>
      <c r="Q67" s="18">
        <f t="shared" si="7"/>
        <v>0.81400000000000006</v>
      </c>
      <c r="R67" s="12"/>
    </row>
    <row r="68" spans="1:18" ht="75">
      <c r="A68" s="2"/>
      <c r="B68" s="10">
        <f t="shared" si="4"/>
        <v>66</v>
      </c>
      <c r="C68" s="8" t="s">
        <v>420</v>
      </c>
      <c r="D68" s="9" t="s">
        <v>62</v>
      </c>
      <c r="E68" s="22" t="s">
        <v>421</v>
      </c>
      <c r="F68" s="9" t="s">
        <v>62</v>
      </c>
      <c r="G68" s="9" t="s">
        <v>422</v>
      </c>
      <c r="H68" s="9" t="s">
        <v>62</v>
      </c>
      <c r="I68" s="22" t="s">
        <v>62</v>
      </c>
      <c r="J68" s="9" t="s">
        <v>62</v>
      </c>
      <c r="K68" s="12" t="s">
        <v>62</v>
      </c>
      <c r="L68" s="12">
        <v>1</v>
      </c>
      <c r="M68" s="9">
        <f t="shared" si="5"/>
        <v>10</v>
      </c>
      <c r="N68" s="9">
        <v>10</v>
      </c>
      <c r="O68" s="27" t="s">
        <v>423</v>
      </c>
      <c r="P68" s="18">
        <v>15.26</v>
      </c>
      <c r="Q68" s="18">
        <f t="shared" si="7"/>
        <v>152.6</v>
      </c>
      <c r="R68" s="12"/>
    </row>
    <row r="69" spans="1:18" ht="18.75">
      <c r="A69" s="2"/>
      <c r="N69" s="37" t="s">
        <v>424</v>
      </c>
      <c r="O69" s="38"/>
      <c r="P69" s="38"/>
      <c r="Q69" s="28">
        <f>SUM(Q3:Q68)</f>
        <v>362.80780000000004</v>
      </c>
    </row>
    <row r="70" spans="1:18" ht="18.75">
      <c r="N70" s="37" t="s">
        <v>425</v>
      </c>
      <c r="O70" s="38"/>
      <c r="P70" s="38"/>
      <c r="Q70" s="29">
        <f>Q69/10</f>
        <v>36.280780000000007</v>
      </c>
    </row>
  </sheetData>
  <mergeCells count="3">
    <mergeCell ref="K1:R1"/>
    <mergeCell ref="N69:P69"/>
    <mergeCell ref="N70:P70"/>
  </mergeCells>
  <hyperlinks>
    <hyperlink ref="O4" r:id="rId1"/>
    <hyperlink ref="O5" r:id="rId2"/>
    <hyperlink ref="O7" r:id="rId3"/>
    <hyperlink ref="O9" r:id="rId4"/>
    <hyperlink ref="O10" r:id="rId5"/>
    <hyperlink ref="O11" r:id="rId6"/>
    <hyperlink ref="O12" r:id="rId7"/>
    <hyperlink ref="O13" r:id="rId8"/>
    <hyperlink ref="O14" r:id="rId9"/>
    <hyperlink ref="O15" r:id="rId10"/>
    <hyperlink ref="O16" r:id="rId11"/>
    <hyperlink ref="O17" r:id="rId12"/>
    <hyperlink ref="O18" r:id="rId13"/>
    <hyperlink ref="O19" r:id="rId14"/>
    <hyperlink ref="O20" r:id="rId15"/>
    <hyperlink ref="O21" r:id="rId16"/>
    <hyperlink ref="O22" r:id="rId17"/>
    <hyperlink ref="O23" r:id="rId18"/>
    <hyperlink ref="O24" r:id="rId19"/>
    <hyperlink ref="O3" r:id="rId20"/>
    <hyperlink ref="O6" r:id="rId21"/>
    <hyperlink ref="O8" r:id="rId22"/>
    <hyperlink ref="O25" r:id="rId23"/>
    <hyperlink ref="O26" r:id="rId24"/>
    <hyperlink ref="O27" r:id="rId25"/>
    <hyperlink ref="O28" r:id="rId26"/>
    <hyperlink ref="O29" r:id="rId27"/>
    <hyperlink ref="O30" r:id="rId28"/>
    <hyperlink ref="O32" r:id="rId29"/>
    <hyperlink ref="O68" r:id="rId30"/>
    <hyperlink ref="O67" r:id="rId31"/>
    <hyperlink ref="O66" r:id="rId32"/>
    <hyperlink ref="O65" r:id="rId33"/>
    <hyperlink ref="O64" r:id="rId34"/>
    <hyperlink ref="O63" r:id="rId35"/>
    <hyperlink ref="O62" r:id="rId36"/>
    <hyperlink ref="O61" r:id="rId37"/>
    <hyperlink ref="O60" r:id="rId38"/>
    <hyperlink ref="O59" r:id="rId39"/>
    <hyperlink ref="O57" r:id="rId40"/>
    <hyperlink ref="O55" r:id="rId41"/>
    <hyperlink ref="O54" r:id="rId42"/>
    <hyperlink ref="O53" r:id="rId43"/>
    <hyperlink ref="O52" r:id="rId44"/>
    <hyperlink ref="O51" r:id="rId45"/>
    <hyperlink ref="O50" r:id="rId46"/>
    <hyperlink ref="O49" r:id="rId47"/>
    <hyperlink ref="O48" r:id="rId48"/>
    <hyperlink ref="O47" r:id="rId49"/>
    <hyperlink ref="O46" r:id="rId50"/>
    <hyperlink ref="O45" r:id="rId51"/>
    <hyperlink ref="O44" r:id="rId52"/>
    <hyperlink ref="O43" r:id="rId53"/>
    <hyperlink ref="O42" r:id="rId54"/>
    <hyperlink ref="O41" r:id="rId55"/>
    <hyperlink ref="O40" r:id="rId56"/>
    <hyperlink ref="O39" r:id="rId57"/>
    <hyperlink ref="O38" r:id="rId58"/>
    <hyperlink ref="O37" r:id="rId59"/>
    <hyperlink ref="O36" r:id="rId60"/>
    <hyperlink ref="O35" r:id="rId61"/>
    <hyperlink ref="O34" r:id="rId62"/>
    <hyperlink ref="O33" r:id="rId63"/>
    <hyperlink ref="O58" r:id="rId64"/>
    <hyperlink ref="O56" r:id="rId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workbookViewId="0"/>
  </sheetViews>
  <sheetFormatPr defaultColWidth="9.140625" defaultRowHeight="15"/>
  <cols>
    <col min="2" max="2" width="3.5703125" customWidth="1"/>
    <col min="3" max="3" width="14" customWidth="1"/>
    <col min="4" max="4" width="26.140625" customWidth="1"/>
    <col min="5" max="5" width="29.5703125" customWidth="1"/>
    <col min="6" max="6" width="17" customWidth="1"/>
    <col min="7" max="7" width="27.28515625" customWidth="1"/>
    <col min="8" max="8" width="14.140625" customWidth="1"/>
    <col min="9" max="9" width="23.140625" customWidth="1"/>
    <col min="10" max="10" width="18.28515625" customWidth="1"/>
    <col min="11" max="11" width="8.85546875" customWidth="1"/>
    <col min="12" max="12" width="9.28515625" customWidth="1"/>
    <col min="13" max="13" width="19.5703125" customWidth="1"/>
    <col min="14" max="14" width="16.7109375" customWidth="1"/>
    <col min="15" max="15" width="15" customWidth="1"/>
    <col min="16" max="16" width="20.140625" customWidth="1"/>
    <col min="17" max="17" width="20.7109375" customWidth="1"/>
  </cols>
  <sheetData>
    <row r="1" spans="1:18">
      <c r="A1" s="2"/>
      <c r="B1" s="3"/>
      <c r="C1" s="3"/>
      <c r="D1" s="4"/>
      <c r="E1" s="4"/>
      <c r="F1" s="4"/>
      <c r="G1" s="4"/>
      <c r="H1" s="4"/>
      <c r="I1" s="4"/>
      <c r="J1" s="4"/>
      <c r="K1" s="36"/>
      <c r="L1" s="36"/>
      <c r="M1" s="36"/>
      <c r="N1" s="36"/>
      <c r="O1" s="36"/>
      <c r="P1" s="36"/>
      <c r="Q1" s="36"/>
      <c r="R1" s="36"/>
    </row>
    <row r="2" spans="1:18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431</v>
      </c>
      <c r="N2" s="5" t="s">
        <v>432</v>
      </c>
      <c r="O2" s="5" t="s">
        <v>13</v>
      </c>
      <c r="P2" s="5" t="s">
        <v>433</v>
      </c>
      <c r="Q2" s="5" t="s">
        <v>434</v>
      </c>
      <c r="R2" s="5" t="s">
        <v>16</v>
      </c>
    </row>
    <row r="3" spans="1:18" s="1" customFormat="1">
      <c r="A3" s="6"/>
      <c r="B3" s="7">
        <f t="shared" ref="B3:B34" si="0">ROW(B3)-ROW($B$2)</f>
        <v>1</v>
      </c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/>
      <c r="J3" s="9" t="s">
        <v>23</v>
      </c>
      <c r="K3" s="9" t="s">
        <v>24</v>
      </c>
      <c r="L3" s="9">
        <v>2</v>
      </c>
      <c r="M3" s="9">
        <f>L3*100</f>
        <v>200</v>
      </c>
      <c r="N3" s="9">
        <v>200</v>
      </c>
      <c r="O3" s="15" t="s">
        <v>25</v>
      </c>
      <c r="P3" s="16">
        <v>1.1999999999999999E-3</v>
      </c>
      <c r="Q3" s="16">
        <f t="shared" ref="Q3:Q30" si="1">P3*N3</f>
        <v>0.24</v>
      </c>
      <c r="R3" s="9"/>
    </row>
    <row r="4" spans="1:18" s="1" customFormat="1">
      <c r="A4" s="6"/>
      <c r="B4" s="10">
        <f t="shared" si="0"/>
        <v>2</v>
      </c>
      <c r="C4" s="11" t="s">
        <v>17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/>
      <c r="J4" s="12" t="s">
        <v>31</v>
      </c>
      <c r="K4" s="12" t="s">
        <v>32</v>
      </c>
      <c r="L4" s="12">
        <v>1</v>
      </c>
      <c r="M4" s="9">
        <f t="shared" ref="M4:M35" si="2">L4*100</f>
        <v>100</v>
      </c>
      <c r="N4" s="12">
        <v>100</v>
      </c>
      <c r="O4" s="17" t="s">
        <v>25</v>
      </c>
      <c r="P4" s="18">
        <v>0.50029999999999997</v>
      </c>
      <c r="Q4" s="18">
        <f t="shared" si="1"/>
        <v>50.029999999999994</v>
      </c>
      <c r="R4" s="12"/>
    </row>
    <row r="5" spans="1:18" s="1" customFormat="1">
      <c r="A5" s="6"/>
      <c r="B5" s="7">
        <f t="shared" si="0"/>
        <v>3</v>
      </c>
      <c r="C5" s="8" t="s">
        <v>17</v>
      </c>
      <c r="D5" s="9" t="s">
        <v>35</v>
      </c>
      <c r="E5" s="9" t="s">
        <v>36</v>
      </c>
      <c r="F5" s="9" t="s">
        <v>20</v>
      </c>
      <c r="G5" s="9" t="s">
        <v>37</v>
      </c>
      <c r="H5" s="9" t="s">
        <v>22</v>
      </c>
      <c r="I5" s="9"/>
      <c r="J5" s="9" t="s">
        <v>38</v>
      </c>
      <c r="K5" s="9" t="s">
        <v>39</v>
      </c>
      <c r="L5" s="9">
        <v>4</v>
      </c>
      <c r="M5" s="9">
        <f t="shared" si="2"/>
        <v>400</v>
      </c>
      <c r="N5" s="9">
        <v>400</v>
      </c>
      <c r="O5" s="17" t="s">
        <v>25</v>
      </c>
      <c r="P5" s="16" t="s">
        <v>41</v>
      </c>
      <c r="Q5" s="16">
        <f t="shared" si="1"/>
        <v>0.76</v>
      </c>
      <c r="R5" s="9"/>
    </row>
    <row r="6" spans="1:18" s="1" customFormat="1">
      <c r="A6" s="6"/>
      <c r="B6" s="10">
        <f t="shared" si="0"/>
        <v>4</v>
      </c>
      <c r="C6" s="11" t="s">
        <v>17</v>
      </c>
      <c r="D6" s="12" t="s">
        <v>42</v>
      </c>
      <c r="E6" s="12" t="s">
        <v>43</v>
      </c>
      <c r="F6" s="12" t="s">
        <v>44</v>
      </c>
      <c r="G6" s="12" t="s">
        <v>45</v>
      </c>
      <c r="H6" s="12" t="s">
        <v>22</v>
      </c>
      <c r="I6" s="12"/>
      <c r="J6" s="12" t="s">
        <v>46</v>
      </c>
      <c r="K6" s="12" t="s">
        <v>47</v>
      </c>
      <c r="L6" s="12">
        <v>1</v>
      </c>
      <c r="M6" s="9">
        <f t="shared" si="2"/>
        <v>100</v>
      </c>
      <c r="N6" s="12">
        <v>100</v>
      </c>
      <c r="O6" s="19" t="s">
        <v>25</v>
      </c>
      <c r="P6" s="18">
        <v>3.15E-2</v>
      </c>
      <c r="Q6" s="18">
        <f t="shared" si="1"/>
        <v>3.15</v>
      </c>
      <c r="R6" s="12"/>
    </row>
    <row r="7" spans="1:18" s="1" customFormat="1">
      <c r="A7" s="6"/>
      <c r="B7" s="7">
        <f t="shared" si="0"/>
        <v>5</v>
      </c>
      <c r="C7" s="8" t="s">
        <v>48</v>
      </c>
      <c r="D7" s="9" t="s">
        <v>49</v>
      </c>
      <c r="E7" s="9" t="s">
        <v>50</v>
      </c>
      <c r="F7" s="9" t="s">
        <v>20</v>
      </c>
      <c r="G7" s="9" t="s">
        <v>51</v>
      </c>
      <c r="H7" s="9" t="s">
        <v>52</v>
      </c>
      <c r="I7" s="9"/>
      <c r="J7" s="9" t="s">
        <v>53</v>
      </c>
      <c r="K7" s="9" t="s">
        <v>54</v>
      </c>
      <c r="L7" s="9">
        <v>1</v>
      </c>
      <c r="M7" s="9">
        <f t="shared" si="2"/>
        <v>100</v>
      </c>
      <c r="N7" s="9">
        <v>100</v>
      </c>
      <c r="O7" s="17" t="s">
        <v>25</v>
      </c>
      <c r="P7" s="16" t="s">
        <v>56</v>
      </c>
      <c r="Q7" s="16">
        <f t="shared" si="1"/>
        <v>2.67</v>
      </c>
      <c r="R7" s="9"/>
    </row>
    <row r="8" spans="1:18" s="1" customFormat="1" ht="24">
      <c r="A8" s="6"/>
      <c r="B8" s="10">
        <f t="shared" si="0"/>
        <v>6</v>
      </c>
      <c r="C8" s="11" t="s">
        <v>17</v>
      </c>
      <c r="D8" s="12" t="s">
        <v>57</v>
      </c>
      <c r="E8" s="12" t="s">
        <v>58</v>
      </c>
      <c r="F8" s="12" t="s">
        <v>59</v>
      </c>
      <c r="G8" s="12" t="s">
        <v>60</v>
      </c>
      <c r="H8" s="12" t="s">
        <v>61</v>
      </c>
      <c r="I8" s="12"/>
      <c r="J8" s="12" t="s">
        <v>62</v>
      </c>
      <c r="K8" s="12" t="s">
        <v>47</v>
      </c>
      <c r="L8" s="12">
        <v>1</v>
      </c>
      <c r="M8" s="9">
        <f t="shared" si="2"/>
        <v>100</v>
      </c>
      <c r="N8" s="12">
        <v>100</v>
      </c>
      <c r="O8" s="19" t="s">
        <v>63</v>
      </c>
      <c r="P8" s="18">
        <v>0.33639999999999998</v>
      </c>
      <c r="Q8" s="18">
        <f t="shared" si="1"/>
        <v>33.64</v>
      </c>
      <c r="R8" s="12"/>
    </row>
    <row r="9" spans="1:18" s="1" customFormat="1">
      <c r="A9" s="6"/>
      <c r="B9" s="7">
        <f t="shared" si="0"/>
        <v>7</v>
      </c>
      <c r="C9" s="8" t="s">
        <v>17</v>
      </c>
      <c r="D9" s="9" t="s">
        <v>64</v>
      </c>
      <c r="E9" s="9" t="s">
        <v>65</v>
      </c>
      <c r="F9" s="9" t="s">
        <v>20</v>
      </c>
      <c r="G9" s="9" t="s">
        <v>66</v>
      </c>
      <c r="H9" s="9" t="s">
        <v>22</v>
      </c>
      <c r="I9" s="9"/>
      <c r="J9" s="9" t="s">
        <v>67</v>
      </c>
      <c r="K9" s="9" t="s">
        <v>68</v>
      </c>
      <c r="L9" s="9">
        <v>4</v>
      </c>
      <c r="M9" s="9">
        <f t="shared" si="2"/>
        <v>400</v>
      </c>
      <c r="N9" s="9">
        <v>400</v>
      </c>
      <c r="O9" s="17" t="s">
        <v>25</v>
      </c>
      <c r="P9" s="16" t="s">
        <v>69</v>
      </c>
      <c r="Q9" s="16">
        <f t="shared" si="1"/>
        <v>0.72</v>
      </c>
      <c r="R9" s="9"/>
    </row>
    <row r="10" spans="1:18" s="1" customFormat="1">
      <c r="A10" s="6"/>
      <c r="B10" s="10">
        <f t="shared" si="0"/>
        <v>8</v>
      </c>
      <c r="C10" s="11" t="s">
        <v>17</v>
      </c>
      <c r="D10" s="12" t="s">
        <v>70</v>
      </c>
      <c r="E10" s="12" t="s">
        <v>71</v>
      </c>
      <c r="F10" s="12" t="s">
        <v>72</v>
      </c>
      <c r="G10" s="12" t="s">
        <v>73</v>
      </c>
      <c r="H10" s="12" t="s">
        <v>30</v>
      </c>
      <c r="I10" s="12"/>
      <c r="J10" s="12" t="s">
        <v>74</v>
      </c>
      <c r="K10" s="12" t="s">
        <v>75</v>
      </c>
      <c r="L10" s="12">
        <v>1</v>
      </c>
      <c r="M10" s="9">
        <f t="shared" si="2"/>
        <v>100</v>
      </c>
      <c r="N10" s="12">
        <v>100</v>
      </c>
      <c r="O10" s="17" t="s">
        <v>25</v>
      </c>
      <c r="P10" s="18">
        <v>9.1700000000000004E-2</v>
      </c>
      <c r="Q10" s="18">
        <f t="shared" si="1"/>
        <v>9.17</v>
      </c>
      <c r="R10" s="12"/>
    </row>
    <row r="11" spans="1:18" s="1" customFormat="1">
      <c r="A11" s="6"/>
      <c r="B11" s="7">
        <f t="shared" si="0"/>
        <v>9</v>
      </c>
      <c r="C11" s="8" t="s">
        <v>17</v>
      </c>
      <c r="D11" s="9" t="s">
        <v>78</v>
      </c>
      <c r="E11" s="9" t="s">
        <v>79</v>
      </c>
      <c r="F11" s="9" t="s">
        <v>44</v>
      </c>
      <c r="G11" s="9" t="s">
        <v>80</v>
      </c>
      <c r="H11" s="9" t="s">
        <v>22</v>
      </c>
      <c r="I11" s="9"/>
      <c r="J11" s="9" t="s">
        <v>81</v>
      </c>
      <c r="K11" s="9" t="s">
        <v>39</v>
      </c>
      <c r="L11" s="9">
        <v>3</v>
      </c>
      <c r="M11" s="9">
        <f t="shared" si="2"/>
        <v>300</v>
      </c>
      <c r="N11" s="9">
        <v>300</v>
      </c>
      <c r="O11" s="17" t="s">
        <v>25</v>
      </c>
      <c r="P11" s="16" t="s">
        <v>82</v>
      </c>
      <c r="Q11" s="16">
        <f t="shared" si="1"/>
        <v>1.02</v>
      </c>
      <c r="R11" s="9"/>
    </row>
    <row r="12" spans="1:18" s="1" customFormat="1">
      <c r="A12" s="6"/>
      <c r="B12" s="10">
        <f t="shared" si="0"/>
        <v>10</v>
      </c>
      <c r="C12" s="11" t="s">
        <v>17</v>
      </c>
      <c r="D12" s="12" t="s">
        <v>83</v>
      </c>
      <c r="E12" s="12" t="s">
        <v>84</v>
      </c>
      <c r="F12" s="12" t="s">
        <v>20</v>
      </c>
      <c r="G12" s="12" t="s">
        <v>85</v>
      </c>
      <c r="H12" s="12" t="s">
        <v>86</v>
      </c>
      <c r="I12" s="12"/>
      <c r="J12" s="12" t="s">
        <v>87</v>
      </c>
      <c r="K12" s="12" t="s">
        <v>68</v>
      </c>
      <c r="L12" s="12">
        <v>1</v>
      </c>
      <c r="M12" s="9">
        <f t="shared" si="2"/>
        <v>100</v>
      </c>
      <c r="N12" s="12">
        <v>100</v>
      </c>
      <c r="O12" s="17" t="s">
        <v>25</v>
      </c>
      <c r="P12" s="18" t="s">
        <v>88</v>
      </c>
      <c r="Q12" s="18">
        <f t="shared" si="1"/>
        <v>9.85</v>
      </c>
      <c r="R12" s="12"/>
    </row>
    <row r="13" spans="1:18" s="1" customFormat="1">
      <c r="A13" s="6"/>
      <c r="B13" s="7">
        <f t="shared" si="0"/>
        <v>11</v>
      </c>
      <c r="C13" s="8" t="s">
        <v>17</v>
      </c>
      <c r="D13" s="9" t="s">
        <v>89</v>
      </c>
      <c r="E13" s="9" t="s">
        <v>90</v>
      </c>
      <c r="F13" s="9" t="s">
        <v>44</v>
      </c>
      <c r="G13" s="9" t="s">
        <v>91</v>
      </c>
      <c r="H13" s="9" t="s">
        <v>22</v>
      </c>
      <c r="I13" s="9"/>
      <c r="J13" s="9" t="s">
        <v>92</v>
      </c>
      <c r="K13" s="9" t="s">
        <v>68</v>
      </c>
      <c r="L13" s="9">
        <v>1</v>
      </c>
      <c r="M13" s="9">
        <f t="shared" si="2"/>
        <v>100</v>
      </c>
      <c r="N13" s="9" t="s">
        <v>40</v>
      </c>
      <c r="O13" s="17" t="s">
        <v>25</v>
      </c>
      <c r="P13" s="16" t="s">
        <v>93</v>
      </c>
      <c r="Q13" s="16">
        <f t="shared" si="1"/>
        <v>0.31</v>
      </c>
      <c r="R13" s="9"/>
    </row>
    <row r="14" spans="1:18" s="1" customFormat="1">
      <c r="A14" s="6"/>
      <c r="B14" s="10">
        <f t="shared" si="0"/>
        <v>12</v>
      </c>
      <c r="C14" s="11" t="s">
        <v>17</v>
      </c>
      <c r="D14" s="12" t="s">
        <v>94</v>
      </c>
      <c r="E14" s="12" t="s">
        <v>95</v>
      </c>
      <c r="F14" s="12" t="s">
        <v>44</v>
      </c>
      <c r="G14" s="12" t="s">
        <v>96</v>
      </c>
      <c r="H14" s="12" t="s">
        <v>22</v>
      </c>
      <c r="I14" s="12"/>
      <c r="J14" s="12" t="s">
        <v>97</v>
      </c>
      <c r="K14" s="12" t="s">
        <v>98</v>
      </c>
      <c r="L14" s="12">
        <v>2</v>
      </c>
      <c r="M14" s="9">
        <f t="shared" si="2"/>
        <v>200</v>
      </c>
      <c r="N14" s="12">
        <v>200</v>
      </c>
      <c r="O14" s="17" t="s">
        <v>25</v>
      </c>
      <c r="P14" s="18">
        <v>2.9600000000000001E-2</v>
      </c>
      <c r="Q14" s="18">
        <f t="shared" si="1"/>
        <v>5.92</v>
      </c>
      <c r="R14" s="12"/>
    </row>
    <row r="15" spans="1:18" s="1" customFormat="1">
      <c r="A15" s="6"/>
      <c r="B15" s="7">
        <f t="shared" si="0"/>
        <v>13</v>
      </c>
      <c r="C15" s="8" t="s">
        <v>17</v>
      </c>
      <c r="D15" s="9" t="s">
        <v>100</v>
      </c>
      <c r="E15" s="9" t="s">
        <v>101</v>
      </c>
      <c r="F15" s="9" t="s">
        <v>44</v>
      </c>
      <c r="G15" s="9" t="s">
        <v>102</v>
      </c>
      <c r="H15" s="9" t="s">
        <v>103</v>
      </c>
      <c r="I15" s="9"/>
      <c r="J15" s="9" t="s">
        <v>104</v>
      </c>
      <c r="K15" s="9" t="s">
        <v>54</v>
      </c>
      <c r="L15" s="9">
        <v>1</v>
      </c>
      <c r="M15" s="9">
        <f t="shared" si="2"/>
        <v>100</v>
      </c>
      <c r="N15" s="9">
        <v>100</v>
      </c>
      <c r="O15" s="17" t="s">
        <v>25</v>
      </c>
      <c r="P15" s="16" t="s">
        <v>106</v>
      </c>
      <c r="Q15" s="16">
        <f t="shared" si="1"/>
        <v>0.47000000000000003</v>
      </c>
      <c r="R15" s="9"/>
    </row>
    <row r="16" spans="1:18" s="1" customFormat="1" ht="36">
      <c r="A16" s="6"/>
      <c r="B16" s="10">
        <f t="shared" si="0"/>
        <v>14</v>
      </c>
      <c r="C16" s="11" t="s">
        <v>17</v>
      </c>
      <c r="D16" s="12" t="s">
        <v>107</v>
      </c>
      <c r="E16" s="12" t="s">
        <v>108</v>
      </c>
      <c r="F16" s="12" t="s">
        <v>44</v>
      </c>
      <c r="G16" s="12" t="s">
        <v>109</v>
      </c>
      <c r="H16" s="12" t="s">
        <v>110</v>
      </c>
      <c r="I16" s="12"/>
      <c r="J16" s="12" t="s">
        <v>111</v>
      </c>
      <c r="K16" s="12" t="s">
        <v>54</v>
      </c>
      <c r="L16" s="12">
        <v>1</v>
      </c>
      <c r="M16" s="9">
        <f t="shared" si="2"/>
        <v>100</v>
      </c>
      <c r="N16" s="12" t="s">
        <v>40</v>
      </c>
      <c r="O16" s="17" t="s">
        <v>25</v>
      </c>
      <c r="P16" s="18" t="s">
        <v>112</v>
      </c>
      <c r="Q16" s="18">
        <f t="shared" si="1"/>
        <v>0.4</v>
      </c>
      <c r="R16" s="12"/>
    </row>
    <row r="17" spans="1:18" s="1" customFormat="1">
      <c r="A17" s="6"/>
      <c r="B17" s="7">
        <f t="shared" si="0"/>
        <v>15</v>
      </c>
      <c r="C17" s="8" t="s">
        <v>48</v>
      </c>
      <c r="D17" s="9" t="s">
        <v>113</v>
      </c>
      <c r="E17" s="9" t="s">
        <v>114</v>
      </c>
      <c r="F17" s="9" t="s">
        <v>44</v>
      </c>
      <c r="G17" s="9" t="s">
        <v>115</v>
      </c>
      <c r="H17" s="9" t="s">
        <v>103</v>
      </c>
      <c r="I17" s="9"/>
      <c r="J17" s="9" t="s">
        <v>116</v>
      </c>
      <c r="K17" s="9" t="s">
        <v>117</v>
      </c>
      <c r="L17" s="9">
        <v>2</v>
      </c>
      <c r="M17" s="9">
        <f t="shared" si="2"/>
        <v>200</v>
      </c>
      <c r="N17" s="9">
        <v>200</v>
      </c>
      <c r="O17" s="17" t="s">
        <v>25</v>
      </c>
      <c r="P17" s="16" t="s">
        <v>118</v>
      </c>
      <c r="Q17" s="16">
        <f t="shared" si="1"/>
        <v>0.86</v>
      </c>
      <c r="R17" s="9"/>
    </row>
    <row r="18" spans="1:18" s="1" customFormat="1" ht="24">
      <c r="A18" s="6"/>
      <c r="B18" s="10">
        <f t="shared" si="0"/>
        <v>16</v>
      </c>
      <c r="C18" s="11" t="s">
        <v>119</v>
      </c>
      <c r="D18" s="12" t="s">
        <v>120</v>
      </c>
      <c r="E18" s="12" t="s">
        <v>121</v>
      </c>
      <c r="F18" s="12" t="s">
        <v>122</v>
      </c>
      <c r="G18" s="12" t="s">
        <v>123</v>
      </c>
      <c r="H18" s="12" t="s">
        <v>124</v>
      </c>
      <c r="I18" s="12"/>
      <c r="J18" s="12" t="s">
        <v>125</v>
      </c>
      <c r="K18" s="12" t="s">
        <v>62</v>
      </c>
      <c r="L18" s="12">
        <v>1</v>
      </c>
      <c r="M18" s="9">
        <f t="shared" si="2"/>
        <v>100</v>
      </c>
      <c r="N18" s="12">
        <v>100</v>
      </c>
      <c r="O18" s="17" t="s">
        <v>25</v>
      </c>
      <c r="P18" s="18" t="s">
        <v>126</v>
      </c>
      <c r="Q18" s="18">
        <f t="shared" si="1"/>
        <v>2.0500000000000003</v>
      </c>
      <c r="R18" s="12"/>
    </row>
    <row r="19" spans="1:18" s="1" customFormat="1">
      <c r="A19" s="6"/>
      <c r="B19" s="7">
        <f t="shared" si="0"/>
        <v>17</v>
      </c>
      <c r="C19" s="11" t="s">
        <v>119</v>
      </c>
      <c r="D19" s="9" t="s">
        <v>127</v>
      </c>
      <c r="E19" s="9" t="s">
        <v>128</v>
      </c>
      <c r="F19" s="9" t="s">
        <v>129</v>
      </c>
      <c r="G19" s="9" t="s">
        <v>130</v>
      </c>
      <c r="H19" s="9" t="s">
        <v>131</v>
      </c>
      <c r="I19" s="9"/>
      <c r="J19" s="9" t="s">
        <v>132</v>
      </c>
      <c r="K19" s="12" t="s">
        <v>62</v>
      </c>
      <c r="L19" s="9">
        <v>1</v>
      </c>
      <c r="M19" s="9">
        <f t="shared" si="2"/>
        <v>100</v>
      </c>
      <c r="N19" s="9">
        <v>100</v>
      </c>
      <c r="O19" s="17" t="s">
        <v>25</v>
      </c>
      <c r="P19" s="16" t="s">
        <v>133</v>
      </c>
      <c r="Q19" s="16">
        <f t="shared" si="1"/>
        <v>3.05</v>
      </c>
      <c r="R19" s="9"/>
    </row>
    <row r="20" spans="1:18" s="1" customFormat="1" ht="24">
      <c r="A20" s="6"/>
      <c r="B20" s="10">
        <f t="shared" si="0"/>
        <v>18</v>
      </c>
      <c r="C20" s="11" t="s">
        <v>119</v>
      </c>
      <c r="D20" s="12" t="s">
        <v>134</v>
      </c>
      <c r="E20" s="12" t="s">
        <v>135</v>
      </c>
      <c r="F20" s="12" t="s">
        <v>129</v>
      </c>
      <c r="G20" s="12" t="s">
        <v>136</v>
      </c>
      <c r="H20" s="12" t="s">
        <v>131</v>
      </c>
      <c r="I20" s="12"/>
      <c r="J20" s="12" t="s">
        <v>137</v>
      </c>
      <c r="K20" s="12" t="s">
        <v>62</v>
      </c>
      <c r="L20" s="12">
        <v>1</v>
      </c>
      <c r="M20" s="9">
        <f t="shared" si="2"/>
        <v>100</v>
      </c>
      <c r="N20" s="12">
        <v>100</v>
      </c>
      <c r="O20" s="17" t="s">
        <v>25</v>
      </c>
      <c r="P20" s="18" t="s">
        <v>138</v>
      </c>
      <c r="Q20" s="18">
        <f t="shared" si="1"/>
        <v>1.6099999999999999</v>
      </c>
      <c r="R20" s="12"/>
    </row>
    <row r="21" spans="1:18" s="1" customFormat="1" ht="25.5">
      <c r="A21" s="6"/>
      <c r="B21" s="7">
        <f t="shared" si="0"/>
        <v>19</v>
      </c>
      <c r="C21" s="8" t="s">
        <v>139</v>
      </c>
      <c r="D21" s="39" t="s">
        <v>440</v>
      </c>
      <c r="E21" s="9" t="s">
        <v>140</v>
      </c>
      <c r="F21" s="9" t="s">
        <v>141</v>
      </c>
      <c r="G21" s="9" t="s">
        <v>142</v>
      </c>
      <c r="H21" s="9" t="s">
        <v>143</v>
      </c>
      <c r="I21" s="9"/>
      <c r="J21" s="9" t="s">
        <v>144</v>
      </c>
      <c r="K21" s="12" t="s">
        <v>62</v>
      </c>
      <c r="L21" s="9">
        <v>9</v>
      </c>
      <c r="M21" s="9">
        <f t="shared" si="2"/>
        <v>900</v>
      </c>
      <c r="N21" s="9">
        <v>900</v>
      </c>
      <c r="O21" s="17" t="s">
        <v>25</v>
      </c>
      <c r="P21" s="16">
        <v>6.8999999999999999E-3</v>
      </c>
      <c r="Q21" s="16">
        <f t="shared" si="1"/>
        <v>6.21</v>
      </c>
      <c r="R21" s="9"/>
    </row>
    <row r="22" spans="1:18" s="1" customFormat="1" ht="36">
      <c r="A22" s="6"/>
      <c r="B22" s="10">
        <f t="shared" si="0"/>
        <v>20</v>
      </c>
      <c r="C22" s="11" t="s">
        <v>119</v>
      </c>
      <c r="D22" s="12" t="s">
        <v>146</v>
      </c>
      <c r="E22" s="12" t="s">
        <v>147</v>
      </c>
      <c r="F22" s="12" t="s">
        <v>148</v>
      </c>
      <c r="G22" s="12" t="s">
        <v>149</v>
      </c>
      <c r="H22" s="12" t="s">
        <v>150</v>
      </c>
      <c r="I22" s="12"/>
      <c r="J22" s="12" t="s">
        <v>151</v>
      </c>
      <c r="K22" s="12" t="s">
        <v>62</v>
      </c>
      <c r="L22" s="12">
        <v>1</v>
      </c>
      <c r="M22" s="9">
        <f t="shared" si="2"/>
        <v>100</v>
      </c>
      <c r="N22" s="12">
        <v>100</v>
      </c>
      <c r="O22" s="17" t="s">
        <v>25</v>
      </c>
      <c r="P22" s="18">
        <v>3.5400000000000001E-2</v>
      </c>
      <c r="Q22" s="18">
        <f t="shared" si="1"/>
        <v>3.54</v>
      </c>
      <c r="R22" s="12"/>
    </row>
    <row r="23" spans="1:18" s="1" customFormat="1" ht="24">
      <c r="A23" s="6"/>
      <c r="B23" s="7">
        <f t="shared" si="0"/>
        <v>21</v>
      </c>
      <c r="C23" s="8" t="s">
        <v>119</v>
      </c>
      <c r="D23" s="9" t="s">
        <v>154</v>
      </c>
      <c r="E23" s="9" t="s">
        <v>155</v>
      </c>
      <c r="F23" s="9" t="s">
        <v>156</v>
      </c>
      <c r="G23" s="9" t="s">
        <v>157</v>
      </c>
      <c r="H23" s="9" t="s">
        <v>158</v>
      </c>
      <c r="I23" s="9"/>
      <c r="J23" s="9" t="s">
        <v>159</v>
      </c>
      <c r="K23" s="12" t="s">
        <v>62</v>
      </c>
      <c r="L23" s="9">
        <v>1</v>
      </c>
      <c r="M23" s="9">
        <f t="shared" si="2"/>
        <v>100</v>
      </c>
      <c r="N23" s="9">
        <v>100</v>
      </c>
      <c r="O23" s="17" t="s">
        <v>25</v>
      </c>
      <c r="P23" s="16">
        <v>5.0599999999999999E-2</v>
      </c>
      <c r="Q23" s="16">
        <f t="shared" si="1"/>
        <v>5.0599999999999996</v>
      </c>
      <c r="R23" s="9"/>
    </row>
    <row r="24" spans="1:18" s="1" customFormat="1" ht="36">
      <c r="A24" s="6"/>
      <c r="B24" s="10">
        <f t="shared" si="0"/>
        <v>22</v>
      </c>
      <c r="C24" s="11" t="s">
        <v>161</v>
      </c>
      <c r="D24" s="12" t="s">
        <v>162</v>
      </c>
      <c r="E24" s="12" t="s">
        <v>163</v>
      </c>
      <c r="F24" s="12" t="s">
        <v>435</v>
      </c>
      <c r="G24" s="12" t="s">
        <v>165</v>
      </c>
      <c r="H24" s="12" t="s">
        <v>166</v>
      </c>
      <c r="I24" s="12"/>
      <c r="J24" s="12" t="s">
        <v>165</v>
      </c>
      <c r="K24" s="12" t="s">
        <v>62</v>
      </c>
      <c r="L24" s="12">
        <v>1</v>
      </c>
      <c r="M24" s="9">
        <f t="shared" si="2"/>
        <v>100</v>
      </c>
      <c r="N24" s="12">
        <v>100</v>
      </c>
      <c r="O24" s="17" t="s">
        <v>25</v>
      </c>
      <c r="P24" s="18">
        <v>5.5599999999999997E-2</v>
      </c>
      <c r="Q24" s="18">
        <f t="shared" si="1"/>
        <v>5.56</v>
      </c>
      <c r="R24" s="12"/>
    </row>
    <row r="25" spans="1:18" s="1" customFormat="1" ht="24">
      <c r="A25" s="6"/>
      <c r="B25" s="7">
        <f t="shared" si="0"/>
        <v>23</v>
      </c>
      <c r="C25" s="8" t="s">
        <v>169</v>
      </c>
      <c r="D25" s="9" t="s">
        <v>170</v>
      </c>
      <c r="E25" s="9" t="s">
        <v>171</v>
      </c>
      <c r="F25" s="12" t="s">
        <v>435</v>
      </c>
      <c r="G25" s="9" t="s">
        <v>173</v>
      </c>
      <c r="H25" s="9" t="s">
        <v>174</v>
      </c>
      <c r="I25" s="9"/>
      <c r="J25" s="9" t="s">
        <v>175</v>
      </c>
      <c r="K25" s="12" t="s">
        <v>62</v>
      </c>
      <c r="L25" s="9">
        <v>1</v>
      </c>
      <c r="M25" s="9">
        <f t="shared" si="2"/>
        <v>100</v>
      </c>
      <c r="N25" s="9">
        <v>100</v>
      </c>
      <c r="O25" s="20" t="s">
        <v>25</v>
      </c>
      <c r="P25" s="16">
        <v>0.13700000000000001</v>
      </c>
      <c r="Q25" s="16">
        <f t="shared" si="1"/>
        <v>13.700000000000001</v>
      </c>
      <c r="R25" s="9"/>
    </row>
    <row r="26" spans="1:18" s="1" customFormat="1" ht="60">
      <c r="A26" s="6"/>
      <c r="B26" s="10">
        <f t="shared" si="0"/>
        <v>24</v>
      </c>
      <c r="C26" s="11" t="s">
        <v>176</v>
      </c>
      <c r="D26" s="12" t="s">
        <v>177</v>
      </c>
      <c r="E26" s="12" t="s">
        <v>178</v>
      </c>
      <c r="F26" s="12" t="s">
        <v>435</v>
      </c>
      <c r="G26" s="12" t="s">
        <v>179</v>
      </c>
      <c r="H26" s="12" t="s">
        <v>180</v>
      </c>
      <c r="I26" s="12"/>
      <c r="J26" s="12" t="s">
        <v>181</v>
      </c>
      <c r="K26" s="12" t="s">
        <v>62</v>
      </c>
      <c r="L26" s="12">
        <v>1</v>
      </c>
      <c r="M26" s="9">
        <f t="shared" si="2"/>
        <v>100</v>
      </c>
      <c r="N26" s="12">
        <v>100</v>
      </c>
      <c r="O26" s="21" t="s">
        <v>25</v>
      </c>
      <c r="P26" s="18">
        <v>9.1999999999999998E-2</v>
      </c>
      <c r="Q26" s="18">
        <f t="shared" si="1"/>
        <v>9.1999999999999993</v>
      </c>
      <c r="R26" s="12"/>
    </row>
    <row r="27" spans="1:18" s="1" customFormat="1" ht="60">
      <c r="A27" s="6"/>
      <c r="B27" s="7">
        <f t="shared" si="0"/>
        <v>25</v>
      </c>
      <c r="C27" s="8" t="s">
        <v>182</v>
      </c>
      <c r="D27" s="9" t="s">
        <v>183</v>
      </c>
      <c r="E27" s="9" t="s">
        <v>184</v>
      </c>
      <c r="F27" s="12" t="s">
        <v>435</v>
      </c>
      <c r="G27" s="9" t="s">
        <v>185</v>
      </c>
      <c r="H27" s="9" t="s">
        <v>186</v>
      </c>
      <c r="I27" s="9"/>
      <c r="J27" s="9" t="s">
        <v>187</v>
      </c>
      <c r="K27" s="12" t="s">
        <v>62</v>
      </c>
      <c r="L27" s="9">
        <v>1</v>
      </c>
      <c r="M27" s="9">
        <f t="shared" si="2"/>
        <v>100</v>
      </c>
      <c r="N27" s="9">
        <v>100</v>
      </c>
      <c r="O27" s="20" t="s">
        <v>25</v>
      </c>
      <c r="P27" s="16">
        <v>0.13189999999999999</v>
      </c>
      <c r="Q27" s="16">
        <f t="shared" si="1"/>
        <v>13.19</v>
      </c>
      <c r="R27" s="9"/>
    </row>
    <row r="28" spans="1:18" s="1" customFormat="1">
      <c r="A28" s="6"/>
      <c r="B28" s="10">
        <f t="shared" si="0"/>
        <v>26</v>
      </c>
      <c r="C28" s="11" t="s">
        <v>188</v>
      </c>
      <c r="D28" s="12" t="s">
        <v>189</v>
      </c>
      <c r="E28" s="12" t="s">
        <v>190</v>
      </c>
      <c r="F28" s="12" t="s">
        <v>435</v>
      </c>
      <c r="G28" s="12" t="s">
        <v>191</v>
      </c>
      <c r="H28" s="12" t="s">
        <v>192</v>
      </c>
      <c r="I28" s="12"/>
      <c r="J28" s="12" t="s">
        <v>62</v>
      </c>
      <c r="K28" s="12" t="s">
        <v>193</v>
      </c>
      <c r="L28" s="12">
        <v>1</v>
      </c>
      <c r="M28" s="9">
        <f t="shared" si="2"/>
        <v>100</v>
      </c>
      <c r="N28" s="12">
        <v>100</v>
      </c>
      <c r="O28" s="21" t="s">
        <v>63</v>
      </c>
      <c r="P28" s="18">
        <v>0.46929999999999999</v>
      </c>
      <c r="Q28" s="18">
        <f t="shared" si="1"/>
        <v>46.93</v>
      </c>
      <c r="R28" s="12"/>
    </row>
    <row r="29" spans="1:18" s="1" customFormat="1">
      <c r="A29" s="6"/>
      <c r="B29" s="7">
        <f t="shared" si="0"/>
        <v>27</v>
      </c>
      <c r="C29" s="8" t="s">
        <v>194</v>
      </c>
      <c r="D29" s="9" t="s">
        <v>195</v>
      </c>
      <c r="E29" s="9" t="s">
        <v>196</v>
      </c>
      <c r="F29" s="12" t="s">
        <v>435</v>
      </c>
      <c r="G29" s="9" t="s">
        <v>198</v>
      </c>
      <c r="H29" s="9" t="s">
        <v>199</v>
      </c>
      <c r="I29" s="9"/>
      <c r="J29" s="9" t="s">
        <v>200</v>
      </c>
      <c r="K29" s="9" t="s">
        <v>62</v>
      </c>
      <c r="L29" s="9">
        <v>1</v>
      </c>
      <c r="M29" s="9">
        <f t="shared" si="2"/>
        <v>100</v>
      </c>
      <c r="N29" s="9">
        <v>100</v>
      </c>
      <c r="O29" s="21" t="s">
        <v>25</v>
      </c>
      <c r="P29" s="16">
        <v>7.8100000000000003E-2</v>
      </c>
      <c r="Q29" s="16">
        <f t="shared" si="1"/>
        <v>7.8100000000000005</v>
      </c>
      <c r="R29" s="9"/>
    </row>
    <row r="30" spans="1:18" s="1" customFormat="1" ht="24">
      <c r="A30" s="6"/>
      <c r="B30" s="10">
        <f t="shared" si="0"/>
        <v>28</v>
      </c>
      <c r="C30" s="11" t="s">
        <v>202</v>
      </c>
      <c r="D30" s="12" t="s">
        <v>203</v>
      </c>
      <c r="E30" s="12" t="s">
        <v>204</v>
      </c>
      <c r="F30" s="12" t="s">
        <v>435</v>
      </c>
      <c r="G30" s="12" t="s">
        <v>206</v>
      </c>
      <c r="H30" s="12" t="s">
        <v>207</v>
      </c>
      <c r="I30" s="12"/>
      <c r="J30" s="12" t="s">
        <v>208</v>
      </c>
      <c r="K30" s="9" t="s">
        <v>62</v>
      </c>
      <c r="L30" s="12">
        <v>1</v>
      </c>
      <c r="M30" s="9">
        <f t="shared" si="2"/>
        <v>100</v>
      </c>
      <c r="N30" s="12">
        <v>100</v>
      </c>
      <c r="O30" s="21" t="s">
        <v>25</v>
      </c>
      <c r="P30" s="18">
        <v>0.26100000000000001</v>
      </c>
      <c r="Q30" s="18">
        <f t="shared" si="1"/>
        <v>26.1</v>
      </c>
      <c r="R30" s="12"/>
    </row>
    <row r="31" spans="1:18" s="1" customFormat="1" ht="24">
      <c r="A31" s="6"/>
      <c r="B31" s="7">
        <f t="shared" si="0"/>
        <v>29</v>
      </c>
      <c r="C31" s="8" t="s">
        <v>210</v>
      </c>
      <c r="D31" s="13" t="s">
        <v>211</v>
      </c>
      <c r="E31" s="14" t="s">
        <v>212</v>
      </c>
      <c r="F31" s="13" t="s">
        <v>435</v>
      </c>
      <c r="G31" s="13" t="s">
        <v>213</v>
      </c>
      <c r="H31" s="13" t="s">
        <v>62</v>
      </c>
      <c r="I31" s="22" t="s">
        <v>62</v>
      </c>
      <c r="J31" s="13" t="s">
        <v>62</v>
      </c>
      <c r="K31" s="9" t="s">
        <v>62</v>
      </c>
      <c r="L31" s="13">
        <v>5</v>
      </c>
      <c r="M31" s="9">
        <f t="shared" si="2"/>
        <v>500</v>
      </c>
      <c r="N31" s="13" t="s">
        <v>62</v>
      </c>
      <c r="O31" s="13" t="s">
        <v>62</v>
      </c>
      <c r="P31" s="13" t="s">
        <v>62</v>
      </c>
      <c r="Q31" s="25" t="s">
        <v>62</v>
      </c>
      <c r="R31" s="26" t="s">
        <v>214</v>
      </c>
    </row>
    <row r="32" spans="1:18" s="1" customFormat="1" ht="36">
      <c r="A32" s="6"/>
      <c r="B32" s="10">
        <f t="shared" si="0"/>
        <v>30</v>
      </c>
      <c r="C32" s="11" t="s">
        <v>215</v>
      </c>
      <c r="D32" s="12" t="s">
        <v>216</v>
      </c>
      <c r="E32" s="12" t="s">
        <v>217</v>
      </c>
      <c r="F32" s="12" t="s">
        <v>218</v>
      </c>
      <c r="G32" s="12" t="s">
        <v>219</v>
      </c>
      <c r="H32" s="12" t="s">
        <v>220</v>
      </c>
      <c r="I32" s="12"/>
      <c r="J32" s="12" t="s">
        <v>221</v>
      </c>
      <c r="K32" s="9" t="s">
        <v>62</v>
      </c>
      <c r="L32" s="12">
        <v>2</v>
      </c>
      <c r="M32" s="9">
        <f t="shared" si="2"/>
        <v>200</v>
      </c>
      <c r="N32" s="12">
        <v>200</v>
      </c>
      <c r="O32" s="23" t="s">
        <v>25</v>
      </c>
      <c r="P32" s="18" t="s">
        <v>222</v>
      </c>
      <c r="Q32" s="18">
        <f t="shared" ref="Q32:Q40" si="3">P32*N32</f>
        <v>3</v>
      </c>
      <c r="R32" s="12"/>
    </row>
    <row r="33" spans="1:18" s="1" customFormat="1" ht="36">
      <c r="A33" s="6"/>
      <c r="B33" s="7">
        <f t="shared" si="0"/>
        <v>31</v>
      </c>
      <c r="C33" s="8" t="s">
        <v>215</v>
      </c>
      <c r="D33" s="9" t="s">
        <v>223</v>
      </c>
      <c r="E33" s="9" t="s">
        <v>224</v>
      </c>
      <c r="F33" s="9" t="s">
        <v>225</v>
      </c>
      <c r="G33" s="9" t="s">
        <v>226</v>
      </c>
      <c r="H33" s="9" t="s">
        <v>227</v>
      </c>
      <c r="I33" s="9"/>
      <c r="J33" s="9" t="s">
        <v>228</v>
      </c>
      <c r="K33" s="9" t="s">
        <v>62</v>
      </c>
      <c r="L33" s="9">
        <v>1</v>
      </c>
      <c r="M33" s="9">
        <f t="shared" si="2"/>
        <v>100</v>
      </c>
      <c r="N33" s="9">
        <v>100</v>
      </c>
      <c r="O33" s="23" t="s">
        <v>25</v>
      </c>
      <c r="P33" s="16">
        <v>4.3099999999999999E-2</v>
      </c>
      <c r="Q33" s="16">
        <f t="shared" si="3"/>
        <v>4.3099999999999996</v>
      </c>
      <c r="R33" s="9"/>
    </row>
    <row r="34" spans="1:18" s="1" customFormat="1" ht="24">
      <c r="A34" s="6"/>
      <c r="B34" s="10">
        <f t="shared" si="0"/>
        <v>32</v>
      </c>
      <c r="C34" s="11" t="s">
        <v>230</v>
      </c>
      <c r="D34" s="12" t="s">
        <v>231</v>
      </c>
      <c r="E34" s="12" t="s">
        <v>232</v>
      </c>
      <c r="F34" s="12" t="s">
        <v>233</v>
      </c>
      <c r="G34" s="12" t="s">
        <v>234</v>
      </c>
      <c r="H34" s="12" t="s">
        <v>158</v>
      </c>
      <c r="I34" s="12"/>
      <c r="J34" s="12" t="s">
        <v>235</v>
      </c>
      <c r="K34" s="9" t="s">
        <v>62</v>
      </c>
      <c r="L34" s="12">
        <v>1</v>
      </c>
      <c r="M34" s="9">
        <f t="shared" si="2"/>
        <v>100</v>
      </c>
      <c r="N34" s="12">
        <v>100</v>
      </c>
      <c r="O34" s="23" t="s">
        <v>25</v>
      </c>
      <c r="P34" s="18" t="s">
        <v>236</v>
      </c>
      <c r="Q34" s="18">
        <f t="shared" si="3"/>
        <v>0.96</v>
      </c>
      <c r="R34" s="12"/>
    </row>
    <row r="35" spans="1:18" s="1" customFormat="1">
      <c r="A35" s="6"/>
      <c r="B35" s="7">
        <f t="shared" ref="B35:B68" si="4">ROW(B35)-ROW($B$2)</f>
        <v>33</v>
      </c>
      <c r="C35" s="8" t="s">
        <v>237</v>
      </c>
      <c r="D35" s="9" t="s">
        <v>238</v>
      </c>
      <c r="E35" s="9" t="s">
        <v>239</v>
      </c>
      <c r="F35" s="9" t="s">
        <v>240</v>
      </c>
      <c r="G35" s="9" t="s">
        <v>241</v>
      </c>
      <c r="H35" s="9" t="s">
        <v>22</v>
      </c>
      <c r="I35" s="9"/>
      <c r="J35" s="9" t="s">
        <v>242</v>
      </c>
      <c r="K35" s="9" t="s">
        <v>243</v>
      </c>
      <c r="L35" s="9">
        <v>4</v>
      </c>
      <c r="M35" s="9">
        <f t="shared" si="2"/>
        <v>400</v>
      </c>
      <c r="N35" s="9">
        <v>400</v>
      </c>
      <c r="O35" s="24" t="s">
        <v>25</v>
      </c>
      <c r="P35" s="16" t="s">
        <v>244</v>
      </c>
      <c r="Q35" s="16">
        <f t="shared" si="3"/>
        <v>0.24</v>
      </c>
      <c r="R35" s="9"/>
    </row>
    <row r="36" spans="1:18" s="1" customFormat="1">
      <c r="A36" s="6"/>
      <c r="B36" s="10">
        <f t="shared" si="4"/>
        <v>34</v>
      </c>
      <c r="C36" s="11" t="s">
        <v>237</v>
      </c>
      <c r="D36" s="12" t="s">
        <v>245</v>
      </c>
      <c r="E36" s="12" t="s">
        <v>246</v>
      </c>
      <c r="F36" s="12" t="s">
        <v>247</v>
      </c>
      <c r="G36" s="12" t="s">
        <v>248</v>
      </c>
      <c r="H36" s="9" t="s">
        <v>22</v>
      </c>
      <c r="I36" s="12"/>
      <c r="J36" s="12" t="s">
        <v>249</v>
      </c>
      <c r="K36" s="12" t="s">
        <v>243</v>
      </c>
      <c r="L36" s="12">
        <v>2</v>
      </c>
      <c r="M36" s="9">
        <f t="shared" ref="M36:M68" si="5">L36*100</f>
        <v>200</v>
      </c>
      <c r="N36" s="12">
        <v>200</v>
      </c>
      <c r="O36" s="23" t="s">
        <v>25</v>
      </c>
      <c r="P36" s="18">
        <v>2.1700000000000001E-2</v>
      </c>
      <c r="Q36" s="18">
        <f t="shared" si="3"/>
        <v>4.34</v>
      </c>
      <c r="R36" s="12"/>
    </row>
    <row r="37" spans="1:18" s="1" customFormat="1" ht="24">
      <c r="A37" s="6"/>
      <c r="B37" s="7">
        <f t="shared" si="4"/>
        <v>35</v>
      </c>
      <c r="C37" s="8" t="s">
        <v>237</v>
      </c>
      <c r="D37" s="9" t="s">
        <v>251</v>
      </c>
      <c r="E37" s="9" t="s">
        <v>252</v>
      </c>
      <c r="F37" s="9" t="s">
        <v>247</v>
      </c>
      <c r="G37" s="9" t="s">
        <v>253</v>
      </c>
      <c r="H37" s="9" t="s">
        <v>22</v>
      </c>
      <c r="I37" s="9"/>
      <c r="J37" s="9" t="s">
        <v>254</v>
      </c>
      <c r="K37" s="9" t="s">
        <v>255</v>
      </c>
      <c r="L37" s="9">
        <v>10</v>
      </c>
      <c r="M37" s="9">
        <f t="shared" si="5"/>
        <v>1000</v>
      </c>
      <c r="N37" s="9">
        <v>1000</v>
      </c>
      <c r="O37" s="23" t="s">
        <v>25</v>
      </c>
      <c r="P37" s="16">
        <v>8.0000000000000004E-4</v>
      </c>
      <c r="Q37" s="16">
        <f t="shared" si="3"/>
        <v>0.8</v>
      </c>
      <c r="R37" s="9"/>
    </row>
    <row r="38" spans="1:18" s="1" customFormat="1">
      <c r="A38" s="6"/>
      <c r="B38" s="10">
        <f t="shared" si="4"/>
        <v>36</v>
      </c>
      <c r="C38" s="11" t="s">
        <v>237</v>
      </c>
      <c r="D38" s="12" t="s">
        <v>257</v>
      </c>
      <c r="E38" s="12" t="s">
        <v>258</v>
      </c>
      <c r="F38" s="12" t="s">
        <v>247</v>
      </c>
      <c r="G38" s="12" t="s">
        <v>259</v>
      </c>
      <c r="H38" s="12" t="s">
        <v>22</v>
      </c>
      <c r="I38" s="12"/>
      <c r="J38" s="12" t="s">
        <v>260</v>
      </c>
      <c r="K38" s="12" t="s">
        <v>261</v>
      </c>
      <c r="L38" s="12">
        <v>3</v>
      </c>
      <c r="M38" s="9">
        <f t="shared" si="5"/>
        <v>300</v>
      </c>
      <c r="N38" s="12">
        <v>300</v>
      </c>
      <c r="O38" s="24" t="s">
        <v>25</v>
      </c>
      <c r="P38" s="18" t="s">
        <v>262</v>
      </c>
      <c r="Q38" s="18">
        <f t="shared" si="3"/>
        <v>0.36</v>
      </c>
      <c r="R38" s="12"/>
    </row>
    <row r="39" spans="1:18" s="1" customFormat="1">
      <c r="A39" s="6"/>
      <c r="B39" s="7">
        <f t="shared" si="4"/>
        <v>37</v>
      </c>
      <c r="C39" s="8" t="s">
        <v>237</v>
      </c>
      <c r="D39" s="9" t="s">
        <v>263</v>
      </c>
      <c r="E39" s="9" t="s">
        <v>264</v>
      </c>
      <c r="F39" s="9" t="s">
        <v>247</v>
      </c>
      <c r="G39" s="9" t="s">
        <v>265</v>
      </c>
      <c r="H39" s="9" t="s">
        <v>22</v>
      </c>
      <c r="I39" s="9"/>
      <c r="J39" s="9" t="s">
        <v>266</v>
      </c>
      <c r="K39" s="9" t="s">
        <v>243</v>
      </c>
      <c r="L39" s="9">
        <v>6</v>
      </c>
      <c r="M39" s="9">
        <f t="shared" si="5"/>
        <v>600</v>
      </c>
      <c r="N39" s="9">
        <v>600</v>
      </c>
      <c r="O39" s="23" t="s">
        <v>25</v>
      </c>
      <c r="P39" s="16" t="s">
        <v>256</v>
      </c>
      <c r="Q39" s="16">
        <f t="shared" si="3"/>
        <v>0.66</v>
      </c>
      <c r="R39" s="9"/>
    </row>
    <row r="40" spans="1:18" s="1" customFormat="1" ht="36">
      <c r="A40" s="6"/>
      <c r="B40" s="10">
        <f t="shared" si="4"/>
        <v>38</v>
      </c>
      <c r="C40" s="11" t="s">
        <v>237</v>
      </c>
      <c r="D40" s="12" t="s">
        <v>267</v>
      </c>
      <c r="E40" s="12" t="s">
        <v>268</v>
      </c>
      <c r="F40" s="12" t="s">
        <v>269</v>
      </c>
      <c r="G40" s="12" t="s">
        <v>270</v>
      </c>
      <c r="H40" s="12" t="s">
        <v>271</v>
      </c>
      <c r="I40" s="12"/>
      <c r="J40" s="12" t="s">
        <v>272</v>
      </c>
      <c r="K40" s="12" t="s">
        <v>273</v>
      </c>
      <c r="L40" s="12">
        <v>1</v>
      </c>
      <c r="M40" s="9">
        <f t="shared" si="5"/>
        <v>100</v>
      </c>
      <c r="N40" s="12" t="s">
        <v>40</v>
      </c>
      <c r="O40" s="24" t="s">
        <v>25</v>
      </c>
      <c r="P40" s="18" t="s">
        <v>274</v>
      </c>
      <c r="Q40" s="18">
        <f t="shared" si="3"/>
        <v>0.21</v>
      </c>
      <c r="R40" s="12"/>
    </row>
    <row r="41" spans="1:18" s="1" customFormat="1" ht="24">
      <c r="A41" s="6"/>
      <c r="B41" s="7">
        <f t="shared" si="4"/>
        <v>39</v>
      </c>
      <c r="C41" s="8" t="s">
        <v>237</v>
      </c>
      <c r="D41" s="13" t="s">
        <v>275</v>
      </c>
      <c r="E41" s="13" t="s">
        <v>258</v>
      </c>
      <c r="F41" s="13" t="s">
        <v>247</v>
      </c>
      <c r="G41" s="13" t="s">
        <v>259</v>
      </c>
      <c r="H41" s="13" t="s">
        <v>22</v>
      </c>
      <c r="I41" s="13"/>
      <c r="J41" s="13" t="s">
        <v>260</v>
      </c>
      <c r="K41" s="13" t="s">
        <v>276</v>
      </c>
      <c r="L41" s="13">
        <v>2</v>
      </c>
      <c r="M41" s="9">
        <f t="shared" si="5"/>
        <v>200</v>
      </c>
      <c r="N41" s="13" t="s">
        <v>40</v>
      </c>
      <c r="O41" s="24" t="s">
        <v>25</v>
      </c>
      <c r="P41" s="25" t="s">
        <v>62</v>
      </c>
      <c r="Q41" s="25" t="s">
        <v>62</v>
      </c>
      <c r="R41" s="26" t="s">
        <v>214</v>
      </c>
    </row>
    <row r="42" spans="1:18" s="1" customFormat="1">
      <c r="A42" s="6"/>
      <c r="B42" s="10">
        <f t="shared" si="4"/>
        <v>40</v>
      </c>
      <c r="C42" s="11" t="s">
        <v>237</v>
      </c>
      <c r="D42" s="12" t="s">
        <v>277</v>
      </c>
      <c r="E42" s="12" t="s">
        <v>278</v>
      </c>
      <c r="F42" s="12" t="s">
        <v>240</v>
      </c>
      <c r="G42" s="12" t="s">
        <v>279</v>
      </c>
      <c r="H42" s="12" t="s">
        <v>22</v>
      </c>
      <c r="I42" s="12"/>
      <c r="J42" s="12" t="s">
        <v>280</v>
      </c>
      <c r="K42" s="12" t="s">
        <v>281</v>
      </c>
      <c r="L42" s="12">
        <v>1</v>
      </c>
      <c r="M42" s="9">
        <f t="shared" si="5"/>
        <v>100</v>
      </c>
      <c r="N42" s="12" t="s">
        <v>40</v>
      </c>
      <c r="O42" s="24" t="s">
        <v>25</v>
      </c>
      <c r="P42" s="18" t="s">
        <v>282</v>
      </c>
      <c r="Q42" s="18">
        <f t="shared" ref="Q42:Q54" si="6">P42*N42</f>
        <v>6.9999999999999993E-2</v>
      </c>
      <c r="R42" s="12"/>
    </row>
    <row r="43" spans="1:18" s="1" customFormat="1">
      <c r="A43" s="6"/>
      <c r="B43" s="7">
        <f t="shared" si="4"/>
        <v>41</v>
      </c>
      <c r="C43" s="8" t="s">
        <v>237</v>
      </c>
      <c r="D43" s="9" t="s">
        <v>283</v>
      </c>
      <c r="E43" s="9" t="s">
        <v>284</v>
      </c>
      <c r="F43" s="9" t="s">
        <v>240</v>
      </c>
      <c r="G43" s="9" t="s">
        <v>285</v>
      </c>
      <c r="H43" s="9" t="s">
        <v>22</v>
      </c>
      <c r="I43" s="9"/>
      <c r="J43" s="9" t="s">
        <v>286</v>
      </c>
      <c r="K43" s="9" t="s">
        <v>287</v>
      </c>
      <c r="L43" s="9">
        <v>1</v>
      </c>
      <c r="M43" s="9">
        <f t="shared" si="5"/>
        <v>100</v>
      </c>
      <c r="N43" s="9" t="s">
        <v>40</v>
      </c>
      <c r="O43" s="24" t="s">
        <v>25</v>
      </c>
      <c r="P43" s="16" t="s">
        <v>282</v>
      </c>
      <c r="Q43" s="16">
        <f t="shared" si="6"/>
        <v>6.9999999999999993E-2</v>
      </c>
      <c r="R43" s="9"/>
    </row>
    <row r="44" spans="1:18" s="1" customFormat="1">
      <c r="A44" s="6"/>
      <c r="B44" s="10">
        <f t="shared" si="4"/>
        <v>42</v>
      </c>
      <c r="C44" s="11" t="s">
        <v>288</v>
      </c>
      <c r="D44" s="12" t="s">
        <v>289</v>
      </c>
      <c r="E44" s="12" t="s">
        <v>290</v>
      </c>
      <c r="F44" s="12" t="s">
        <v>240</v>
      </c>
      <c r="G44" s="12" t="s">
        <v>291</v>
      </c>
      <c r="H44" s="12" t="s">
        <v>22</v>
      </c>
      <c r="I44" s="12"/>
      <c r="J44" s="12" t="s">
        <v>292</v>
      </c>
      <c r="K44" s="12" t="s">
        <v>255</v>
      </c>
      <c r="L44" s="12">
        <v>1</v>
      </c>
      <c r="M44" s="9">
        <f t="shared" si="5"/>
        <v>100</v>
      </c>
      <c r="N44" s="12" t="s">
        <v>40</v>
      </c>
      <c r="O44" s="24" t="s">
        <v>25</v>
      </c>
      <c r="P44" s="18" t="s">
        <v>244</v>
      </c>
      <c r="Q44" s="18">
        <f t="shared" si="6"/>
        <v>0.06</v>
      </c>
      <c r="R44" s="12"/>
    </row>
    <row r="45" spans="1:18" s="1" customFormat="1">
      <c r="A45" s="6"/>
      <c r="B45" s="7">
        <f t="shared" si="4"/>
        <v>43</v>
      </c>
      <c r="C45" s="8" t="s">
        <v>237</v>
      </c>
      <c r="D45" s="9" t="s">
        <v>293</v>
      </c>
      <c r="E45" s="9" t="s">
        <v>294</v>
      </c>
      <c r="F45" s="9" t="s">
        <v>240</v>
      </c>
      <c r="G45" s="9" t="s">
        <v>295</v>
      </c>
      <c r="H45" s="9" t="s">
        <v>22</v>
      </c>
      <c r="I45" s="9"/>
      <c r="J45" s="9" t="s">
        <v>296</v>
      </c>
      <c r="K45" s="9" t="s">
        <v>297</v>
      </c>
      <c r="L45" s="9">
        <v>2</v>
      </c>
      <c r="M45" s="9">
        <f t="shared" si="5"/>
        <v>200</v>
      </c>
      <c r="N45" s="9">
        <v>200</v>
      </c>
      <c r="O45" s="24" t="s">
        <v>25</v>
      </c>
      <c r="P45" s="16" t="s">
        <v>244</v>
      </c>
      <c r="Q45" s="16">
        <f t="shared" si="6"/>
        <v>0.12</v>
      </c>
      <c r="R45" s="9"/>
    </row>
    <row r="46" spans="1:18" s="1" customFormat="1">
      <c r="A46" s="6"/>
      <c r="B46" s="10">
        <f t="shared" si="4"/>
        <v>44</v>
      </c>
      <c r="C46" s="11" t="s">
        <v>237</v>
      </c>
      <c r="D46" s="12" t="s">
        <v>298</v>
      </c>
      <c r="E46" s="12" t="s">
        <v>299</v>
      </c>
      <c r="F46" s="12" t="s">
        <v>240</v>
      </c>
      <c r="G46" s="12" t="s">
        <v>300</v>
      </c>
      <c r="H46" s="12" t="s">
        <v>22</v>
      </c>
      <c r="I46" s="12"/>
      <c r="J46" s="12" t="s">
        <v>301</v>
      </c>
      <c r="K46" s="12" t="s">
        <v>302</v>
      </c>
      <c r="L46" s="12">
        <v>2</v>
      </c>
      <c r="M46" s="9">
        <f t="shared" si="5"/>
        <v>200</v>
      </c>
      <c r="N46" s="12" t="s">
        <v>40</v>
      </c>
      <c r="O46" s="24" t="s">
        <v>25</v>
      </c>
      <c r="P46" s="18" t="s">
        <v>282</v>
      </c>
      <c r="Q46" s="18">
        <f t="shared" si="6"/>
        <v>6.9999999999999993E-2</v>
      </c>
      <c r="R46" s="12"/>
    </row>
    <row r="47" spans="1:18" s="1" customFormat="1">
      <c r="A47" s="6"/>
      <c r="B47" s="7">
        <f t="shared" si="4"/>
        <v>45</v>
      </c>
      <c r="C47" s="8" t="s">
        <v>237</v>
      </c>
      <c r="D47" s="9" t="s">
        <v>303</v>
      </c>
      <c r="E47" s="9" t="s">
        <v>304</v>
      </c>
      <c r="F47" s="9" t="s">
        <v>240</v>
      </c>
      <c r="G47" s="9" t="s">
        <v>305</v>
      </c>
      <c r="H47" s="9" t="s">
        <v>22</v>
      </c>
      <c r="I47" s="9"/>
      <c r="J47" s="9" t="s">
        <v>306</v>
      </c>
      <c r="K47" s="9" t="s">
        <v>307</v>
      </c>
      <c r="L47" s="9">
        <v>5</v>
      </c>
      <c r="M47" s="9">
        <f t="shared" si="5"/>
        <v>500</v>
      </c>
      <c r="N47" s="9">
        <v>500</v>
      </c>
      <c r="O47" s="24" t="s">
        <v>25</v>
      </c>
      <c r="P47" s="16" t="s">
        <v>282</v>
      </c>
      <c r="Q47" s="16">
        <f t="shared" si="6"/>
        <v>0.35</v>
      </c>
      <c r="R47" s="9"/>
    </row>
    <row r="48" spans="1:18" s="1" customFormat="1">
      <c r="A48" s="6"/>
      <c r="B48" s="10">
        <f t="shared" si="4"/>
        <v>46</v>
      </c>
      <c r="C48" s="11" t="s">
        <v>237</v>
      </c>
      <c r="D48" s="12" t="s">
        <v>308</v>
      </c>
      <c r="E48" s="12" t="s">
        <v>309</v>
      </c>
      <c r="F48" s="12" t="s">
        <v>247</v>
      </c>
      <c r="G48" s="12" t="s">
        <v>310</v>
      </c>
      <c r="H48" s="12" t="s">
        <v>22</v>
      </c>
      <c r="I48" s="12"/>
      <c r="J48" s="12" t="s">
        <v>311</v>
      </c>
      <c r="K48" s="12" t="s">
        <v>312</v>
      </c>
      <c r="L48" s="12">
        <v>1</v>
      </c>
      <c r="M48" s="9">
        <f t="shared" si="5"/>
        <v>100</v>
      </c>
      <c r="N48" s="12" t="s">
        <v>40</v>
      </c>
      <c r="O48" s="24" t="s">
        <v>25</v>
      </c>
      <c r="P48" s="18" t="s">
        <v>262</v>
      </c>
      <c r="Q48" s="18">
        <f t="shared" si="6"/>
        <v>0.12</v>
      </c>
      <c r="R48" s="12"/>
    </row>
    <row r="49" spans="1:18" s="1" customFormat="1">
      <c r="A49" s="6"/>
      <c r="B49" s="7">
        <f t="shared" si="4"/>
        <v>47</v>
      </c>
      <c r="C49" s="8" t="s">
        <v>237</v>
      </c>
      <c r="D49" s="9" t="s">
        <v>313</v>
      </c>
      <c r="E49" s="9" t="s">
        <v>314</v>
      </c>
      <c r="F49" s="9" t="s">
        <v>247</v>
      </c>
      <c r="G49" s="9" t="s">
        <v>315</v>
      </c>
      <c r="H49" s="9" t="s">
        <v>22</v>
      </c>
      <c r="I49" s="9"/>
      <c r="J49" s="9" t="s">
        <v>316</v>
      </c>
      <c r="K49" s="9" t="s">
        <v>317</v>
      </c>
      <c r="L49" s="9">
        <v>1</v>
      </c>
      <c r="M49" s="9">
        <f t="shared" si="5"/>
        <v>100</v>
      </c>
      <c r="N49" s="9" t="s">
        <v>40</v>
      </c>
      <c r="O49" s="24" t="s">
        <v>25</v>
      </c>
      <c r="P49" s="16" t="s">
        <v>318</v>
      </c>
      <c r="Q49" s="16">
        <f t="shared" si="6"/>
        <v>0.53</v>
      </c>
      <c r="R49" s="9"/>
    </row>
    <row r="50" spans="1:18" s="1" customFormat="1">
      <c r="A50" s="6"/>
      <c r="B50" s="10">
        <f t="shared" si="4"/>
        <v>48</v>
      </c>
      <c r="C50" s="11" t="s">
        <v>237</v>
      </c>
      <c r="D50" s="12" t="s">
        <v>319</v>
      </c>
      <c r="E50" s="12" t="s">
        <v>246</v>
      </c>
      <c r="F50" s="12" t="s">
        <v>247</v>
      </c>
      <c r="G50" s="12" t="s">
        <v>248</v>
      </c>
      <c r="H50" s="12" t="s">
        <v>320</v>
      </c>
      <c r="I50" s="12"/>
      <c r="J50" s="12" t="s">
        <v>249</v>
      </c>
      <c r="K50" s="12" t="s">
        <v>243</v>
      </c>
      <c r="L50" s="12">
        <v>4</v>
      </c>
      <c r="M50" s="9">
        <f t="shared" si="5"/>
        <v>400</v>
      </c>
      <c r="N50" s="12">
        <v>400</v>
      </c>
      <c r="O50" s="23" t="s">
        <v>25</v>
      </c>
      <c r="P50" s="18">
        <v>2.1700000000000001E-2</v>
      </c>
      <c r="Q50" s="18">
        <f t="shared" si="6"/>
        <v>8.68</v>
      </c>
      <c r="R50" s="12"/>
    </row>
    <row r="51" spans="1:18" s="1" customFormat="1">
      <c r="A51" s="6"/>
      <c r="B51" s="7">
        <f t="shared" si="4"/>
        <v>49</v>
      </c>
      <c r="C51" s="8" t="s">
        <v>237</v>
      </c>
      <c r="D51" s="9" t="s">
        <v>321</v>
      </c>
      <c r="E51" s="9" t="s">
        <v>322</v>
      </c>
      <c r="F51" s="9" t="s">
        <v>247</v>
      </c>
      <c r="G51" s="9" t="s">
        <v>323</v>
      </c>
      <c r="H51" s="9" t="s">
        <v>22</v>
      </c>
      <c r="I51" s="9"/>
      <c r="J51" s="9" t="s">
        <v>324</v>
      </c>
      <c r="K51" s="9" t="s">
        <v>307</v>
      </c>
      <c r="L51" s="9">
        <v>2</v>
      </c>
      <c r="M51" s="9">
        <f t="shared" si="5"/>
        <v>200</v>
      </c>
      <c r="N51" s="9">
        <v>200</v>
      </c>
      <c r="O51" s="24" t="s">
        <v>25</v>
      </c>
      <c r="P51" s="16" t="s">
        <v>256</v>
      </c>
      <c r="Q51" s="16">
        <f t="shared" si="6"/>
        <v>0.22</v>
      </c>
      <c r="R51" s="9"/>
    </row>
    <row r="52" spans="1:18" s="1" customFormat="1">
      <c r="A52" s="6"/>
      <c r="B52" s="10">
        <f t="shared" si="4"/>
        <v>50</v>
      </c>
      <c r="C52" s="11" t="s">
        <v>237</v>
      </c>
      <c r="D52" s="12" t="s">
        <v>325</v>
      </c>
      <c r="E52" s="12" t="s">
        <v>326</v>
      </c>
      <c r="F52" s="12" t="s">
        <v>247</v>
      </c>
      <c r="G52" s="12" t="s">
        <v>327</v>
      </c>
      <c r="H52" s="12" t="s">
        <v>22</v>
      </c>
      <c r="I52" s="12"/>
      <c r="J52" s="12" t="s">
        <v>328</v>
      </c>
      <c r="K52" s="12" t="s">
        <v>329</v>
      </c>
      <c r="L52" s="12">
        <v>1</v>
      </c>
      <c r="M52" s="9">
        <f t="shared" si="5"/>
        <v>100</v>
      </c>
      <c r="N52" s="12" t="s">
        <v>40</v>
      </c>
      <c r="O52" s="24" t="s">
        <v>25</v>
      </c>
      <c r="P52" s="18" t="s">
        <v>262</v>
      </c>
      <c r="Q52" s="18">
        <f t="shared" si="6"/>
        <v>0.12</v>
      </c>
      <c r="R52" s="12"/>
    </row>
    <row r="53" spans="1:18" s="1" customFormat="1">
      <c r="A53" s="6"/>
      <c r="B53" s="7">
        <f t="shared" si="4"/>
        <v>51</v>
      </c>
      <c r="C53" s="8" t="s">
        <v>288</v>
      </c>
      <c r="D53" s="9" t="s">
        <v>330</v>
      </c>
      <c r="E53" s="9" t="s">
        <v>331</v>
      </c>
      <c r="F53" s="9" t="s">
        <v>247</v>
      </c>
      <c r="G53" s="9" t="s">
        <v>332</v>
      </c>
      <c r="H53" s="9" t="s">
        <v>22</v>
      </c>
      <c r="I53" s="9"/>
      <c r="J53" s="9" t="s">
        <v>333</v>
      </c>
      <c r="K53" s="9" t="s">
        <v>334</v>
      </c>
      <c r="L53" s="9">
        <v>1</v>
      </c>
      <c r="M53" s="9">
        <f t="shared" si="5"/>
        <v>100</v>
      </c>
      <c r="N53" s="9" t="s">
        <v>40</v>
      </c>
      <c r="O53" s="24" t="s">
        <v>25</v>
      </c>
      <c r="P53" s="16" t="s">
        <v>335</v>
      </c>
      <c r="Q53" s="16">
        <f t="shared" si="6"/>
        <v>0.1</v>
      </c>
      <c r="R53" s="9"/>
    </row>
    <row r="54" spans="1:18" s="1" customFormat="1">
      <c r="A54" s="6"/>
      <c r="B54" s="10">
        <f t="shared" si="4"/>
        <v>52</v>
      </c>
      <c r="C54" s="11" t="s">
        <v>237</v>
      </c>
      <c r="D54" s="12" t="s">
        <v>336</v>
      </c>
      <c r="E54" s="12" t="s">
        <v>337</v>
      </c>
      <c r="F54" s="12" t="s">
        <v>240</v>
      </c>
      <c r="G54" s="12" t="s">
        <v>338</v>
      </c>
      <c r="H54" s="12" t="s">
        <v>22</v>
      </c>
      <c r="I54" s="12"/>
      <c r="J54" s="12" t="s">
        <v>339</v>
      </c>
      <c r="K54" s="12" t="s">
        <v>334</v>
      </c>
      <c r="L54" s="12">
        <v>1</v>
      </c>
      <c r="M54" s="9">
        <f t="shared" si="5"/>
        <v>100</v>
      </c>
      <c r="N54" s="12" t="s">
        <v>40</v>
      </c>
      <c r="O54" s="24" t="s">
        <v>25</v>
      </c>
      <c r="P54" s="18" t="s">
        <v>244</v>
      </c>
      <c r="Q54" s="18">
        <f t="shared" si="6"/>
        <v>0.06</v>
      </c>
      <c r="R54" s="12"/>
    </row>
    <row r="55" spans="1:18" s="1" customFormat="1" ht="24">
      <c r="A55" s="6"/>
      <c r="B55" s="7">
        <f t="shared" si="4"/>
        <v>53</v>
      </c>
      <c r="C55" s="8" t="s">
        <v>288</v>
      </c>
      <c r="D55" s="13" t="s">
        <v>340</v>
      </c>
      <c r="E55" s="13" t="s">
        <v>331</v>
      </c>
      <c r="F55" s="13" t="s">
        <v>247</v>
      </c>
      <c r="G55" s="13" t="s">
        <v>332</v>
      </c>
      <c r="H55" s="13" t="s">
        <v>22</v>
      </c>
      <c r="I55" s="13"/>
      <c r="J55" s="13" t="s">
        <v>333</v>
      </c>
      <c r="K55" s="13" t="s">
        <v>276</v>
      </c>
      <c r="L55" s="13">
        <v>1</v>
      </c>
      <c r="M55" s="9">
        <f t="shared" si="5"/>
        <v>100</v>
      </c>
      <c r="N55" s="13" t="s">
        <v>40</v>
      </c>
      <c r="O55" s="24" t="s">
        <v>62</v>
      </c>
      <c r="P55" s="25" t="s">
        <v>62</v>
      </c>
      <c r="Q55" s="25" t="s">
        <v>62</v>
      </c>
      <c r="R55" s="26" t="s">
        <v>214</v>
      </c>
    </row>
    <row r="56" spans="1:18" s="1" customFormat="1" ht="24">
      <c r="A56" s="6"/>
      <c r="B56" s="7">
        <f t="shared" si="4"/>
        <v>54</v>
      </c>
      <c r="C56" s="11" t="s">
        <v>237</v>
      </c>
      <c r="D56" s="13" t="s">
        <v>439</v>
      </c>
      <c r="E56" s="14" t="s">
        <v>252</v>
      </c>
      <c r="F56" s="13" t="s">
        <v>247</v>
      </c>
      <c r="G56" s="14" t="s">
        <v>253</v>
      </c>
      <c r="H56" s="13" t="s">
        <v>22</v>
      </c>
      <c r="I56" s="13"/>
      <c r="J56" s="13" t="s">
        <v>62</v>
      </c>
      <c r="K56" s="13" t="s">
        <v>276</v>
      </c>
      <c r="L56" s="13">
        <v>1</v>
      </c>
      <c r="M56" s="9">
        <f t="shared" si="5"/>
        <v>100</v>
      </c>
      <c r="N56" s="13" t="s">
        <v>40</v>
      </c>
      <c r="O56" s="24" t="s">
        <v>62</v>
      </c>
      <c r="P56" s="25" t="s">
        <v>62</v>
      </c>
      <c r="Q56" s="25" t="s">
        <v>62</v>
      </c>
      <c r="R56" s="26" t="s">
        <v>214</v>
      </c>
    </row>
    <row r="57" spans="1:18" s="1" customFormat="1">
      <c r="A57" s="6"/>
      <c r="B57" s="10">
        <f t="shared" si="4"/>
        <v>55</v>
      </c>
      <c r="C57" s="11" t="s">
        <v>341</v>
      </c>
      <c r="D57" s="12" t="s">
        <v>342</v>
      </c>
      <c r="E57" s="12" t="s">
        <v>343</v>
      </c>
      <c r="F57" s="12" t="s">
        <v>435</v>
      </c>
      <c r="G57" s="12" t="s">
        <v>344</v>
      </c>
      <c r="H57" s="12" t="s">
        <v>345</v>
      </c>
      <c r="I57" s="12"/>
      <c r="J57" s="12" t="s">
        <v>346</v>
      </c>
      <c r="K57" s="12" t="s">
        <v>62</v>
      </c>
      <c r="L57" s="12">
        <v>2</v>
      </c>
      <c r="M57" s="9">
        <f t="shared" si="5"/>
        <v>200</v>
      </c>
      <c r="N57" s="12">
        <v>200</v>
      </c>
      <c r="O57" s="23" t="s">
        <v>25</v>
      </c>
      <c r="P57" s="18">
        <v>0.1012</v>
      </c>
      <c r="Q57" s="18">
        <f t="shared" ref="Q57:Q68" si="7">P57*N57</f>
        <v>20.239999999999998</v>
      </c>
      <c r="R57" s="12"/>
    </row>
    <row r="58" spans="1:18" s="1" customFormat="1">
      <c r="A58" s="6"/>
      <c r="B58" s="7">
        <f t="shared" si="4"/>
        <v>56</v>
      </c>
      <c r="C58" s="8" t="s">
        <v>348</v>
      </c>
      <c r="D58" s="9" t="s">
        <v>349</v>
      </c>
      <c r="E58" s="35" t="s">
        <v>436</v>
      </c>
      <c r="F58" s="12" t="s">
        <v>435</v>
      </c>
      <c r="G58" s="35" t="s">
        <v>437</v>
      </c>
      <c r="H58" s="9" t="s">
        <v>350</v>
      </c>
      <c r="I58" s="9"/>
      <c r="J58" s="9" t="s">
        <v>438</v>
      </c>
      <c r="K58" s="12" t="s">
        <v>62</v>
      </c>
      <c r="L58" s="9">
        <v>1</v>
      </c>
      <c r="M58" s="9">
        <f t="shared" si="5"/>
        <v>100</v>
      </c>
      <c r="N58" s="9">
        <v>100</v>
      </c>
      <c r="O58" s="32" t="s">
        <v>25</v>
      </c>
      <c r="P58" s="16">
        <v>2.9537</v>
      </c>
      <c r="Q58" s="16">
        <f t="shared" si="7"/>
        <v>295.37</v>
      </c>
      <c r="R58" s="9"/>
    </row>
    <row r="59" spans="1:18" s="1" customFormat="1">
      <c r="A59" s="6"/>
      <c r="B59" s="10">
        <f t="shared" si="4"/>
        <v>57</v>
      </c>
      <c r="C59" s="11" t="s">
        <v>351</v>
      </c>
      <c r="D59" s="12" t="s">
        <v>352</v>
      </c>
      <c r="E59" s="12" t="s">
        <v>343</v>
      </c>
      <c r="F59" s="12" t="s">
        <v>435</v>
      </c>
      <c r="G59" s="12" t="s">
        <v>354</v>
      </c>
      <c r="H59" s="12" t="s">
        <v>355</v>
      </c>
      <c r="I59" s="12"/>
      <c r="J59" s="12" t="s">
        <v>356</v>
      </c>
      <c r="K59" s="12" t="s">
        <v>62</v>
      </c>
      <c r="L59" s="12">
        <v>3</v>
      </c>
      <c r="M59" s="9">
        <f t="shared" si="5"/>
        <v>300</v>
      </c>
      <c r="N59" s="12">
        <v>300</v>
      </c>
      <c r="O59" s="23" t="s">
        <v>25</v>
      </c>
      <c r="P59" s="18">
        <v>0.51959999999999995</v>
      </c>
      <c r="Q59" s="18">
        <f t="shared" si="7"/>
        <v>155.88</v>
      </c>
      <c r="R59" s="12"/>
    </row>
    <row r="60" spans="1:18" s="1" customFormat="1" ht="24">
      <c r="A60" s="6"/>
      <c r="B60" s="7">
        <f t="shared" si="4"/>
        <v>58</v>
      </c>
      <c r="C60" s="8" t="s">
        <v>359</v>
      </c>
      <c r="D60" s="9" t="s">
        <v>360</v>
      </c>
      <c r="E60" s="9" t="s">
        <v>361</v>
      </c>
      <c r="F60" s="9" t="s">
        <v>362</v>
      </c>
      <c r="G60" s="9" t="s">
        <v>363</v>
      </c>
      <c r="H60" s="9" t="s">
        <v>364</v>
      </c>
      <c r="I60" s="9"/>
      <c r="J60" s="9" t="s">
        <v>365</v>
      </c>
      <c r="K60" s="12" t="s">
        <v>62</v>
      </c>
      <c r="L60" s="9">
        <v>1</v>
      </c>
      <c r="M60" s="9">
        <f t="shared" si="5"/>
        <v>100</v>
      </c>
      <c r="N60" s="9">
        <v>100</v>
      </c>
      <c r="O60" s="23" t="s">
        <v>25</v>
      </c>
      <c r="P60" s="16">
        <v>3.3996</v>
      </c>
      <c r="Q60" s="16">
        <f t="shared" si="7"/>
        <v>339.96</v>
      </c>
      <c r="R60" s="9"/>
    </row>
    <row r="61" spans="1:18" s="1" customFormat="1" ht="24">
      <c r="A61" s="6"/>
      <c r="B61" s="10">
        <f t="shared" si="4"/>
        <v>59</v>
      </c>
      <c r="C61" s="11" t="s">
        <v>367</v>
      </c>
      <c r="D61" s="12" t="s">
        <v>368</v>
      </c>
      <c r="E61" s="12" t="s">
        <v>369</v>
      </c>
      <c r="F61" s="12" t="s">
        <v>435</v>
      </c>
      <c r="G61" s="12" t="s">
        <v>370</v>
      </c>
      <c r="H61" s="12" t="s">
        <v>371</v>
      </c>
      <c r="I61" s="12"/>
      <c r="J61" s="12" t="s">
        <v>372</v>
      </c>
      <c r="K61" s="12" t="s">
        <v>62</v>
      </c>
      <c r="L61" s="12">
        <v>1</v>
      </c>
      <c r="M61" s="9">
        <f t="shared" si="5"/>
        <v>100</v>
      </c>
      <c r="N61" s="12">
        <v>100</v>
      </c>
      <c r="O61" s="23" t="s">
        <v>25</v>
      </c>
      <c r="P61" s="18">
        <v>0.55879999999999996</v>
      </c>
      <c r="Q61" s="18">
        <f t="shared" si="7"/>
        <v>55.879999999999995</v>
      </c>
      <c r="R61" s="12"/>
    </row>
    <row r="62" spans="1:18" s="1" customFormat="1" ht="24">
      <c r="A62" s="6"/>
      <c r="B62" s="7">
        <f t="shared" si="4"/>
        <v>60</v>
      </c>
      <c r="C62" s="8" t="s">
        <v>374</v>
      </c>
      <c r="D62" s="9" t="s">
        <v>375</v>
      </c>
      <c r="E62" s="9" t="s">
        <v>376</v>
      </c>
      <c r="F62" s="9" t="s">
        <v>377</v>
      </c>
      <c r="G62" s="9" t="s">
        <v>378</v>
      </c>
      <c r="H62" s="9" t="s">
        <v>379</v>
      </c>
      <c r="I62" s="9"/>
      <c r="J62" s="9" t="s">
        <v>380</v>
      </c>
      <c r="K62" s="12" t="s">
        <v>62</v>
      </c>
      <c r="L62" s="9">
        <v>1</v>
      </c>
      <c r="M62" s="9">
        <f t="shared" si="5"/>
        <v>100</v>
      </c>
      <c r="N62" s="9">
        <v>100</v>
      </c>
      <c r="O62" s="23" t="s">
        <v>25</v>
      </c>
      <c r="P62" s="16">
        <v>0.53549999999999998</v>
      </c>
      <c r="Q62" s="16">
        <f t="shared" si="7"/>
        <v>53.55</v>
      </c>
      <c r="R62" s="9"/>
    </row>
    <row r="63" spans="1:18" s="1" customFormat="1" ht="36">
      <c r="A63" s="6"/>
      <c r="B63" s="10">
        <f t="shared" si="4"/>
        <v>61</v>
      </c>
      <c r="C63" s="11" t="s">
        <v>382</v>
      </c>
      <c r="D63" s="12" t="s">
        <v>383</v>
      </c>
      <c r="E63" s="12" t="s">
        <v>384</v>
      </c>
      <c r="F63" s="12" t="s">
        <v>385</v>
      </c>
      <c r="G63" s="12" t="s">
        <v>386</v>
      </c>
      <c r="H63" s="12" t="s">
        <v>387</v>
      </c>
      <c r="I63" s="12"/>
      <c r="J63" s="12" t="s">
        <v>388</v>
      </c>
      <c r="K63" s="12" t="s">
        <v>62</v>
      </c>
      <c r="L63" s="12">
        <v>1</v>
      </c>
      <c r="M63" s="9">
        <f t="shared" si="5"/>
        <v>100</v>
      </c>
      <c r="N63" s="12">
        <v>100</v>
      </c>
      <c r="O63" s="23" t="s">
        <v>25</v>
      </c>
      <c r="P63" s="18">
        <v>2.9700000000000001E-2</v>
      </c>
      <c r="Q63" s="18">
        <f t="shared" si="7"/>
        <v>2.97</v>
      </c>
      <c r="R63" s="12"/>
    </row>
    <row r="64" spans="1:18" s="1" customFormat="1" ht="24">
      <c r="A64" s="6"/>
      <c r="B64" s="7">
        <f t="shared" si="4"/>
        <v>62</v>
      </c>
      <c r="C64" s="8" t="s">
        <v>374</v>
      </c>
      <c r="D64" s="9" t="s">
        <v>390</v>
      </c>
      <c r="E64" s="9" t="s">
        <v>391</v>
      </c>
      <c r="F64" s="9" t="s">
        <v>392</v>
      </c>
      <c r="G64" s="9" t="s">
        <v>393</v>
      </c>
      <c r="H64" s="9" t="s">
        <v>394</v>
      </c>
      <c r="I64" s="9"/>
      <c r="J64" s="9" t="s">
        <v>395</v>
      </c>
      <c r="K64" s="12" t="s">
        <v>62</v>
      </c>
      <c r="L64" s="9">
        <v>1</v>
      </c>
      <c r="M64" s="9">
        <f t="shared" si="5"/>
        <v>100</v>
      </c>
      <c r="N64" s="9">
        <v>100</v>
      </c>
      <c r="O64" s="23" t="s">
        <v>25</v>
      </c>
      <c r="P64" s="16">
        <v>0.14710000000000001</v>
      </c>
      <c r="Q64" s="16">
        <f t="shared" si="7"/>
        <v>14.71</v>
      </c>
      <c r="R64" s="9"/>
    </row>
    <row r="65" spans="1:18" s="1" customFormat="1" ht="24">
      <c r="A65" s="6"/>
      <c r="B65" s="10">
        <f t="shared" si="4"/>
        <v>63</v>
      </c>
      <c r="C65" s="11" t="s">
        <v>374</v>
      </c>
      <c r="D65" s="12" t="s">
        <v>397</v>
      </c>
      <c r="E65" s="12" t="s">
        <v>398</v>
      </c>
      <c r="F65" s="12" t="s">
        <v>399</v>
      </c>
      <c r="G65" s="12" t="s">
        <v>400</v>
      </c>
      <c r="H65" s="12" t="s">
        <v>401</v>
      </c>
      <c r="I65" s="12"/>
      <c r="J65" s="12" t="s">
        <v>402</v>
      </c>
      <c r="K65" s="12" t="s">
        <v>62</v>
      </c>
      <c r="L65" s="12">
        <v>1</v>
      </c>
      <c r="M65" s="9">
        <f t="shared" si="5"/>
        <v>100</v>
      </c>
      <c r="N65" s="12">
        <v>100</v>
      </c>
      <c r="O65" s="23" t="s">
        <v>25</v>
      </c>
      <c r="P65" s="18">
        <v>1.4064000000000001</v>
      </c>
      <c r="Q65" s="18">
        <f t="shared" si="7"/>
        <v>140.64000000000001</v>
      </c>
      <c r="R65" s="12"/>
    </row>
    <row r="66" spans="1:18" s="1" customFormat="1">
      <c r="A66" s="6"/>
      <c r="B66" s="7">
        <f t="shared" si="4"/>
        <v>64</v>
      </c>
      <c r="C66" s="8" t="s">
        <v>374</v>
      </c>
      <c r="D66" s="9" t="s">
        <v>404</v>
      </c>
      <c r="E66" s="9" t="s">
        <v>405</v>
      </c>
      <c r="F66" s="9" t="s">
        <v>406</v>
      </c>
      <c r="G66" s="9" t="s">
        <v>407</v>
      </c>
      <c r="H66" s="9" t="s">
        <v>408</v>
      </c>
      <c r="I66" s="9"/>
      <c r="J66" s="9" t="s">
        <v>409</v>
      </c>
      <c r="K66" s="12" t="s">
        <v>62</v>
      </c>
      <c r="L66" s="9">
        <v>1</v>
      </c>
      <c r="M66" s="9">
        <f t="shared" si="5"/>
        <v>100</v>
      </c>
      <c r="N66" s="9">
        <v>100</v>
      </c>
      <c r="O66" s="23" t="s">
        <v>25</v>
      </c>
      <c r="P66" s="16">
        <v>0.90559999999999996</v>
      </c>
      <c r="Q66" s="16">
        <f t="shared" si="7"/>
        <v>90.56</v>
      </c>
      <c r="R66" s="9"/>
    </row>
    <row r="67" spans="1:18" s="1" customFormat="1" ht="36">
      <c r="A67" s="6"/>
      <c r="B67" s="10">
        <f t="shared" si="4"/>
        <v>65</v>
      </c>
      <c r="C67" s="11" t="s">
        <v>411</v>
      </c>
      <c r="D67" s="12" t="s">
        <v>412</v>
      </c>
      <c r="E67" s="12" t="s">
        <v>413</v>
      </c>
      <c r="F67" s="12" t="s">
        <v>414</v>
      </c>
      <c r="G67" s="12" t="s">
        <v>415</v>
      </c>
      <c r="H67" s="12" t="s">
        <v>416</v>
      </c>
      <c r="I67" s="12"/>
      <c r="J67" s="12" t="s">
        <v>417</v>
      </c>
      <c r="K67" s="12" t="s">
        <v>418</v>
      </c>
      <c r="L67" s="12">
        <v>1</v>
      </c>
      <c r="M67" s="9">
        <f t="shared" si="5"/>
        <v>100</v>
      </c>
      <c r="N67" s="12">
        <v>100</v>
      </c>
      <c r="O67" s="23" t="s">
        <v>25</v>
      </c>
      <c r="P67" s="18">
        <v>6.5100000000000005E-2</v>
      </c>
      <c r="Q67" s="18">
        <f t="shared" si="7"/>
        <v>6.5100000000000007</v>
      </c>
      <c r="R67" s="12"/>
    </row>
    <row r="68" spans="1:18" ht="45">
      <c r="A68" s="2"/>
      <c r="B68" s="10">
        <f t="shared" si="4"/>
        <v>66</v>
      </c>
      <c r="C68" s="8" t="s">
        <v>420</v>
      </c>
      <c r="D68" s="9" t="s">
        <v>62</v>
      </c>
      <c r="E68" s="22" t="s">
        <v>421</v>
      </c>
      <c r="F68" s="9" t="s">
        <v>62</v>
      </c>
      <c r="G68" s="9" t="s">
        <v>422</v>
      </c>
      <c r="H68" s="9" t="s">
        <v>62</v>
      </c>
      <c r="I68" s="22" t="s">
        <v>62</v>
      </c>
      <c r="J68" s="9" t="s">
        <v>62</v>
      </c>
      <c r="K68" s="12" t="s">
        <v>62</v>
      </c>
      <c r="L68" s="12">
        <v>1</v>
      </c>
      <c r="M68" s="9">
        <f t="shared" si="5"/>
        <v>100</v>
      </c>
      <c r="N68" s="12">
        <v>100</v>
      </c>
      <c r="O68" s="27" t="s">
        <v>423</v>
      </c>
      <c r="P68" s="18">
        <v>15.26</v>
      </c>
      <c r="Q68" s="18">
        <f t="shared" si="7"/>
        <v>1526</v>
      </c>
      <c r="R68" s="12"/>
    </row>
    <row r="69" spans="1:18" ht="18.75">
      <c r="A69" s="2"/>
      <c r="N69" s="37" t="s">
        <v>424</v>
      </c>
      <c r="O69" s="38"/>
      <c r="P69" s="38"/>
      <c r="Q69" s="28">
        <f>SUM(Q3:Q68)</f>
        <v>2990.94</v>
      </c>
    </row>
    <row r="70" spans="1:18" ht="18.75">
      <c r="N70" s="37" t="s">
        <v>425</v>
      </c>
      <c r="O70" s="38"/>
      <c r="P70" s="38"/>
      <c r="Q70" s="29">
        <f>Q69/100</f>
        <v>29.909400000000002</v>
      </c>
    </row>
  </sheetData>
  <mergeCells count="3">
    <mergeCell ref="K1:R1"/>
    <mergeCell ref="N69:P69"/>
    <mergeCell ref="N70:P70"/>
  </mergeCells>
  <hyperlinks>
    <hyperlink ref="O4" r:id="rId1"/>
    <hyperlink ref="O5" r:id="rId2"/>
    <hyperlink ref="O7" r:id="rId3"/>
    <hyperlink ref="O9" r:id="rId4"/>
    <hyperlink ref="O10" r:id="rId5"/>
    <hyperlink ref="O11" r:id="rId6"/>
    <hyperlink ref="O12" r:id="rId7"/>
    <hyperlink ref="O13" r:id="rId8"/>
    <hyperlink ref="O14" r:id="rId9"/>
    <hyperlink ref="O15" r:id="rId10"/>
    <hyperlink ref="O16" r:id="rId11"/>
    <hyperlink ref="O17" r:id="rId12"/>
    <hyperlink ref="O18" r:id="rId13"/>
    <hyperlink ref="O19" r:id="rId14"/>
    <hyperlink ref="O20" r:id="rId15"/>
    <hyperlink ref="O21" r:id="rId16"/>
    <hyperlink ref="O22" r:id="rId17"/>
    <hyperlink ref="O23" r:id="rId18"/>
    <hyperlink ref="O24" r:id="rId19"/>
    <hyperlink ref="O3" r:id="rId20"/>
    <hyperlink ref="O6" r:id="rId21"/>
    <hyperlink ref="O8" r:id="rId22"/>
    <hyperlink ref="O25" r:id="rId23"/>
    <hyperlink ref="O26" r:id="rId24"/>
    <hyperlink ref="O27" r:id="rId25"/>
    <hyperlink ref="O28" r:id="rId26"/>
    <hyperlink ref="O29" r:id="rId27"/>
    <hyperlink ref="O30" r:id="rId28"/>
    <hyperlink ref="O32" r:id="rId29"/>
    <hyperlink ref="O68" r:id="rId30"/>
    <hyperlink ref="O67" r:id="rId31"/>
    <hyperlink ref="O66" r:id="rId32"/>
    <hyperlink ref="O65" r:id="rId33"/>
    <hyperlink ref="O64" r:id="rId34"/>
    <hyperlink ref="O63" r:id="rId35"/>
    <hyperlink ref="O62" r:id="rId36"/>
    <hyperlink ref="O61" r:id="rId37"/>
    <hyperlink ref="O60" r:id="rId38"/>
    <hyperlink ref="O59" r:id="rId39"/>
    <hyperlink ref="O57" r:id="rId40"/>
    <hyperlink ref="O55" r:id="rId41"/>
    <hyperlink ref="O54" r:id="rId42"/>
    <hyperlink ref="O53" r:id="rId43"/>
    <hyperlink ref="O52" r:id="rId44"/>
    <hyperlink ref="O51" r:id="rId45"/>
    <hyperlink ref="O50" r:id="rId46"/>
    <hyperlink ref="O49" r:id="rId47"/>
    <hyperlink ref="O48" r:id="rId48"/>
    <hyperlink ref="O47" r:id="rId49"/>
    <hyperlink ref="O46" r:id="rId50"/>
    <hyperlink ref="O45" r:id="rId51"/>
    <hyperlink ref="O44" r:id="rId52"/>
    <hyperlink ref="O43" r:id="rId53"/>
    <hyperlink ref="O42" r:id="rId54"/>
    <hyperlink ref="O41" r:id="rId55"/>
    <hyperlink ref="O40" r:id="rId56"/>
    <hyperlink ref="O39" r:id="rId57"/>
    <hyperlink ref="O38" r:id="rId58"/>
    <hyperlink ref="O37" r:id="rId59"/>
    <hyperlink ref="O36" r:id="rId60"/>
    <hyperlink ref="O35" r:id="rId61"/>
    <hyperlink ref="O34" r:id="rId62"/>
    <hyperlink ref="O33" r:id="rId63"/>
    <hyperlink ref="O58" r:id="rId64"/>
    <hyperlink ref="O5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 Boards</vt:lpstr>
      <vt:lpstr>10 Boards</vt:lpstr>
      <vt:lpstr>100 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2025-10-07T15:01:10Z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0D79E62D70114171807D19E4A9721CDF_13</vt:lpwstr>
  </property>
  <property fmtid="{D5CDD505-2E9C-101B-9397-08002B2CF9AE}" pid="3" name="KSOProductBuildVer">
    <vt:lpwstr>2057-12.2.0.21931</vt:lpwstr>
  </property>
</Properties>
</file>