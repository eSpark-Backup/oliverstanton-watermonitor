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Fob_Transmitter\BOM\"/>
    </mc:Choice>
  </mc:AlternateContent>
  <xr:revisionPtr revIDLastSave="0" documentId="13_ncr:1_{82E94E02-3D02-46D8-93CE-C1951D597B46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55" i="1" l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<sst xmlns="http://schemas.openxmlformats.org/spreadsheetml/2006/main" count="374" uniqueCount="269">
  <si>
    <t>#</t>
  </si>
  <si>
    <t>Item Type</t>
  </si>
  <si>
    <t>Capacitor, [NoParam]</t>
  </si>
  <si>
    <t>Capacitor</t>
  </si>
  <si>
    <t>Diode</t>
  </si>
  <si>
    <t>Schottky Diode</t>
  </si>
  <si>
    <t>Connector</t>
  </si>
  <si>
    <t>USB Connector</t>
  </si>
  <si>
    <t>Wire To Board Connector</t>
  </si>
  <si>
    <t>Inductor</t>
  </si>
  <si>
    <t>Wireless Charging Coil</t>
  </si>
  <si>
    <t>LED</t>
  </si>
  <si>
    <t>Mosfet</t>
  </si>
  <si>
    <t>Resistor</t>
  </si>
  <si>
    <t>Resistors</t>
  </si>
  <si>
    <t>Tactile Switch</t>
  </si>
  <si>
    <t>IC</t>
  </si>
  <si>
    <t>Module</t>
  </si>
  <si>
    <t>Designator</t>
  </si>
  <si>
    <t>C1, C5, C7, C8, C9</t>
  </si>
  <si>
    <t>C2, C21, C31</t>
  </si>
  <si>
    <t>C3</t>
  </si>
  <si>
    <t>C4</t>
  </si>
  <si>
    <t>C6</t>
  </si>
  <si>
    <t>C10, C34, C35</t>
  </si>
  <si>
    <t>C11, C12, C17, C19, C20, C27</t>
  </si>
  <si>
    <t>C13, C14, C26, C32</t>
  </si>
  <si>
    <t>C15</t>
  </si>
  <si>
    <t>C16</t>
  </si>
  <si>
    <t>C18, C28</t>
  </si>
  <si>
    <t>C22, C30</t>
  </si>
  <si>
    <t>C23, C29</t>
  </si>
  <si>
    <t>C24, C25</t>
  </si>
  <si>
    <t>C33</t>
  </si>
  <si>
    <t>D1</t>
  </si>
  <si>
    <t>D2</t>
  </si>
  <si>
    <t>D3</t>
  </si>
  <si>
    <t>D4</t>
  </si>
  <si>
    <t>J1</t>
  </si>
  <si>
    <t>J2</t>
  </si>
  <si>
    <t>J3</t>
  </si>
  <si>
    <t>J4</t>
  </si>
  <si>
    <t>L1</t>
  </si>
  <si>
    <t>L2</t>
  </si>
  <si>
    <t>L3</t>
  </si>
  <si>
    <t>LED1, LED3</t>
  </si>
  <si>
    <t>LED2, LED4</t>
  </si>
  <si>
    <t>LED5</t>
  </si>
  <si>
    <t>Q1, Q5</t>
  </si>
  <si>
    <t>Q2, Q3, Q4</t>
  </si>
  <si>
    <t>R1, R2, R3, R4, R5</t>
  </si>
  <si>
    <t>R6, R12</t>
  </si>
  <si>
    <t>R7, R9, R26, R29</t>
  </si>
  <si>
    <t>R10</t>
  </si>
  <si>
    <t>R11</t>
  </si>
  <si>
    <t>R13</t>
  </si>
  <si>
    <t>R14, R27, R28</t>
  </si>
  <si>
    <t>R15, R17</t>
  </si>
  <si>
    <t>R16, R25</t>
  </si>
  <si>
    <t>R18</t>
  </si>
  <si>
    <t>R19</t>
  </si>
  <si>
    <t>R21</t>
  </si>
  <si>
    <t>R22</t>
  </si>
  <si>
    <t>R23</t>
  </si>
  <si>
    <t>R24</t>
  </si>
  <si>
    <t>SW1, SW2, SW3, SW4</t>
  </si>
  <si>
    <t>SW5</t>
  </si>
  <si>
    <t>U1</t>
  </si>
  <si>
    <t>U2</t>
  </si>
  <si>
    <t>U3</t>
  </si>
  <si>
    <t>U4</t>
  </si>
  <si>
    <t>U5</t>
  </si>
  <si>
    <t>Description</t>
  </si>
  <si>
    <t>CAP CER 0.1UF 50V Y5V 0603</t>
  </si>
  <si>
    <t>CAP CER 0.47UF 16V X5R 0402, CAP CER 0.47UF 25V X5R 0402</t>
  </si>
  <si>
    <t>CAP CER 0.1UF 16V X7R 0402</t>
  </si>
  <si>
    <t>CAP CER 1UF 16V X5R 0402</t>
  </si>
  <si>
    <t>CAP TANT 330UF 10% 10V 2917</t>
  </si>
  <si>
    <t>CAP CER 10UF 25V X5R 0603</t>
  </si>
  <si>
    <t>CAP CER 1000PF 25V X7R 0402, CAP CER 1000PF 25V C0G 0402</t>
  </si>
  <si>
    <t>CAP CER 22UF 25V X5R 0805</t>
  </si>
  <si>
    <t>CAP CER 4700PF 1KV X7R 1206</t>
  </si>
  <si>
    <t>CAP CER 0.1UF 25V X5R 0402</t>
  </si>
  <si>
    <t>50V 22nF B ±10% 0402 Multilayer Ceramic Capacitors MLCC - SMD/SMT ROHS</t>
  </si>
  <si>
    <t>CAP CER 10000PF 50V X7R 0402</t>
  </si>
  <si>
    <t>CAP CER 0.068UF 50V X7R 0402</t>
  </si>
  <si>
    <t>CAP CER 0.47UF 50V X5R 0603</t>
  </si>
  <si>
    <t>20V 500mV@3A 3A SMA(DO-214AC) Schottky Barrier Diodes (SBD) ROHS</t>
  </si>
  <si>
    <t>60V 700mV@1A 1A SMA(DO-214AC) Schottky Barrier Diodes (SBD) ROHS</t>
  </si>
  <si>
    <t>1A Single 1kV 1.1V@1A SMA(DO-214AC) Diodes - General Purpose ROHS</t>
  </si>
  <si>
    <t>Diode Schottky 30V 1A Surface Mount USC</t>
  </si>
  <si>
    <t>Sma Female Connector, Pcb Edge Mount Rohs Compliant: Yes</t>
  </si>
  <si>
    <t>Pin Header 5 1 right-angle</t>
  </si>
  <si>
    <t>5A 1 16P Female Type-C SMD USB Connectors ROHS</t>
  </si>
  <si>
    <t>1x2P 2P PH 1 Tin 2mm 2 -25℃~+85℃ Brass 2A Bend insert Push-Pull,P=2mm Wire To Board Connector ROHS</t>
  </si>
  <si>
    <t>FERRITE BEAD 600 OHM 0201 1LN</t>
  </si>
  <si>
    <t>1.2A 4.7uH ±20% 108mΩ SMD Power Inductors ROHS</t>
  </si>
  <si>
    <t>1 Coil, 1 Layer 13.3µH Wireless Charging Coil Receiver 200mOhm</t>
  </si>
  <si>
    <t>yellow 0603 Light Emitting Diodes (LED) ROHS</t>
  </si>
  <si>
    <t>RED LED 0603 Light Emitting Diodes</t>
  </si>
  <si>
    <t>Emerald 0603 Light Emitting Diodes (LED) ROHS</t>
  </si>
  <si>
    <t>25V 225mW 800mA NPN SOT-23 Bipolar Transistors - BJT ROHS</t>
  </si>
  <si>
    <t>20V 2.2A 800mW 110mΩ@4.5V,2.7A 810mV@250uA P Channel SOT-23 MOSFETs ROHS</t>
  </si>
  <si>
    <t>RES SMD 4.7K OHM 1% 1/10W 0603</t>
  </si>
  <si>
    <t>RES 1K OHM 1% 1/16W 0402</t>
  </si>
  <si>
    <t>RES 120 OHM 1% 1/16W 0402</t>
  </si>
  <si>
    <t>RES 680 OHM 1% 1/16W 0402</t>
  </si>
  <si>
    <t>RES 11K OHM 1% 1/16W 0402</t>
  </si>
  <si>
    <t>RES 2.7K OHM 1% 1/16W 0402</t>
  </si>
  <si>
    <t>RES SMD 100K OHM 0.1% 1/16W 0402</t>
  </si>
  <si>
    <t>RES 5.1K OHM 1% 1/16W 0402</t>
  </si>
  <si>
    <t>RES 10K OHM 1% 1/5W 0402</t>
  </si>
  <si>
    <t>RES 20K OHM 1% 1/16W 0402</t>
  </si>
  <si>
    <t>RES 1.5K OHM 1% 1/16W 0402</t>
  </si>
  <si>
    <t>RES SMD 1M OHM 1% 1/10W 0603</t>
  </si>
  <si>
    <t>RES 470 OHM 1% 1/16W 0402</t>
  </si>
  <si>
    <t>Res 80.6 Ohm 1% 1/16W 0402</t>
  </si>
  <si>
    <t>RES 200 OHM 1% 1/16W 0402</t>
  </si>
  <si>
    <t>3.35mm 2.5mm Oval button 50mA Brick nogging 4.2mm 180gf 12V SMD Tactile Switches ROHS</t>
  </si>
  <si>
    <t>3mm 2mm Round Button 50mA Top3.65mm SPST 12V SMD Tactile Switches</t>
  </si>
  <si>
    <t>4.5V~5.5V 锂离子/Polymer 1 600mA SOT-23-5 Battery Management ICs ROHS</t>
  </si>
  <si>
    <t>IC MCU 8BIT 16KB FLASH 20VQFN</t>
  </si>
  <si>
    <t>Wireless Power Receiver PMIC 20-VQFN (3.5x4.5)</t>
  </si>
  <si>
    <t>boost converterType 1 Boost 28V 2V~24V 1.2MHz SOT-23-6 DC-DC Converters ROHS</t>
  </si>
  <si>
    <t>HC12 Si4463 433MHZ RF Wireless Serial Module</t>
  </si>
  <si>
    <t>Footprint</t>
  </si>
  <si>
    <t>Cap0603</t>
  </si>
  <si>
    <t>Cap-0402</t>
  </si>
  <si>
    <t>Case-D</t>
  </si>
  <si>
    <t>Cap-0603</t>
  </si>
  <si>
    <t>Cap-0805</t>
  </si>
  <si>
    <t>Cap-1206</t>
  </si>
  <si>
    <t>SMA</t>
  </si>
  <si>
    <t>SMA(DO-214AC)</t>
  </si>
  <si>
    <t>SOD-323</t>
  </si>
  <si>
    <t>CON-SMA-EDGE_S</t>
  </si>
  <si>
    <t>HDR1X5</t>
  </si>
  <si>
    <t>TYPE-C-31-M-12_</t>
  </si>
  <si>
    <t>PH-2AW</t>
  </si>
  <si>
    <t>IND 0201</t>
  </si>
  <si>
    <t>SPH4012H4R7MT</t>
  </si>
  <si>
    <t>Th Hole Test Point (3.7mm Drill 6mm pad)</t>
  </si>
  <si>
    <t>LED-0603</t>
  </si>
  <si>
    <t>SOT-23</t>
  </si>
  <si>
    <t>Sot-23</t>
  </si>
  <si>
    <t>RES-0603</t>
  </si>
  <si>
    <t>Res-0402</t>
  </si>
  <si>
    <t>Res-0603</t>
  </si>
  <si>
    <t>TSA016A2518A</t>
  </si>
  <si>
    <t>TS-1185EC-C-D-B</t>
  </si>
  <si>
    <t>SOT-23-5</t>
  </si>
  <si>
    <t>20-QFN</t>
  </si>
  <si>
    <t>20-VQFN (3.5x4.5)</t>
  </si>
  <si>
    <t>SOT-23-6</t>
  </si>
  <si>
    <t>HC-12 Module SMD</t>
  </si>
  <si>
    <t>Manufacturer Part Number</t>
  </si>
  <si>
    <t>CC0603ZRY5V9BB104</t>
  </si>
  <si>
    <t>CC0402KRX5R7BB474, CL05A474KA5NNNC</t>
  </si>
  <si>
    <t>CC0402JRX7R7BB104</t>
  </si>
  <si>
    <t>CC0402KRX5R7BB105</t>
  </si>
  <si>
    <t>TAJD337K010RNJ</t>
  </si>
  <si>
    <t>CL10A106MA8NRNC</t>
  </si>
  <si>
    <t>CC0402KRX7R8BB102, C1005C0G1E102JT000F</t>
  </si>
  <si>
    <t>CC0805MKX5R8BB226</t>
  </si>
  <si>
    <t>CC1206KKX7RCBB472</t>
  </si>
  <si>
    <t>CC0402KRX5R8BB104</t>
  </si>
  <si>
    <t>GRM155B31H223KA12D</t>
  </si>
  <si>
    <t>CC0402KRX7R9BB103</t>
  </si>
  <si>
    <t>CC0402KRX7R9BB683</t>
  </si>
  <si>
    <t>CC0603KRX5R9BB474</t>
  </si>
  <si>
    <t>SS32</t>
  </si>
  <si>
    <t>SS16</t>
  </si>
  <si>
    <t>1N4007</t>
  </si>
  <si>
    <t>CUS10S30,H3F</t>
  </si>
  <si>
    <t>CON-SMA-EDGE-S</t>
  </si>
  <si>
    <t>PZ254V-11-05P</t>
  </si>
  <si>
    <t>TYPE-C-31-M-12</t>
  </si>
  <si>
    <t>MMZ0603S601CT000</t>
  </si>
  <si>
    <t>WR483265-15F5-G</t>
  </si>
  <si>
    <t>NCD0603Y2</t>
  </si>
  <si>
    <t>NCD0603R3</t>
  </si>
  <si>
    <t>NCD0603G2</t>
  </si>
  <si>
    <t>L8050QLT1G</t>
  </si>
  <si>
    <t>WPM2015-3/TR</t>
  </si>
  <si>
    <t>RC0603FR-074K7L</t>
  </si>
  <si>
    <t>RC0402FR-071KL</t>
  </si>
  <si>
    <t>RC0402FR-07120RL</t>
  </si>
  <si>
    <t>RC0402FR-07680RL</t>
  </si>
  <si>
    <t>RC0402FR-0711KL</t>
  </si>
  <si>
    <t>RT0402BRD07100KL</t>
  </si>
  <si>
    <t>RC0402FR-075K1L</t>
  </si>
  <si>
    <t>SR0402FR-7T10KL</t>
  </si>
  <si>
    <t>RC0402FR-0720KL</t>
  </si>
  <si>
    <t>RC0402FR-071K5L</t>
  </si>
  <si>
    <t>RC0603FR-071ML</t>
  </si>
  <si>
    <t>RC0402FR-07470RL</t>
  </si>
  <si>
    <t>RN73H1ETTP80R6F50</t>
  </si>
  <si>
    <t>RC0402FR-07200RL</t>
  </si>
  <si>
    <t>TP4054</t>
  </si>
  <si>
    <t>ATTINY1616-MNR</t>
  </si>
  <si>
    <t>BQ51013BRHLR</t>
  </si>
  <si>
    <t>MT3608</t>
  </si>
  <si>
    <t>HC-12</t>
  </si>
  <si>
    <t>Manufacturer</t>
  </si>
  <si>
    <t>Yageo</t>
  </si>
  <si>
    <t>Yageo, Samsung</t>
  </si>
  <si>
    <t>Kyocera AVX</t>
  </si>
  <si>
    <t>Samsung</t>
  </si>
  <si>
    <t>Yageo, TDK</t>
  </si>
  <si>
    <t>Murata Electronics</t>
  </si>
  <si>
    <t>MDD</t>
  </si>
  <si>
    <t>TWGMC</t>
  </si>
  <si>
    <t>Toshiba</t>
  </si>
  <si>
    <t>RF Solutions</t>
  </si>
  <si>
    <t>XFCN</t>
  </si>
  <si>
    <t>Korean Hroparts Elec</t>
  </si>
  <si>
    <t>HCTL</t>
  </si>
  <si>
    <t>TDK</t>
  </si>
  <si>
    <t>Sunlord</t>
  </si>
  <si>
    <t>TDK Corporation</t>
  </si>
  <si>
    <t>Foshan NationStar Optoelectronics</t>
  </si>
  <si>
    <t>LRC</t>
  </si>
  <si>
    <t>WILLSEMI</t>
  </si>
  <si>
    <t>KOA Speer</t>
  </si>
  <si>
    <t>BZCN</t>
  </si>
  <si>
    <t>XKB</t>
  </si>
  <si>
    <t>TPOWER</t>
  </si>
  <si>
    <t>Microchip</t>
  </si>
  <si>
    <t>Texas Instruments</t>
  </si>
  <si>
    <t>XI'AN Aerosemi Tech</t>
  </si>
  <si>
    <t>Comment</t>
  </si>
  <si>
    <t>0.1uF</t>
  </si>
  <si>
    <t>0.47uF</t>
  </si>
  <si>
    <t>1uF</t>
  </si>
  <si>
    <t>DNP</t>
  </si>
  <si>
    <t>330uF</t>
  </si>
  <si>
    <t>10uF</t>
  </si>
  <si>
    <t>1nF</t>
  </si>
  <si>
    <t>22uF</t>
  </si>
  <si>
    <t>4.7nF</t>
  </si>
  <si>
    <t>100nF</t>
  </si>
  <si>
    <t>22nF</t>
  </si>
  <si>
    <t>10nF</t>
  </si>
  <si>
    <t>68nF</t>
  </si>
  <si>
    <t>SS32 /SMA(DO-214AC)</t>
  </si>
  <si>
    <t>1N4007- SMD</t>
  </si>
  <si>
    <t>SMA Jack</t>
  </si>
  <si>
    <t>4.7uH</t>
  </si>
  <si>
    <t>13.3uH</t>
  </si>
  <si>
    <t>Yellow</t>
  </si>
  <si>
    <t>RED</t>
  </si>
  <si>
    <t>Emerald</t>
  </si>
  <si>
    <t>4.7K</t>
  </si>
  <si>
    <t>1K</t>
  </si>
  <si>
    <t>120R</t>
  </si>
  <si>
    <t>680R</t>
  </si>
  <si>
    <t>11K</t>
  </si>
  <si>
    <t>2.7K</t>
  </si>
  <si>
    <t>100K</t>
  </si>
  <si>
    <t>5.1K</t>
  </si>
  <si>
    <t>10K</t>
  </si>
  <si>
    <t>20K</t>
  </si>
  <si>
    <t>1.5K</t>
  </si>
  <si>
    <t>1M</t>
  </si>
  <si>
    <t>470R</t>
  </si>
  <si>
    <t>80.6R</t>
  </si>
  <si>
    <t>200R</t>
  </si>
  <si>
    <t>HC-12 SMD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</si>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</sst>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5"/>
  <sheetViews>
    <sheetView tabSelected="1" topLeftCell="A43" workbookViewId="0">
      <selection activeCell="C48" sqref="C4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</row>
    <row r="2" spans="1:10" ht="15.75" thickBot="1" x14ac:dyDescent="0.3">
      <c r="A2" s="1"/>
      <c r="B2" s="5" t="s">
        <v>0</v>
      </c>
      <c r="C2" s="5" t="s">
        <v>1</v>
      </c>
      <c r="D2" s="5" t="s">
        <v>18</v>
      </c>
      <c r="E2" s="6" t="s">
        <v>72</v>
      </c>
      <c r="F2" s="5" t="s">
        <v>125</v>
      </c>
      <c r="G2" s="6" t="s">
        <v>155</v>
      </c>
      <c r="H2" s="5" t="s">
        <v>203</v>
      </c>
      <c r="I2" s="6" t="s">
        <v>230</v>
      </c>
      <c r="J2" s="5" t="s">
        <v>268</v>
      </c>
    </row>
    <row r="3" spans="1:10" ht="15.75" thickBot="1" x14ac:dyDescent="0.3">
      <c r="A3" s="1"/>
      <c r="B3" s="11">
        <f>ROW(B3) - ROW($B$2)</f>
        <v>1</v>
      </c>
      <c r="C3" s="13" t="s">
        <v>3</v>
      </c>
      <c r="D3" s="7" t="s">
        <v>19</v>
      </c>
      <c r="E3" s="8" t="s">
        <v>73</v>
      </c>
      <c r="F3" s="7" t="s">
        <v>126</v>
      </c>
      <c r="G3" s="8" t="s">
        <v>156</v>
      </c>
      <c r="H3" s="7" t="s">
        <v>204</v>
      </c>
      <c r="I3" s="8" t="s">
        <v>231</v>
      </c>
      <c r="J3" s="7">
        <v>5</v>
      </c>
    </row>
    <row r="4" spans="1:10" ht="24.75" thickBot="1" x14ac:dyDescent="0.3">
      <c r="A4" s="1"/>
      <c r="B4" s="11">
        <f t="shared" ref="B4:B54" si="0">ROW(B4) - ROW($B$2)</f>
        <v>2</v>
      </c>
      <c r="C4" s="13" t="s">
        <v>2</v>
      </c>
      <c r="D4" s="9" t="s">
        <v>20</v>
      </c>
      <c r="E4" s="10" t="s">
        <v>74</v>
      </c>
      <c r="F4" s="9" t="s">
        <v>127</v>
      </c>
      <c r="G4" s="10" t="s">
        <v>157</v>
      </c>
      <c r="H4" s="9" t="s">
        <v>205</v>
      </c>
      <c r="I4" s="10" t="s">
        <v>232</v>
      </c>
      <c r="J4" s="9">
        <v>3</v>
      </c>
    </row>
    <row r="5" spans="1:10" ht="15.75" thickBot="1" x14ac:dyDescent="0.3">
      <c r="A5" s="1"/>
      <c r="B5" s="11">
        <f>ROW(B5) - ROW($B$2)</f>
        <v>3</v>
      </c>
      <c r="C5" s="12" t="s">
        <v>3</v>
      </c>
      <c r="D5" s="7" t="s">
        <v>21</v>
      </c>
      <c r="E5" s="8" t="s">
        <v>75</v>
      </c>
      <c r="F5" s="7" t="s">
        <v>127</v>
      </c>
      <c r="G5" s="8" t="s">
        <v>158</v>
      </c>
      <c r="H5" s="7" t="s">
        <v>204</v>
      </c>
      <c r="I5" s="8" t="s">
        <v>231</v>
      </c>
      <c r="J5" s="7">
        <v>1</v>
      </c>
    </row>
    <row r="6" spans="1:10" ht="15.75" thickBot="1" x14ac:dyDescent="0.3">
      <c r="A6" s="1"/>
      <c r="B6" s="11">
        <f t="shared" si="0"/>
        <v>4</v>
      </c>
      <c r="C6" s="13" t="s">
        <v>3</v>
      </c>
      <c r="D6" s="9" t="s">
        <v>22</v>
      </c>
      <c r="E6" s="10" t="s">
        <v>76</v>
      </c>
      <c r="F6" s="9" t="s">
        <v>127</v>
      </c>
      <c r="G6" s="10" t="s">
        <v>159</v>
      </c>
      <c r="H6" s="9" t="s">
        <v>204</v>
      </c>
      <c r="I6" s="10" t="s">
        <v>233</v>
      </c>
      <c r="J6" s="9">
        <v>1</v>
      </c>
    </row>
    <row r="7" spans="1:10" ht="15.75" thickBot="1" x14ac:dyDescent="0.3">
      <c r="A7" s="1"/>
      <c r="B7" s="11">
        <f>ROW(B7) - ROW($B$2)</f>
        <v>5</v>
      </c>
      <c r="C7" s="13" t="s">
        <v>3</v>
      </c>
      <c r="D7" s="7" t="s">
        <v>23</v>
      </c>
      <c r="E7" s="8" t="s">
        <v>73</v>
      </c>
      <c r="F7" s="7" t="s">
        <v>126</v>
      </c>
      <c r="G7" s="8" t="s">
        <v>156</v>
      </c>
      <c r="H7" s="7" t="s">
        <v>204</v>
      </c>
      <c r="I7" s="8" t="s">
        <v>234</v>
      </c>
      <c r="J7" s="7">
        <v>1</v>
      </c>
    </row>
    <row r="8" spans="1:10" ht="15.75" thickBot="1" x14ac:dyDescent="0.3">
      <c r="A8" s="1"/>
      <c r="B8" s="11">
        <f t="shared" si="0"/>
        <v>6</v>
      </c>
      <c r="C8" s="13" t="s">
        <v>3</v>
      </c>
      <c r="D8" s="9" t="s">
        <v>24</v>
      </c>
      <c r="E8" s="10" t="s">
        <v>77</v>
      </c>
      <c r="F8" s="9" t="s">
        <v>128</v>
      </c>
      <c r="G8" s="10" t="s">
        <v>160</v>
      </c>
      <c r="H8" s="9" t="s">
        <v>206</v>
      </c>
      <c r="I8" s="10" t="s">
        <v>235</v>
      </c>
      <c r="J8" s="9">
        <v>3</v>
      </c>
    </row>
    <row r="9" spans="1:10" ht="15.75" thickBot="1" x14ac:dyDescent="0.3">
      <c r="A9" s="1"/>
      <c r="B9" s="11">
        <f>ROW(B9) - ROW($B$2)</f>
        <v>7</v>
      </c>
      <c r="C9" s="13" t="s">
        <v>3</v>
      </c>
      <c r="D9" s="7" t="s">
        <v>25</v>
      </c>
      <c r="E9" s="8" t="s">
        <v>78</v>
      </c>
      <c r="F9" s="7" t="s">
        <v>129</v>
      </c>
      <c r="G9" s="8" t="s">
        <v>161</v>
      </c>
      <c r="H9" s="7" t="s">
        <v>207</v>
      </c>
      <c r="I9" s="8" t="s">
        <v>236</v>
      </c>
      <c r="J9" s="7">
        <v>6</v>
      </c>
    </row>
    <row r="10" spans="1:10" ht="24.75" thickBot="1" x14ac:dyDescent="0.3">
      <c r="A10" s="1"/>
      <c r="B10" s="11">
        <f t="shared" si="0"/>
        <v>8</v>
      </c>
      <c r="C10" s="13" t="s">
        <v>3</v>
      </c>
      <c r="D10" s="9" t="s">
        <v>26</v>
      </c>
      <c r="E10" s="10" t="s">
        <v>79</v>
      </c>
      <c r="F10" s="9" t="s">
        <v>127</v>
      </c>
      <c r="G10" s="10" t="s">
        <v>162</v>
      </c>
      <c r="H10" s="9" t="s">
        <v>208</v>
      </c>
      <c r="I10" s="10" t="s">
        <v>237</v>
      </c>
      <c r="J10" s="9">
        <v>4</v>
      </c>
    </row>
    <row r="11" spans="1:10" ht="15.75" thickBot="1" x14ac:dyDescent="0.3">
      <c r="A11" s="1"/>
      <c r="B11" s="11">
        <f>ROW(B11) - ROW($B$2)</f>
        <v>9</v>
      </c>
      <c r="C11" s="12" t="s">
        <v>3</v>
      </c>
      <c r="D11" s="7" t="s">
        <v>27</v>
      </c>
      <c r="E11" s="8" t="s">
        <v>80</v>
      </c>
      <c r="F11" s="7" t="s">
        <v>130</v>
      </c>
      <c r="G11" s="8" t="s">
        <v>163</v>
      </c>
      <c r="H11" s="7" t="s">
        <v>204</v>
      </c>
      <c r="I11" s="8" t="s">
        <v>238</v>
      </c>
      <c r="J11" s="7">
        <v>1</v>
      </c>
    </row>
    <row r="12" spans="1:10" ht="15.75" thickBot="1" x14ac:dyDescent="0.3">
      <c r="A12" s="1"/>
      <c r="B12" s="11">
        <f t="shared" si="0"/>
        <v>10</v>
      </c>
      <c r="C12" s="13" t="s">
        <v>3</v>
      </c>
      <c r="D12" s="9" t="s">
        <v>28</v>
      </c>
      <c r="E12" s="10" t="s">
        <v>81</v>
      </c>
      <c r="F12" s="9" t="s">
        <v>131</v>
      </c>
      <c r="G12" s="10" t="s">
        <v>164</v>
      </c>
      <c r="H12" s="9" t="s">
        <v>204</v>
      </c>
      <c r="I12" s="10" t="s">
        <v>239</v>
      </c>
      <c r="J12" s="9">
        <v>1</v>
      </c>
    </row>
    <row r="13" spans="1:10" ht="15.75" thickBot="1" x14ac:dyDescent="0.3">
      <c r="A13" s="1"/>
      <c r="B13" s="11">
        <f>ROW(B13) - ROW($B$2)</f>
        <v>11</v>
      </c>
      <c r="C13" s="12" t="s">
        <v>3</v>
      </c>
      <c r="D13" s="7" t="s">
        <v>29</v>
      </c>
      <c r="E13" s="8" t="s">
        <v>82</v>
      </c>
      <c r="F13" s="7" t="s">
        <v>127</v>
      </c>
      <c r="G13" s="8" t="s">
        <v>165</v>
      </c>
      <c r="H13" s="7" t="s">
        <v>204</v>
      </c>
      <c r="I13" s="8" t="s">
        <v>240</v>
      </c>
      <c r="J13" s="7">
        <v>2</v>
      </c>
    </row>
    <row r="14" spans="1:10" ht="36.75" thickBot="1" x14ac:dyDescent="0.3">
      <c r="A14" s="1"/>
      <c r="B14" s="11">
        <f t="shared" si="0"/>
        <v>12</v>
      </c>
      <c r="C14" s="13" t="s">
        <v>3</v>
      </c>
      <c r="D14" s="9" t="s">
        <v>30</v>
      </c>
      <c r="E14" s="10" t="s">
        <v>83</v>
      </c>
      <c r="F14" s="9" t="s">
        <v>127</v>
      </c>
      <c r="G14" s="10" t="s">
        <v>166</v>
      </c>
      <c r="H14" s="9" t="s">
        <v>209</v>
      </c>
      <c r="I14" s="10" t="s">
        <v>241</v>
      </c>
      <c r="J14" s="9">
        <v>2</v>
      </c>
    </row>
    <row r="15" spans="1:10" ht="15.75" thickBot="1" x14ac:dyDescent="0.3">
      <c r="A15" s="1"/>
      <c r="B15" s="11">
        <f>ROW(B15) - ROW($B$2)</f>
        <v>13</v>
      </c>
      <c r="C15" s="12" t="s">
        <v>3</v>
      </c>
      <c r="D15" s="7" t="s">
        <v>31</v>
      </c>
      <c r="E15" s="8" t="s">
        <v>84</v>
      </c>
      <c r="F15" s="7" t="s">
        <v>127</v>
      </c>
      <c r="G15" s="8" t="s">
        <v>167</v>
      </c>
      <c r="H15" s="7" t="s">
        <v>204</v>
      </c>
      <c r="I15" s="8" t="s">
        <v>242</v>
      </c>
      <c r="J15" s="7">
        <v>2</v>
      </c>
    </row>
    <row r="16" spans="1:10" ht="15.75" thickBot="1" x14ac:dyDescent="0.3">
      <c r="A16" s="1"/>
      <c r="B16" s="11">
        <f t="shared" si="0"/>
        <v>14</v>
      </c>
      <c r="C16" s="13" t="s">
        <v>3</v>
      </c>
      <c r="D16" s="9" t="s">
        <v>32</v>
      </c>
      <c r="E16" s="10" t="s">
        <v>85</v>
      </c>
      <c r="F16" s="9" t="s">
        <v>127</v>
      </c>
      <c r="G16" s="10" t="s">
        <v>168</v>
      </c>
      <c r="H16" s="9" t="s">
        <v>204</v>
      </c>
      <c r="I16" s="10" t="s">
        <v>243</v>
      </c>
      <c r="J16" s="9">
        <v>2</v>
      </c>
    </row>
    <row r="17" spans="1:10" ht="15.75" thickBot="1" x14ac:dyDescent="0.3">
      <c r="A17" s="1"/>
      <c r="B17" s="11">
        <f>ROW(B17) - ROW($B$2)</f>
        <v>15</v>
      </c>
      <c r="C17" s="12" t="s">
        <v>3</v>
      </c>
      <c r="D17" s="7" t="s">
        <v>33</v>
      </c>
      <c r="E17" s="8" t="s">
        <v>86</v>
      </c>
      <c r="F17" s="7" t="s">
        <v>129</v>
      </c>
      <c r="G17" s="8" t="s">
        <v>169</v>
      </c>
      <c r="H17" s="7" t="s">
        <v>204</v>
      </c>
      <c r="I17" s="8" t="s">
        <v>232</v>
      </c>
      <c r="J17" s="7">
        <v>1</v>
      </c>
    </row>
    <row r="18" spans="1:10" ht="24.75" thickBot="1" x14ac:dyDescent="0.3">
      <c r="A18" s="1"/>
      <c r="B18" s="11">
        <f t="shared" si="0"/>
        <v>16</v>
      </c>
      <c r="C18" s="13" t="s">
        <v>4</v>
      </c>
      <c r="D18" s="9" t="s">
        <v>34</v>
      </c>
      <c r="E18" s="10" t="s">
        <v>87</v>
      </c>
      <c r="F18" s="9" t="s">
        <v>132</v>
      </c>
      <c r="G18" s="10" t="s">
        <v>170</v>
      </c>
      <c r="H18" s="9" t="s">
        <v>210</v>
      </c>
      <c r="I18" s="10" t="s">
        <v>244</v>
      </c>
      <c r="J18" s="9">
        <v>1</v>
      </c>
    </row>
    <row r="19" spans="1:10" ht="24.75" thickBot="1" x14ac:dyDescent="0.3">
      <c r="A19" s="1"/>
      <c r="B19" s="11">
        <f>ROW(B19) - ROW($B$2)</f>
        <v>17</v>
      </c>
      <c r="C19" s="12" t="s">
        <v>5</v>
      </c>
      <c r="D19" s="7" t="s">
        <v>35</v>
      </c>
      <c r="E19" s="8" t="s">
        <v>88</v>
      </c>
      <c r="F19" s="7" t="s">
        <v>132</v>
      </c>
      <c r="G19" s="8" t="s">
        <v>171</v>
      </c>
      <c r="H19" s="7" t="s">
        <v>210</v>
      </c>
      <c r="I19" s="8" t="s">
        <v>171</v>
      </c>
      <c r="J19" s="7">
        <v>1</v>
      </c>
    </row>
    <row r="20" spans="1:10" ht="36.75" thickBot="1" x14ac:dyDescent="0.3">
      <c r="A20" s="1"/>
      <c r="B20" s="11">
        <f t="shared" si="0"/>
        <v>18</v>
      </c>
      <c r="C20" s="13" t="s">
        <v>4</v>
      </c>
      <c r="D20" s="9" t="s">
        <v>36</v>
      </c>
      <c r="E20" s="10" t="s">
        <v>89</v>
      </c>
      <c r="F20" s="9" t="s">
        <v>133</v>
      </c>
      <c r="G20" s="10" t="s">
        <v>172</v>
      </c>
      <c r="H20" s="9" t="s">
        <v>211</v>
      </c>
      <c r="I20" s="10" t="s">
        <v>245</v>
      </c>
      <c r="J20" s="9">
        <v>1</v>
      </c>
    </row>
    <row r="21" spans="1:10" ht="24.75" thickBot="1" x14ac:dyDescent="0.3">
      <c r="A21" s="1"/>
      <c r="B21" s="11">
        <f>ROW(B21) - ROW($B$2)</f>
        <v>19</v>
      </c>
      <c r="C21" s="13" t="s">
        <v>4</v>
      </c>
      <c r="D21" s="7" t="s">
        <v>37</v>
      </c>
      <c r="E21" s="8" t="s">
        <v>90</v>
      </c>
      <c r="F21" s="7" t="s">
        <v>134</v>
      </c>
      <c r="G21" s="8" t="s">
        <v>173</v>
      </c>
      <c r="H21" s="7" t="s">
        <v>212</v>
      </c>
      <c r="I21" s="8" t="s">
        <v>173</v>
      </c>
      <c r="J21" s="7">
        <v>1</v>
      </c>
    </row>
    <row r="22" spans="1:10" ht="24.75" thickBot="1" x14ac:dyDescent="0.3">
      <c r="A22" s="1"/>
      <c r="B22" s="11">
        <f t="shared" si="0"/>
        <v>20</v>
      </c>
      <c r="C22" s="13" t="s">
        <v>6</v>
      </c>
      <c r="D22" s="9" t="s">
        <v>38</v>
      </c>
      <c r="E22" s="10" t="s">
        <v>91</v>
      </c>
      <c r="F22" s="9" t="s">
        <v>135</v>
      </c>
      <c r="G22" s="10" t="s">
        <v>174</v>
      </c>
      <c r="H22" s="9" t="s">
        <v>213</v>
      </c>
      <c r="I22" s="10" t="s">
        <v>246</v>
      </c>
      <c r="J22" s="9">
        <v>1</v>
      </c>
    </row>
    <row r="23" spans="1:10" ht="15.75" thickBot="1" x14ac:dyDescent="0.3">
      <c r="A23" s="1"/>
      <c r="B23" s="11">
        <f>ROW(B23) - ROW($B$2)</f>
        <v>21</v>
      </c>
      <c r="C23" s="12"/>
      <c r="D23" s="7" t="s">
        <v>39</v>
      </c>
      <c r="E23" s="8" t="s">
        <v>92</v>
      </c>
      <c r="F23" s="7" t="s">
        <v>136</v>
      </c>
      <c r="G23" s="8" t="s">
        <v>175</v>
      </c>
      <c r="H23" s="7" t="s">
        <v>214</v>
      </c>
      <c r="I23" s="8" t="s">
        <v>234</v>
      </c>
      <c r="J23" s="7">
        <v>1</v>
      </c>
    </row>
    <row r="24" spans="1:10" ht="24.75" thickBot="1" x14ac:dyDescent="0.3">
      <c r="A24" s="1"/>
      <c r="B24" s="11">
        <f t="shared" si="0"/>
        <v>22</v>
      </c>
      <c r="C24" s="13" t="s">
        <v>7</v>
      </c>
      <c r="D24" s="9" t="s">
        <v>40</v>
      </c>
      <c r="E24" s="10" t="s">
        <v>93</v>
      </c>
      <c r="F24" s="9" t="s">
        <v>137</v>
      </c>
      <c r="G24" s="10" t="s">
        <v>176</v>
      </c>
      <c r="H24" s="9" t="s">
        <v>215</v>
      </c>
      <c r="I24" s="10" t="s">
        <v>176</v>
      </c>
      <c r="J24" s="9">
        <v>1</v>
      </c>
    </row>
    <row r="25" spans="1:10" ht="48.75" thickBot="1" x14ac:dyDescent="0.3">
      <c r="A25" s="1"/>
      <c r="B25" s="11">
        <f>ROW(B25) - ROW($B$2)</f>
        <v>23</v>
      </c>
      <c r="C25" s="12" t="s">
        <v>8</v>
      </c>
      <c r="D25" s="7" t="s">
        <v>41</v>
      </c>
      <c r="E25" s="8" t="s">
        <v>94</v>
      </c>
      <c r="F25" s="7" t="s">
        <v>138</v>
      </c>
      <c r="G25" s="8" t="s">
        <v>138</v>
      </c>
      <c r="H25" s="7" t="s">
        <v>216</v>
      </c>
      <c r="I25" s="8" t="s">
        <v>138</v>
      </c>
      <c r="J25" s="7">
        <v>1</v>
      </c>
    </row>
    <row r="26" spans="1:10" ht="15.75" thickBot="1" x14ac:dyDescent="0.3">
      <c r="A26" s="1"/>
      <c r="B26" s="11">
        <f t="shared" si="0"/>
        <v>24</v>
      </c>
      <c r="C26" s="12" t="s">
        <v>9</v>
      </c>
      <c r="D26" s="9" t="s">
        <v>42</v>
      </c>
      <c r="E26" s="10" t="s">
        <v>95</v>
      </c>
      <c r="F26" s="9" t="s">
        <v>139</v>
      </c>
      <c r="G26" s="10" t="s">
        <v>177</v>
      </c>
      <c r="H26" s="9" t="s">
        <v>217</v>
      </c>
      <c r="I26" s="10" t="s">
        <v>177</v>
      </c>
      <c r="J26" s="9">
        <v>1</v>
      </c>
    </row>
    <row r="27" spans="1:10" ht="24.75" thickBot="1" x14ac:dyDescent="0.3">
      <c r="A27" s="1"/>
      <c r="B27" s="11">
        <f>ROW(B27) - ROW($B$2)</f>
        <v>25</v>
      </c>
      <c r="C27" s="12" t="s">
        <v>9</v>
      </c>
      <c r="D27" s="7" t="s">
        <v>43</v>
      </c>
      <c r="E27" s="8" t="s">
        <v>96</v>
      </c>
      <c r="F27" s="7" t="s">
        <v>140</v>
      </c>
      <c r="G27" s="8" t="s">
        <v>140</v>
      </c>
      <c r="H27" s="7" t="s">
        <v>218</v>
      </c>
      <c r="I27" s="8" t="s">
        <v>247</v>
      </c>
      <c r="J27" s="7">
        <v>1</v>
      </c>
    </row>
    <row r="28" spans="1:10" ht="24.75" thickBot="1" x14ac:dyDescent="0.3">
      <c r="A28" s="1"/>
      <c r="B28" s="11">
        <f t="shared" si="0"/>
        <v>26</v>
      </c>
      <c r="C28" s="13" t="s">
        <v>10</v>
      </c>
      <c r="D28" s="9" t="s">
        <v>44</v>
      </c>
      <c r="E28" s="10" t="s">
        <v>97</v>
      </c>
      <c r="F28" s="9" t="s">
        <v>141</v>
      </c>
      <c r="G28" s="10" t="s">
        <v>178</v>
      </c>
      <c r="H28" s="9" t="s">
        <v>219</v>
      </c>
      <c r="I28" s="10" t="s">
        <v>248</v>
      </c>
      <c r="J28" s="9">
        <v>1</v>
      </c>
    </row>
    <row r="29" spans="1:10" ht="24.75" thickBot="1" x14ac:dyDescent="0.3">
      <c r="A29" s="1"/>
      <c r="B29" s="11">
        <f>ROW(B29) - ROW($B$2)</f>
        <v>27</v>
      </c>
      <c r="C29" s="12" t="s">
        <v>11</v>
      </c>
      <c r="D29" s="7" t="s">
        <v>45</v>
      </c>
      <c r="E29" s="8" t="s">
        <v>98</v>
      </c>
      <c r="F29" s="7" t="s">
        <v>142</v>
      </c>
      <c r="G29" s="8" t="s">
        <v>179</v>
      </c>
      <c r="H29" s="7" t="s">
        <v>220</v>
      </c>
      <c r="I29" s="8" t="s">
        <v>249</v>
      </c>
      <c r="J29" s="7">
        <v>2</v>
      </c>
    </row>
    <row r="30" spans="1:10" ht="24.75" thickBot="1" x14ac:dyDescent="0.3">
      <c r="A30" s="1"/>
      <c r="B30" s="11">
        <f t="shared" si="0"/>
        <v>28</v>
      </c>
      <c r="C30" s="13" t="s">
        <v>11</v>
      </c>
      <c r="D30" s="9" t="s">
        <v>46</v>
      </c>
      <c r="E30" s="10" t="s">
        <v>99</v>
      </c>
      <c r="F30" s="9" t="s">
        <v>142</v>
      </c>
      <c r="G30" s="10" t="s">
        <v>180</v>
      </c>
      <c r="H30" s="9" t="s">
        <v>220</v>
      </c>
      <c r="I30" s="10" t="s">
        <v>250</v>
      </c>
      <c r="J30" s="9">
        <v>2</v>
      </c>
    </row>
    <row r="31" spans="1:10" ht="24.75" thickBot="1" x14ac:dyDescent="0.3">
      <c r="A31" s="1"/>
      <c r="B31" s="11">
        <f>ROW(B31) - ROW($B$2)</f>
        <v>29</v>
      </c>
      <c r="C31" s="12" t="s">
        <v>11</v>
      </c>
      <c r="D31" s="7" t="s">
        <v>47</v>
      </c>
      <c r="E31" s="8" t="s">
        <v>100</v>
      </c>
      <c r="F31" s="7" t="s">
        <v>142</v>
      </c>
      <c r="G31" s="8" t="s">
        <v>181</v>
      </c>
      <c r="H31" s="7" t="s">
        <v>220</v>
      </c>
      <c r="I31" s="8" t="s">
        <v>251</v>
      </c>
      <c r="J31" s="7">
        <v>1</v>
      </c>
    </row>
    <row r="32" spans="1:10" ht="24.75" thickBot="1" x14ac:dyDescent="0.3">
      <c r="A32" s="1"/>
      <c r="B32" s="11">
        <f t="shared" si="0"/>
        <v>30</v>
      </c>
      <c r="C32" s="13" t="s">
        <v>12</v>
      </c>
      <c r="D32" s="9" t="s">
        <v>48</v>
      </c>
      <c r="E32" s="10" t="s">
        <v>101</v>
      </c>
      <c r="F32" s="9" t="s">
        <v>143</v>
      </c>
      <c r="G32" s="10" t="s">
        <v>182</v>
      </c>
      <c r="H32" s="9" t="s">
        <v>221</v>
      </c>
      <c r="I32" s="10" t="s">
        <v>182</v>
      </c>
      <c r="J32" s="9">
        <v>2</v>
      </c>
    </row>
    <row r="33" spans="1:10" ht="36.75" thickBot="1" x14ac:dyDescent="0.3">
      <c r="A33" s="1"/>
      <c r="B33" s="11">
        <f>ROW(B33) - ROW($B$2)</f>
        <v>31</v>
      </c>
      <c r="C33" s="12" t="s">
        <v>12</v>
      </c>
      <c r="D33" s="7" t="s">
        <v>49</v>
      </c>
      <c r="E33" s="8" t="s">
        <v>102</v>
      </c>
      <c r="F33" s="7" t="s">
        <v>144</v>
      </c>
      <c r="G33" s="8" t="s">
        <v>183</v>
      </c>
      <c r="H33" s="7" t="s">
        <v>222</v>
      </c>
      <c r="I33" s="8" t="s">
        <v>183</v>
      </c>
      <c r="J33" s="7">
        <v>3</v>
      </c>
    </row>
    <row r="34" spans="1:10" ht="15.75" thickBot="1" x14ac:dyDescent="0.3">
      <c r="A34" s="1"/>
      <c r="B34" s="11">
        <f t="shared" si="0"/>
        <v>32</v>
      </c>
      <c r="C34" s="12" t="s">
        <v>13</v>
      </c>
      <c r="D34" s="9" t="s">
        <v>50</v>
      </c>
      <c r="E34" s="10" t="s">
        <v>103</v>
      </c>
      <c r="F34" s="9" t="s">
        <v>145</v>
      </c>
      <c r="G34" s="10" t="s">
        <v>184</v>
      </c>
      <c r="H34" s="9" t="s">
        <v>204</v>
      </c>
      <c r="I34" s="10" t="s">
        <v>252</v>
      </c>
      <c r="J34" s="9">
        <v>5</v>
      </c>
    </row>
    <row r="35" spans="1:10" ht="15.75" thickBot="1" x14ac:dyDescent="0.3">
      <c r="A35" s="1"/>
      <c r="B35" s="11">
        <f>ROW(B35) - ROW($B$2)</f>
        <v>33</v>
      </c>
      <c r="C35" s="12" t="s">
        <v>13</v>
      </c>
      <c r="D35" s="7" t="s">
        <v>51</v>
      </c>
      <c r="E35" s="8" t="s">
        <v>104</v>
      </c>
      <c r="F35" s="7" t="s">
        <v>146</v>
      </c>
      <c r="G35" s="8" t="s">
        <v>185</v>
      </c>
      <c r="H35" s="7" t="s">
        <v>204</v>
      </c>
      <c r="I35" s="8" t="s">
        <v>253</v>
      </c>
      <c r="J35" s="7">
        <v>2</v>
      </c>
    </row>
    <row r="36" spans="1:10" ht="15.75" thickBot="1" x14ac:dyDescent="0.3">
      <c r="A36" s="1"/>
      <c r="B36" s="11">
        <f t="shared" si="0"/>
        <v>34</v>
      </c>
      <c r="C36" s="13" t="s">
        <v>14</v>
      </c>
      <c r="D36" s="9" t="s">
        <v>52</v>
      </c>
      <c r="E36" s="10" t="s">
        <v>105</v>
      </c>
      <c r="F36" s="9" t="s">
        <v>146</v>
      </c>
      <c r="G36" s="10" t="s">
        <v>186</v>
      </c>
      <c r="H36" s="9" t="s">
        <v>204</v>
      </c>
      <c r="I36" s="10" t="s">
        <v>254</v>
      </c>
      <c r="J36" s="9">
        <v>4</v>
      </c>
    </row>
    <row r="37" spans="1:10" ht="15.75" thickBot="1" x14ac:dyDescent="0.3">
      <c r="A37" s="1"/>
      <c r="B37" s="11">
        <f>ROW(B37) - ROW($B$2)</f>
        <v>35</v>
      </c>
      <c r="C37" s="12" t="s">
        <v>13</v>
      </c>
      <c r="D37" s="7" t="s">
        <v>53</v>
      </c>
      <c r="E37" s="8" t="s">
        <v>106</v>
      </c>
      <c r="F37" s="7" t="s">
        <v>146</v>
      </c>
      <c r="G37" s="8" t="s">
        <v>187</v>
      </c>
      <c r="H37" s="7" t="s">
        <v>204</v>
      </c>
      <c r="I37" s="8" t="s">
        <v>255</v>
      </c>
      <c r="J37" s="7">
        <v>1</v>
      </c>
    </row>
    <row r="38" spans="1:10" ht="15.75" thickBot="1" x14ac:dyDescent="0.3">
      <c r="A38" s="1"/>
      <c r="B38" s="11">
        <f t="shared" si="0"/>
        <v>36</v>
      </c>
      <c r="C38" s="13" t="s">
        <v>14</v>
      </c>
      <c r="D38" s="9" t="s">
        <v>54</v>
      </c>
      <c r="E38" s="10" t="s">
        <v>107</v>
      </c>
      <c r="F38" s="9" t="s">
        <v>146</v>
      </c>
      <c r="G38" s="10" t="s">
        <v>188</v>
      </c>
      <c r="H38" s="9" t="s">
        <v>204</v>
      </c>
      <c r="I38" s="10" t="s">
        <v>256</v>
      </c>
      <c r="J38" s="9">
        <v>1</v>
      </c>
    </row>
    <row r="39" spans="1:10" ht="15.75" thickBot="1" x14ac:dyDescent="0.3">
      <c r="A39" s="1"/>
      <c r="B39" s="11">
        <f>ROW(B39) - ROW($B$2)</f>
        <v>37</v>
      </c>
      <c r="C39" s="12" t="s">
        <v>13</v>
      </c>
      <c r="D39" s="7" t="s">
        <v>55</v>
      </c>
      <c r="E39" s="8" t="s">
        <v>108</v>
      </c>
      <c r="F39" s="7" t="s">
        <v>146</v>
      </c>
      <c r="G39" s="8"/>
      <c r="H39" s="7"/>
      <c r="I39" s="8" t="s">
        <v>257</v>
      </c>
      <c r="J39" s="7">
        <v>1</v>
      </c>
    </row>
    <row r="40" spans="1:10" ht="15.75" thickBot="1" x14ac:dyDescent="0.3">
      <c r="A40" s="1"/>
      <c r="B40" s="11">
        <f t="shared" si="0"/>
        <v>38</v>
      </c>
      <c r="C40" s="13" t="s">
        <v>13</v>
      </c>
      <c r="D40" s="9" t="s">
        <v>56</v>
      </c>
      <c r="E40" s="10" t="s">
        <v>109</v>
      </c>
      <c r="F40" s="9" t="s">
        <v>146</v>
      </c>
      <c r="G40" s="10" t="s">
        <v>189</v>
      </c>
      <c r="H40" s="9" t="s">
        <v>204</v>
      </c>
      <c r="I40" s="10" t="s">
        <v>258</v>
      </c>
      <c r="J40" s="9">
        <v>3</v>
      </c>
    </row>
    <row r="41" spans="1:10" ht="15.75" thickBot="1" x14ac:dyDescent="0.3">
      <c r="A41" s="1"/>
      <c r="B41" s="11">
        <f>ROW(B41) - ROW($B$2)</f>
        <v>39</v>
      </c>
      <c r="C41" s="12" t="s">
        <v>13</v>
      </c>
      <c r="D41" s="7" t="s">
        <v>57</v>
      </c>
      <c r="E41" s="8" t="s">
        <v>110</v>
      </c>
      <c r="F41" s="7" t="s">
        <v>146</v>
      </c>
      <c r="G41" s="8" t="s">
        <v>190</v>
      </c>
      <c r="H41" s="7" t="s">
        <v>204</v>
      </c>
      <c r="I41" s="8" t="s">
        <v>259</v>
      </c>
      <c r="J41" s="7">
        <v>2</v>
      </c>
    </row>
    <row r="42" spans="1:10" ht="15.75" thickBot="1" x14ac:dyDescent="0.3">
      <c r="A42" s="1"/>
      <c r="B42" s="11">
        <f t="shared" si="0"/>
        <v>40</v>
      </c>
      <c r="C42" s="12" t="s">
        <v>13</v>
      </c>
      <c r="D42" s="9" t="s">
        <v>58</v>
      </c>
      <c r="E42" s="10" t="s">
        <v>111</v>
      </c>
      <c r="F42" s="9" t="s">
        <v>146</v>
      </c>
      <c r="G42" s="10" t="s">
        <v>191</v>
      </c>
      <c r="H42" s="9" t="s">
        <v>204</v>
      </c>
      <c r="I42" s="10" t="s">
        <v>260</v>
      </c>
      <c r="J42" s="9">
        <v>2</v>
      </c>
    </row>
    <row r="43" spans="1:10" ht="15.75" thickBot="1" x14ac:dyDescent="0.3">
      <c r="A43" s="1"/>
      <c r="B43" s="11">
        <f>ROW(B43) - ROW($B$2)</f>
        <v>41</v>
      </c>
      <c r="C43" s="12" t="s">
        <v>13</v>
      </c>
      <c r="D43" s="7" t="s">
        <v>59</v>
      </c>
      <c r="E43" s="8" t="s">
        <v>112</v>
      </c>
      <c r="F43" s="7" t="s">
        <v>146</v>
      </c>
      <c r="G43" s="8" t="s">
        <v>192</v>
      </c>
      <c r="H43" s="7" t="s">
        <v>204</v>
      </c>
      <c r="I43" s="8" t="s">
        <v>261</v>
      </c>
      <c r="J43" s="7">
        <v>1</v>
      </c>
    </row>
    <row r="44" spans="1:10" ht="15.75" thickBot="1" x14ac:dyDescent="0.3">
      <c r="A44" s="1"/>
      <c r="B44" s="11">
        <f t="shared" si="0"/>
        <v>42</v>
      </c>
      <c r="C44" s="12" t="s">
        <v>13</v>
      </c>
      <c r="D44" s="9" t="s">
        <v>60</v>
      </c>
      <c r="E44" s="10" t="s">
        <v>113</v>
      </c>
      <c r="F44" s="9" t="s">
        <v>146</v>
      </c>
      <c r="G44" s="10" t="s">
        <v>193</v>
      </c>
      <c r="H44" s="9" t="s">
        <v>204</v>
      </c>
      <c r="I44" s="10" t="s">
        <v>262</v>
      </c>
      <c r="J44" s="9">
        <v>1</v>
      </c>
    </row>
    <row r="45" spans="1:10" ht="15.75" thickBot="1" x14ac:dyDescent="0.3">
      <c r="A45" s="1"/>
      <c r="B45" s="11">
        <f>ROW(B45) - ROW($B$2)</f>
        <v>43</v>
      </c>
      <c r="C45" s="12" t="s">
        <v>13</v>
      </c>
      <c r="D45" s="7" t="s">
        <v>61</v>
      </c>
      <c r="E45" s="8" t="s">
        <v>114</v>
      </c>
      <c r="F45" s="7" t="s">
        <v>147</v>
      </c>
      <c r="G45" s="8" t="s">
        <v>194</v>
      </c>
      <c r="H45" s="7" t="s">
        <v>204</v>
      </c>
      <c r="I45" s="8" t="s">
        <v>263</v>
      </c>
      <c r="J45" s="7">
        <v>1</v>
      </c>
    </row>
    <row r="46" spans="1:10" ht="15.75" thickBot="1" x14ac:dyDescent="0.3">
      <c r="A46" s="1"/>
      <c r="B46" s="11">
        <f t="shared" si="0"/>
        <v>44</v>
      </c>
      <c r="C46" s="13" t="s">
        <v>13</v>
      </c>
      <c r="D46" s="9" t="s">
        <v>62</v>
      </c>
      <c r="E46" s="10" t="s">
        <v>115</v>
      </c>
      <c r="F46" s="9" t="s">
        <v>146</v>
      </c>
      <c r="G46" s="10" t="s">
        <v>195</v>
      </c>
      <c r="H46" s="9" t="s">
        <v>204</v>
      </c>
      <c r="I46" s="10" t="s">
        <v>264</v>
      </c>
      <c r="J46" s="9">
        <v>1</v>
      </c>
    </row>
    <row r="47" spans="1:10" ht="15.75" thickBot="1" x14ac:dyDescent="0.3">
      <c r="A47" s="1"/>
      <c r="B47" s="11">
        <f>ROW(B47) - ROW($B$2)</f>
        <v>45</v>
      </c>
      <c r="C47" s="12" t="s">
        <v>13</v>
      </c>
      <c r="D47" s="7" t="s">
        <v>63</v>
      </c>
      <c r="E47" s="8" t="s">
        <v>116</v>
      </c>
      <c r="F47" s="7" t="s">
        <v>146</v>
      </c>
      <c r="G47" s="8" t="s">
        <v>196</v>
      </c>
      <c r="H47" s="7" t="s">
        <v>223</v>
      </c>
      <c r="I47" s="8" t="s">
        <v>265</v>
      </c>
      <c r="J47" s="7">
        <v>1</v>
      </c>
    </row>
    <row r="48" spans="1:10" ht="15.75" thickBot="1" x14ac:dyDescent="0.3">
      <c r="A48" s="1"/>
      <c r="B48" s="11">
        <f t="shared" si="0"/>
        <v>46</v>
      </c>
      <c r="C48" s="12" t="s">
        <v>13</v>
      </c>
      <c r="D48" s="9" t="s">
        <v>64</v>
      </c>
      <c r="E48" s="10" t="s">
        <v>117</v>
      </c>
      <c r="F48" s="9" t="s">
        <v>146</v>
      </c>
      <c r="G48" s="10" t="s">
        <v>197</v>
      </c>
      <c r="H48" s="9" t="s">
        <v>204</v>
      </c>
      <c r="I48" s="10" t="s">
        <v>266</v>
      </c>
      <c r="J48" s="9">
        <v>1</v>
      </c>
    </row>
    <row r="49" spans="1:10" ht="36.75" thickBot="1" x14ac:dyDescent="0.3">
      <c r="A49" s="1"/>
      <c r="B49" s="11">
        <f>ROW(B49) - ROW($B$2)</f>
        <v>47</v>
      </c>
      <c r="C49" s="12" t="s">
        <v>15</v>
      </c>
      <c r="D49" s="7" t="s">
        <v>65</v>
      </c>
      <c r="E49" s="8" t="s">
        <v>118</v>
      </c>
      <c r="F49" s="7" t="s">
        <v>148</v>
      </c>
      <c r="G49" s="8" t="s">
        <v>148</v>
      </c>
      <c r="H49" s="7" t="s">
        <v>224</v>
      </c>
      <c r="I49" s="8" t="s">
        <v>148</v>
      </c>
      <c r="J49" s="7">
        <v>4</v>
      </c>
    </row>
    <row r="50" spans="1:10" ht="36.75" thickBot="1" x14ac:dyDescent="0.3">
      <c r="A50" s="1"/>
      <c r="B50" s="11">
        <f t="shared" si="0"/>
        <v>48</v>
      </c>
      <c r="C50" s="12" t="s">
        <v>15</v>
      </c>
      <c r="D50" s="9" t="s">
        <v>66</v>
      </c>
      <c r="E50" s="10" t="s">
        <v>119</v>
      </c>
      <c r="F50" s="9" t="s">
        <v>149</v>
      </c>
      <c r="G50" s="10"/>
      <c r="H50" s="9" t="s">
        <v>225</v>
      </c>
      <c r="I50" s="10" t="s">
        <v>149</v>
      </c>
      <c r="J50" s="9">
        <v>1</v>
      </c>
    </row>
    <row r="51" spans="1:10" ht="36.75" thickBot="1" x14ac:dyDescent="0.3">
      <c r="A51" s="1"/>
      <c r="B51" s="11">
        <f>ROW(B51) - ROW($B$2)</f>
        <v>49</v>
      </c>
      <c r="C51" s="12" t="s">
        <v>16</v>
      </c>
      <c r="D51" s="7" t="s">
        <v>67</v>
      </c>
      <c r="E51" s="8" t="s">
        <v>120</v>
      </c>
      <c r="F51" s="7" t="s">
        <v>150</v>
      </c>
      <c r="G51" s="8" t="s">
        <v>198</v>
      </c>
      <c r="H51" s="7" t="s">
        <v>226</v>
      </c>
      <c r="I51" s="8" t="s">
        <v>198</v>
      </c>
      <c r="J51" s="7">
        <v>1</v>
      </c>
    </row>
    <row r="52" spans="1:10" ht="15.75" thickBot="1" x14ac:dyDescent="0.3">
      <c r="A52" s="1"/>
      <c r="B52" s="11">
        <f t="shared" si="0"/>
        <v>50</v>
      </c>
      <c r="C52" s="13"/>
      <c r="D52" s="9" t="s">
        <v>68</v>
      </c>
      <c r="E52" s="10" t="s">
        <v>121</v>
      </c>
      <c r="F52" s="9" t="s">
        <v>151</v>
      </c>
      <c r="G52" s="10" t="s">
        <v>199</v>
      </c>
      <c r="H52" s="9" t="s">
        <v>227</v>
      </c>
      <c r="I52" s="10" t="s">
        <v>199</v>
      </c>
      <c r="J52" s="9">
        <v>1</v>
      </c>
    </row>
    <row r="53" spans="1:10" ht="24.75" thickBot="1" x14ac:dyDescent="0.3">
      <c r="A53" s="1"/>
      <c r="B53" s="11">
        <f>ROW(B53) - ROW($B$2)</f>
        <v>51</v>
      </c>
      <c r="C53" s="12" t="s">
        <v>16</v>
      </c>
      <c r="D53" s="7" t="s">
        <v>69</v>
      </c>
      <c r="E53" s="8" t="s">
        <v>122</v>
      </c>
      <c r="F53" s="7" t="s">
        <v>152</v>
      </c>
      <c r="G53" s="8" t="s">
        <v>200</v>
      </c>
      <c r="H53" s="7" t="s">
        <v>228</v>
      </c>
      <c r="I53" s="8" t="s">
        <v>200</v>
      </c>
      <c r="J53" s="7">
        <v>1</v>
      </c>
    </row>
    <row r="54" spans="1:10" ht="36.75" thickBot="1" x14ac:dyDescent="0.3">
      <c r="A54" s="1"/>
      <c r="B54" s="11">
        <f t="shared" si="0"/>
        <v>52</v>
      </c>
      <c r="C54" s="13" t="s">
        <v>16</v>
      </c>
      <c r="D54" s="9" t="s">
        <v>70</v>
      </c>
      <c r="E54" s="10" t="s">
        <v>123</v>
      </c>
      <c r="F54" s="9" t="s">
        <v>153</v>
      </c>
      <c r="G54" s="10" t="s">
        <v>201</v>
      </c>
      <c r="H54" s="9" t="s">
        <v>229</v>
      </c>
      <c r="I54" s="10" t="s">
        <v>201</v>
      </c>
      <c r="J54" s="9">
        <v>1</v>
      </c>
    </row>
    <row r="55" spans="1:10" ht="24.75" thickBot="1" x14ac:dyDescent="0.3">
      <c r="A55" s="1"/>
      <c r="B55" s="11">
        <f>ROW(B55) - ROW($B$2)</f>
        <v>53</v>
      </c>
      <c r="C55" s="12" t="s">
        <v>17</v>
      </c>
      <c r="D55" s="7" t="s">
        <v>71</v>
      </c>
      <c r="E55" s="8" t="s">
        <v>124</v>
      </c>
      <c r="F55" s="7" t="s">
        <v>154</v>
      </c>
      <c r="G55" s="8" t="s">
        <v>202</v>
      </c>
      <c r="H55" s="7"/>
      <c r="I55" s="8" t="s">
        <v>267</v>
      </c>
      <c r="J55" s="7">
        <v>1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2024-09-04T17:38:12Z</dcterms:modified>
</cp:coreProperties>
</file>