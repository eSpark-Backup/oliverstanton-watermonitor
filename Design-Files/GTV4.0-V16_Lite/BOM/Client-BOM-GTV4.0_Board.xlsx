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96" i="1" l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<sst xmlns="http://schemas.openxmlformats.org/spreadsheetml/2006/main" count="1368" uniqueCount="824">
  <si>
    <t>#</t>
  </si>
  <si>
    <t>Item Type</t>
  </si>
  <si>
    <t>Capacitor</t>
  </si>
  <si>
    <t>IC</t>
  </si>
  <si>
    <t>Supercapacitor</t>
  </si>
  <si>
    <t>Zener diode</t>
  </si>
  <si>
    <t>Diode</t>
  </si>
  <si>
    <t>Diodes</t>
  </si>
  <si>
    <t>Protection Device</t>
  </si>
  <si>
    <t>TVS Diodes</t>
  </si>
  <si>
    <t>(TVS/ESD)</t>
  </si>
  <si>
    <t>Jtag Male Header</t>
  </si>
  <si>
    <t>Terminal Block</t>
  </si>
  <si>
    <t>Terminal Blocks</t>
  </si>
  <si>
    <t>USB B Connector</t>
  </si>
  <si>
    <t>Headers, Male Pins</t>
  </si>
  <si>
    <t>Wire To Board Connector</t>
  </si>
  <si>
    <t>Male</t>
  </si>
  <si>
    <t>SMA</t>
  </si>
  <si>
    <t>Connector</t>
  </si>
  <si>
    <t>SD Card Connector</t>
  </si>
  <si>
    <t>Male Header</t>
  </si>
  <si>
    <t>Inductor</t>
  </si>
  <si>
    <t>LED</t>
  </si>
  <si>
    <t>Photo Sensor</t>
  </si>
  <si>
    <t>Buzzer</t>
  </si>
  <si>
    <t>Test Point</t>
  </si>
  <si>
    <t>Mosfet</t>
  </si>
  <si>
    <t>Transister</t>
  </si>
  <si>
    <t>MOSFETs</t>
  </si>
  <si>
    <t>Resistor</t>
  </si>
  <si>
    <t>Resistors</t>
  </si>
  <si>
    <t>Tactile Switch</t>
  </si>
  <si>
    <t>Switch</t>
  </si>
  <si>
    <t>Current Sensor</t>
  </si>
  <si>
    <t>Sensor</t>
  </si>
  <si>
    <t>Module</t>
  </si>
  <si>
    <t>OpAmp</t>
  </si>
  <si>
    <t>Crystal</t>
  </si>
  <si>
    <t>Designator</t>
  </si>
  <si>
    <t>C1, C4, C16, C21, C23, C24, C40, C42, C43, C44, C45, C65, C68, C76</t>
  </si>
  <si>
    <t>C2</t>
  </si>
  <si>
    <t>C3, C15, C25, C27, C37, C117</t>
  </si>
  <si>
    <t>C5, C8</t>
  </si>
  <si>
    <t>C6, C10, C13, C14, C17, C22, C26, C28, C38, C46, C47, C48, C49, C51, C52, C53, C59, C63, C66, C67, C69</t>
  </si>
  <si>
    <t>C7, C71, C136, C139</t>
  </si>
  <si>
    <t>C9</t>
  </si>
  <si>
    <t>C11, C19</t>
  </si>
  <si>
    <t>C12, C29, C30, C31, C32, C33, C36, C73, C93, C95, C109, C110, C111, C113, C114</t>
  </si>
  <si>
    <t>C18</t>
  </si>
  <si>
    <t>C20</t>
  </si>
  <si>
    <t>C34, C35, C133, C134</t>
  </si>
  <si>
    <t>C39, C41, C55, C58, C60</t>
  </si>
  <si>
    <t>C50</t>
  </si>
  <si>
    <t>C54, C74</t>
  </si>
  <si>
    <t>C56, C64, C137, C138, C142, C144</t>
  </si>
  <si>
    <t>C57</t>
  </si>
  <si>
    <t>C61, C62, C116, C118, C119</t>
  </si>
  <si>
    <t>C70</t>
  </si>
  <si>
    <t>C72</t>
  </si>
  <si>
    <t>C75</t>
  </si>
  <si>
    <t>C77</t>
  </si>
  <si>
    <t>C88, C90</t>
  </si>
  <si>
    <t>C89</t>
  </si>
  <si>
    <t>C91</t>
  </si>
  <si>
    <t>C107, C112</t>
  </si>
  <si>
    <t>C108</t>
  </si>
  <si>
    <t>C115</t>
  </si>
  <si>
    <t>C120, C121</t>
  </si>
  <si>
    <t>C122</t>
  </si>
  <si>
    <t>C123</t>
  </si>
  <si>
    <t>C128, C129</t>
  </si>
  <si>
    <t>C131, C132</t>
  </si>
  <si>
    <t>C135</t>
  </si>
  <si>
    <t>C140, C148, C150</t>
  </si>
  <si>
    <t>C146</t>
  </si>
  <si>
    <t>C147</t>
  </si>
  <si>
    <t>C149</t>
  </si>
  <si>
    <t>D1</t>
  </si>
  <si>
    <t>D2</t>
  </si>
  <si>
    <t>D3, D8</t>
  </si>
  <si>
    <t>D4</t>
  </si>
  <si>
    <t>D5, D70</t>
  </si>
  <si>
    <t>D6</t>
  </si>
  <si>
    <t>D7</t>
  </si>
  <si>
    <t>D9, D10</t>
  </si>
  <si>
    <t>D11</t>
  </si>
  <si>
    <t>D12, D13</t>
  </si>
  <si>
    <t>D14</t>
  </si>
  <si>
    <t>D17, D18, D19, D20, D21, D22, D23, D24, D25, D26, D27, D32, D33, D36, D38, D43, D44, D45, D46, D47, D48, D49, D50, D51, D52, D53, D54, D55, D56, D57, D58, D59, D60, D61, D62, D63, D64, D65, D66, D67, D68, D69</t>
  </si>
  <si>
    <t>D31</t>
  </si>
  <si>
    <t>D34, D37</t>
  </si>
  <si>
    <t>D35</t>
  </si>
  <si>
    <t>D39</t>
  </si>
  <si>
    <t>D40, D41, D42</t>
  </si>
  <si>
    <t>D71</t>
  </si>
  <si>
    <t>J1</t>
  </si>
  <si>
    <t>J2</t>
  </si>
  <si>
    <t>J3, J4, J5, J6, J11, J12, J21, J24, J25</t>
  </si>
  <si>
    <t>J7</t>
  </si>
  <si>
    <t>J8</t>
  </si>
  <si>
    <t>J9</t>
  </si>
  <si>
    <t>J10</t>
  </si>
  <si>
    <t>J13, J17, J19</t>
  </si>
  <si>
    <t>J14, J16</t>
  </si>
  <si>
    <t>J15</t>
  </si>
  <si>
    <t>J18</t>
  </si>
  <si>
    <t>J20, J23</t>
  </si>
  <si>
    <t>J22</t>
  </si>
  <si>
    <t>J30</t>
  </si>
  <si>
    <t>J34, J38</t>
  </si>
  <si>
    <t>J36, J40</t>
  </si>
  <si>
    <t>L1</t>
  </si>
  <si>
    <t>L2</t>
  </si>
  <si>
    <t>L3</t>
  </si>
  <si>
    <t>L4</t>
  </si>
  <si>
    <t>L5</t>
  </si>
  <si>
    <t>L7</t>
  </si>
  <si>
    <t>LED1, LED2, LED3</t>
  </si>
  <si>
    <t>LED4</t>
  </si>
  <si>
    <t>LED5</t>
  </si>
  <si>
    <t>LED6</t>
  </si>
  <si>
    <t>LED11</t>
  </si>
  <si>
    <t>LS1</t>
  </si>
  <si>
    <t>P1, P7, P9, P10, P11, P16</t>
  </si>
  <si>
    <t>Q1, Q11</t>
  </si>
  <si>
    <t>Q2, Q3, Q9</t>
  </si>
  <si>
    <t>Q4</t>
  </si>
  <si>
    <t>Q5, Q6</t>
  </si>
  <si>
    <t>Q7</t>
  </si>
  <si>
    <t>Q8</t>
  </si>
  <si>
    <t>Q10</t>
  </si>
  <si>
    <t>Q26</t>
  </si>
  <si>
    <t>Q32</t>
  </si>
  <si>
    <t>Q39</t>
  </si>
  <si>
    <t>R1</t>
  </si>
  <si>
    <t>R2</t>
  </si>
  <si>
    <t>R3</t>
  </si>
  <si>
    <t>R4, R6</t>
  </si>
  <si>
    <t>R5, R8</t>
  </si>
  <si>
    <t>R7, R10</t>
  </si>
  <si>
    <t>R9, R163</t>
  </si>
  <si>
    <t>R11</t>
  </si>
  <si>
    <t>R12</t>
  </si>
  <si>
    <t>R13, R38</t>
  </si>
  <si>
    <t>R14, R15, R17</t>
  </si>
  <si>
    <t>R16, R18, R31, R138, R139, R140, R141, R142, R143, R144, R145, R146, R147, R148, R150, R176, R177</t>
  </si>
  <si>
    <t>R19, R20, R35, R43</t>
  </si>
  <si>
    <t>R21</t>
  </si>
  <si>
    <t>R22, R36, R42, R80</t>
  </si>
  <si>
    <t>R23, R39, R44, R52, R53, R70, R168</t>
  </si>
  <si>
    <t>R24, R25</t>
  </si>
  <si>
    <t>R26</t>
  </si>
  <si>
    <t>R27, R29, R40, R93, R117, R129, R134</t>
  </si>
  <si>
    <t>R28, R33, R41, R66, R67, R71, R72, R76, R77, R78, R81, R82, R83, R84, R85, R86, R87, R88, R89, R90, R91, R92, R94, R95, R96, R97, R98, R99, R100, R101, R102, R103, R106, R107, R108, R110, R111, R112, R113, R114, R115, R116, R130, R135</t>
  </si>
  <si>
    <t>R30</t>
  </si>
  <si>
    <t>R32</t>
  </si>
  <si>
    <t>R34, R48, R68, R75</t>
  </si>
  <si>
    <t>R37</t>
  </si>
  <si>
    <t>R45, R122</t>
  </si>
  <si>
    <t>R46, R47</t>
  </si>
  <si>
    <t>R49</t>
  </si>
  <si>
    <t>R50</t>
  </si>
  <si>
    <t>R51</t>
  </si>
  <si>
    <t>R54</t>
  </si>
  <si>
    <t>R55, R104, R192, R194, R204, R206, R216, R217, R218, R219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</si>
  <si>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</si>
  <si>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</si>
  <si>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</si>
  <si>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</si>
  <si>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</si>
  <si>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</si>
  <si>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</si>
  <si>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</si>
  <si>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</si>
  <si>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</si>
  <si>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R69, R131</t>
  </si>
  <si>
    <t>R73, R74, R105, R170, R188, R190, R198, R200, R201, R202, R210, R212, R213</t>
  </si>
  <si>
    <t>R79</t>
  </si>
  <si>
    <t>R109, R136</t>
  </si>
  <si>
    <t>R118, R123</t>
  </si>
  <si>
    <t>R119</t>
  </si>
  <si>
    <t>R120</t>
  </si>
  <si>
    <t>R121</t>
  </si>
  <si>
    <t>R124</t>
  </si>
  <si>
    <t>R125, R127</t>
  </si>
  <si>
    <t>R126, R128</t>
  </si>
  <si>
    <t>R132</t>
  </si>
  <si>
    <t>R133, R137</t>
  </si>
  <si>
    <t>R149</t>
  </si>
  <si>
    <t>R151</t>
  </si>
  <si>
    <t>R156, R157, R158, R159, R160</t>
  </si>
  <si>
    <t>R161, R162</t>
  </si>
  <si>
    <t>R164</t>
  </si>
  <si>
    <t>R165</t>
  </si>
  <si>
    <t>R166</t>
  </si>
  <si>
    <t>R167</t>
  </si>
  <si>
    <t>R169, R171, R173, R174</t>
  </si>
  <si>
    <t>R172</t>
  </si>
  <si>
    <t>R175</t>
  </si>
  <si>
    <t>R178, R179, R180, R187, R189</t>
  </si>
  <si>
    <t>R196, R208</t>
  </si>
  <si>
    <t>R214</t>
  </si>
  <si>
    <t>R215</t>
  </si>
  <si>
    <t>SW3</t>
  </si>
  <si>
    <t>SW4</t>
  </si>
  <si>
    <t>U1, U2</t>
  </si>
  <si>
    <t>U3</t>
  </si>
  <si>
    <t>U4</t>
  </si>
  <si>
    <t>U5</t>
  </si>
  <si>
    <t>U6</t>
  </si>
  <si>
    <t>U7</t>
  </si>
  <si>
    <t>U8, U10, U11</t>
  </si>
  <si>
    <t>U9</t>
  </si>
  <si>
    <t>U12</t>
  </si>
  <si>
    <t>U13</t>
  </si>
  <si>
    <t>U14</t>
  </si>
  <si>
    <t>U15, U16</t>
  </si>
  <si>
    <t>U17</t>
  </si>
  <si>
    <t>U18</t>
  </si>
  <si>
    <t>U19, U22</t>
  </si>
  <si>
    <t>U20</t>
  </si>
  <si>
    <t>U21</t>
  </si>
  <si>
    <t>U28</t>
  </si>
  <si>
    <t>U29</t>
  </si>
  <si>
    <t>U30</t>
  </si>
  <si>
    <t>U31</t>
  </si>
  <si>
    <t>U32</t>
  </si>
  <si>
    <t>U33, U35</t>
  </si>
  <si>
    <t>U37</t>
  </si>
  <si>
    <t>U38</t>
  </si>
  <si>
    <t>X1</t>
  </si>
  <si>
    <t>X2</t>
  </si>
  <si>
    <t>X3</t>
  </si>
  <si>
    <t>Description</t>
  </si>
  <si>
    <t>CAP ALUM 10uF 25V SMD</t>
  </si>
  <si>
    <t>CAP CER 0.1UF 100V X7R 1206</t>
  </si>
  <si>
    <t>CAP CER 1UF 25V X5R 0603</t>
  </si>
  <si>
    <t>CAP CER 30PF 50V C0G/NPO 0402</t>
  </si>
  <si>
    <t>CAP CER 0.1UF 50V Y5V 0603</t>
  </si>
  <si>
    <t>CAP CER 1UF 16V X5R 0402</t>
  </si>
  <si>
    <t>CAP ALUM 100UF 20% 25V SMD</t>
  </si>
  <si>
    <t>CAP CER 1000PF 25V C0G 0402</t>
  </si>
  <si>
    <t>CAP CER 0.1UF 50V X5R 0402</t>
  </si>
  <si>
    <t>470uF 50V ±20% SMD,D12.5xL13.5mm Aluminum Electrolytic Capacitors - SMD ROHS</t>
  </si>
  <si>
    <t>CAP CER 470pF 10% X7R 50V 0603 SMD</t>
  </si>
  <si>
    <t>CAP CER 15PF 50V C0G/NPO 0201</t>
  </si>
  <si>
    <t>CAP CER 1UF 50V X7R 0603</t>
  </si>
  <si>
    <t>CAP CER 0.047UF 100V X7R 1206</t>
  </si>
  <si>
    <t>CAP CER 0.1UF 16V X5R 0402</t>
  </si>
  <si>
    <t>CAP CER 0.1UF 16V X7R 0402</t>
  </si>
  <si>
    <t>10uF 35V X5R 20% Pad SMD 0603</t>
  </si>
  <si>
    <t>CAP CER 22UF 35V X5R 0805</t>
  </si>
  <si>
    <t>CAP ALUM 1000UF 20% 10V SMD</t>
  </si>
  <si>
    <t>CAP CER 10UF 16V X5R 0603</t>
  </si>
  <si>
    <t>CAP CER 0.1UF 50V X7R 0402</t>
  </si>
  <si>
    <t>CAP CER 10UF 25V X5R 0603</t>
  </si>
  <si>
    <t>CAP CER 0.1UF 100V X5R 0402</t>
  </si>
  <si>
    <t>CAP TANT 330UF 20% 16V 2917</t>
  </si>
  <si>
    <t>CAP TANT 100UF 20% 10V 1411</t>
  </si>
  <si>
    <t>CAP CER 10UF 10V X5R 0402</t>
  </si>
  <si>
    <t>CAP CER 0.1UF 25V X6S 0201</t>
  </si>
  <si>
    <t>CAP 25F -10% +30% 2.7V T/H</t>
  </si>
  <si>
    <t>CAP CER 47UF 25V X5R 1206</t>
  </si>
  <si>
    <t>CAP CER 0.47UF 50V X5R 0603</t>
  </si>
  <si>
    <t>CAP CER 2200PF 50V X7R 0603</t>
  </si>
  <si>
    <t>CAP CER 22UF 10V X5R 0603</t>
  </si>
  <si>
    <t>CAP CER 2.2UF 25V X5R 0402</t>
  </si>
  <si>
    <t>CAP CER 0.1UF 50V X5R 0603</t>
  </si>
  <si>
    <t>CAP CER 0.1UF 25V X7R 0402</t>
  </si>
  <si>
    <t>CAP CER 10UF 16V X7R 0805</t>
  </si>
  <si>
    <t>CAP CER 1UF 25V X5R 0402</t>
  </si>
  <si>
    <t>CAP CER 10UF 25V X5R 0805</t>
  </si>
  <si>
    <t>40V 500mV@2A 2A SMA(DO-214AC) Schottky Barrier Diodes (SBD) ROHS</t>
  </si>
  <si>
    <t>DIODE ZENER 16V 1.5W SMA</t>
  </si>
  <si>
    <t>TVS DIODE 5VWM 9.2VC SMA</t>
  </si>
  <si>
    <t>16A 20V 7V 5V@Max Unidirectional SOT-23 TVS ROHS</t>
  </si>
  <si>
    <t>DIODE ZENER 3.3V 200MW SOD323F</t>
  </si>
  <si>
    <t>5.3A 600W 113V 77.8V 70V SMB(DO-214AA) ESD and Surge Protection (TVS/ESD) ROHS</t>
  </si>
  <si>
    <t>SCHOTTKY DIODE SMB 100V 5A</t>
  </si>
  <si>
    <t>DIODE GEN PURP 100V 300MA SOD123</t>
  </si>
  <si>
    <t>40V 650mV@10A 10A SMC(DO-214AB) Schottky Barrier Diodes (SBD) ROHS</t>
  </si>
  <si>
    <t>DIODE SCHOTTKY 150V 20A TO2773</t>
  </si>
  <si>
    <t>DIODE SCHOTTKY 40V 380MA SOD523</t>
  </si>
  <si>
    <t>5V 10V 3.3V Bi-Directional SOD-882 ESD Protection Devices ROHS</t>
  </si>
  <si>
    <t>1A Single 1kV 1.1V@1A SMA(DO-214AC) Diodes - General Purpose ROHS</t>
  </si>
  <si>
    <t>SOT-23 TVS ROHS</t>
  </si>
  <si>
    <t>TVS DIODE 12VWM 19.9VC DO214AA</t>
  </si>
  <si>
    <t>DIODE SCHOTTKY 40V 1A SOD123</t>
  </si>
  <si>
    <t>5A 60W 12V 3.6V 3.3V SOD-523 ESD and Surge Protection (TVS/ESD) ROHS</t>
  </si>
  <si>
    <t>DIODE ZENER 12V 200MW SOD323</t>
  </si>
  <si>
    <t>CONN HEADER SMD 10POS 1.27MM</t>
  </si>
  <si>
    <t>52A 1x2P -40℃~+105℃ 300V Green Through Hole 10.16mm 1 2 P=10.16mm Screw Terminal Blocks ROHS</t>
  </si>
  <si>
    <t>TERMINAL BLOCK, SCREW TYPE, 5.08</t>
  </si>
  <si>
    <t>CONN RCPT USB2.0 MICRO B SMD R/A</t>
  </si>
  <si>
    <t>TERMINAL BLOCK, PLUGGABLE, 5.08,</t>
  </si>
  <si>
    <t>CONN HEADER VERT 3POS 2.54MM</t>
  </si>
  <si>
    <t>CONN HEADER VERT 2POS 2.54MM</t>
  </si>
  <si>
    <t>1x12P 12P PicoBlade(MX 1.25) Tin 12 -25℃~+85℃ 2A 1 1.25mm Brass Surface Mount,Vertical SMD,P=1.25mm Wire To Board Connector ROHS</t>
  </si>
  <si>
    <t>3A Direct Insert Policy 1.7mm 2P 3mm -55℃~+105℃ 2.5mm 1.27mm Single Row Black Brass 1x2P Plugin,P=1.27mm Pin Headers ROHS</t>
  </si>
  <si>
    <t>1 Inner bore SMA Board Edge Bend -55℃~+155℃ 50Ω Plugin RF Connectors / Coaxial Connectors ROHS</t>
  </si>
  <si>
    <t>1x6P 6P PicoBlade(MX 1.25) Tin 6 -25℃~+85℃ 2A 1 1.25mm Brass Surface Mount,Vertical SMD,P=1.25mm Wire To Board Connector ROHS</t>
  </si>
  <si>
    <t>1x16P PicoBlade(MX 1.25) 16P Tin 16 -25℃~+85℃ 2A 1 1.25mm Brass Surface Mount,Vertical SMD,P=1.25mm Wire To Board Connector ROHS</t>
  </si>
  <si>
    <t>CONN MICRO SD CARD PUSH-PUSH R/A</t>
  </si>
  <si>
    <t>Gold 250V 3A Straight Square Pins 2.5mm 2P 260℃ 6mm -40℃~+105℃ 3mm 2.54mm Plugin Black Brass 1x2P Plugin,P=2.54mm Pin Headers ROHS</t>
  </si>
  <si>
    <t>IND SMD 10uH 500mA 0805</t>
  </si>
  <si>
    <t>Inductor Power Shielded Wirewound 220uH 20% 1KHz Ferrite 1.3A 310mOhm DCR Blister</t>
  </si>
  <si>
    <t>3.7A 4.7uH ±20% SMD,7.3x7.3mm Power Inductors ROHS</t>
  </si>
  <si>
    <t>590mA 22uH ±20% SMD,4x4x1.8mm Power Inductors ROHS</t>
  </si>
  <si>
    <t>IND SMD 3.3UH 20A</t>
  </si>
  <si>
    <t>FIXED IND 470NH 4.9A 0.023OHM SM</t>
  </si>
  <si>
    <t>LED RED CLEAR CHIP SMD</t>
  </si>
  <si>
    <t>SENSOR PHOTO 630NM 2SMD</t>
  </si>
  <si>
    <t>RED LED 0603 Light Emitting Diodes</t>
  </si>
  <si>
    <t>Green 520~535nm 0402 Light Emitting Diodes (LED) RoHS</t>
  </si>
  <si>
    <t>Red 632nm LED Indication - Discrete 2.05V 0603 (1608 Metric)</t>
  </si>
  <si>
    <t>Externally Driven 85dB@3V,10cm 3V 2700Hz SMD,D=9mm Buzzers ROHS</t>
  </si>
  <si>
    <t>Test Point ON</t>
  </si>
  <si>
    <t>Single N-Channel, 20V, 4.7A, Power MOSFET</t>
  </si>
  <si>
    <t>TRANS NPN 160V 0.6A SOT-23</t>
  </si>
  <si>
    <t>MOSFET N-CH 130V 1A SOT23</t>
  </si>
  <si>
    <t>MOSFET N-CH 55V 110A D2PAK</t>
  </si>
  <si>
    <t>MOSFET P-CH 20V 3.7A SOT23</t>
  </si>
  <si>
    <t>TRANS NPN 40V 0.6A SMD SOT23-3</t>
  </si>
  <si>
    <t>MOSFET N-CH 60V 23A/100A TDSON</t>
  </si>
  <si>
    <t>N-CHANNEL 20-V (D-S) MOSFET</t>
  </si>
  <si>
    <t>30V 4.1A 60mΩ@10V,4.1A 350mW 3V@250uA P Channel SOT-23 MOSFETs ROHS</t>
  </si>
  <si>
    <t>MOSFET N-CH 60V 115MA SOT23-3</t>
  </si>
  <si>
    <t>100mW Thick Film Resistor 75V ±100ppm/℃ ±1% 3.6kΩ 0603 Chip Resistor - Surface Mount ROHS</t>
  </si>
  <si>
    <t>±1% 1/10W Thick Film Resistors 75V ±600ppm/℃ -55℃~+155℃ 0.33Ω 0603 Chip Resistor - Surface Mount ROHS</t>
  </si>
  <si>
    <t>RES SMD 1.2K OHM 1% 1/10W 0603</t>
  </si>
  <si>
    <t>RES SMD 4.7K OHM 1% 1/10W 0603</t>
  </si>
  <si>
    <t>RES SMD 4.7K OHM 0.1% 1/10W 0603</t>
  </si>
  <si>
    <t>RES SMD 6.8K OHM 0.1% 1/10W 0603</t>
  </si>
  <si>
    <t>RES 20K OHM 1% 1/10W 0603</t>
  </si>
  <si>
    <t>100mW Thick Film Resistors 75V ±1% ±100ppm/℃ -55℃~+155℃ 2.21MΩ 0603 Chip Resistor - Surface Mount ROHS</t>
  </si>
  <si>
    <t>RES 15K OHM 1% 1/10W 0603</t>
  </si>
  <si>
    <t>RES 3.3K OHM 0.5% 1/10W 0603</t>
  </si>
  <si>
    <t>RES SMD 680 OHM 1% 1/10W 0603</t>
  </si>
  <si>
    <t>RES 4.7K OHM 1% 1/16W 0402</t>
  </si>
  <si>
    <t>RES 10K OHM 1% 1/10W 0603</t>
  </si>
  <si>
    <t>RES 150 OHM 0.5% 1/10W 0603</t>
  </si>
  <si>
    <t>RES 2.2K OHM 1% 1/10W 0603</t>
  </si>
  <si>
    <t>RES SMD 10K Ohm 1% 1/10W 0603</t>
  </si>
  <si>
    <t>RES SMD 47OHM 0.1W 0603</t>
  </si>
  <si>
    <t>RES 1K OHM 5% 1/16W 0402</t>
  </si>
  <si>
    <t>RES 0 OHM JUMPER 1/10W 0603</t>
  </si>
  <si>
    <t>RES SMD 20K OHM 0.1% 1/10W 0603</t>
  </si>
  <si>
    <t>RES 100K OHM 1% 1/8W 0805</t>
  </si>
  <si>
    <t>RES SMD 1K OHM 1% 1/10W 0603</t>
  </si>
  <si>
    <t>RES SMD 7.5K OHM 0.1% 1/10W 0603</t>
  </si>
  <si>
    <t>RES SMD 100 OHM 1% 1/4W 0603</t>
  </si>
  <si>
    <t>RES SMD 200K OHM 1% 1/10W 0603</t>
  </si>
  <si>
    <t>RES 10 OHM 1% 1/8W 0805</t>
  </si>
  <si>
    <t>RES 499K OHM 0.1% 1/16W 0402</t>
  </si>
  <si>
    <t>RES SMD 36K OHM 0.1% 1/16W 0402</t>
  </si>
  <si>
    <t>RES SMD 13.7KOHM 0.1% 1/10W 0603</t>
  </si>
  <si>
    <t>RES 0 OHM JUMPER 1/16W 0402</t>
  </si>
  <si>
    <t>RES 5.23K OHM 1% 1/8W 0805</t>
  </si>
  <si>
    <t>RES 30.1K OHM 1% 1/10W 0603</t>
  </si>
  <si>
    <t>100mW Thin Film Resistor 75V ±25ppm/℃ ±0.1% 499kΩ 0603 Chip Resistor - Surface Mount ROHS</t>
  </si>
  <si>
    <t>RES SMD 86.6KOHM 0.1% 1/16W 0402</t>
  </si>
  <si>
    <t>RES 0 OHM JUMPER 1W 2512</t>
  </si>
  <si>
    <t>RES 2.2 OHM 1% 1/16W 0402</t>
  </si>
  <si>
    <t>RES SMD 100K OHM 5% 1/20W 0201</t>
  </si>
  <si>
    <t>RES 47K OHM 1% 1/16W 0402</t>
  </si>
  <si>
    <t>RES 1K OHM 1% 1/2W 1206</t>
  </si>
  <si>
    <t>RES SMD 63.4KOHM 0.1% 1/10W 0603</t>
  </si>
  <si>
    <t>RES 470 OHM 1% 1/10W 0603</t>
  </si>
  <si>
    <t>RES 10K OHM 1% 1/16W 0402</t>
  </si>
  <si>
    <t>RES SMD 3.3K OHM 1% 1/10W 0603</t>
  </si>
  <si>
    <t>RES SMD 1.82M OHM 1% 1/10W 0603</t>
  </si>
  <si>
    <t>RES 1K OHM 1% 1/16W 0402</t>
  </si>
  <si>
    <t>RES 0 OHM JUMPER 1/4W 1206</t>
  </si>
  <si>
    <t>3W 4mΩ Surface Mount Current Sense Resistor ±50ppm/℃ ±1% 2512 Current Sense Resistors / Shunt Resistors ROHS</t>
  </si>
  <si>
    <t>RES SMD 100 OHM 1% 1/10W 0603</t>
  </si>
  <si>
    <t>RES SMD 10K OHM 0.1% 1/10W 0603</t>
  </si>
  <si>
    <t>RES SMD 3.3K OHM 0.1% 1/10W 0603</t>
  </si>
  <si>
    <t>RES 470 OHM 5% 1/20W 0201</t>
  </si>
  <si>
    <t>1W Thick Film Resistor 200V ±5% ±800ppm/℃ 0Ω 2512 Chip Resistor - Surface Mount ROHS</t>
  </si>
  <si>
    <t>RES SMD 10K OHM 1% 1/20W 0201</t>
  </si>
  <si>
    <t>RES SMD 1M OHM 1% 1/10W 0603</t>
  </si>
  <si>
    <t>RES SMD 402K OHM 1% 1/10W 0603</t>
  </si>
  <si>
    <t>RES 845K OHM 1% 1/10W 0603</t>
  </si>
  <si>
    <t>RES 499K OHM 1% 1/10W 0603</t>
  </si>
  <si>
    <t>RES SMD 33K OHM 5% 1/10W 0603</t>
  </si>
  <si>
    <t>RES SMD 100K OHM 0.1% 1/10W 0603</t>
  </si>
  <si>
    <t>RES SMD 120 OHM 0.1% 1/10W 0603</t>
  </si>
  <si>
    <t>RES 1M OHM 1% 1/16W 0402</t>
  </si>
  <si>
    <t>RES 5.1K OHM 1% 1/16W 0402</t>
  </si>
  <si>
    <t>RES 120 OHM 1% 1/10W 0603</t>
  </si>
  <si>
    <t>RES 51K OHM 0.1% 1/16W 0402</t>
  </si>
  <si>
    <t>RES 2.7K OHM 1% 1/16W 0402</t>
  </si>
  <si>
    <t>SWITCH TACTILE SPST-NO 0.05A 12V</t>
  </si>
  <si>
    <t>Straight 1A SPDT 8.7mm 8.6mm 24V 4.5mm Black PCPin 10000 Rectangular columnar -25℃~+70℃ Plugin Slide Switches ROHS</t>
  </si>
  <si>
    <t>SENSOR CURRENT HALL 20A DC</t>
  </si>
  <si>
    <t>IC REG BUCK BST ADJ 1.5A 8SOIC</t>
  </si>
  <si>
    <t>IC REG LINEAR 3.3V 1A SOT223</t>
  </si>
  <si>
    <t>IC REG BUCK-BOOST ADJ 3A 16TQFN</t>
  </si>
  <si>
    <t>IC GATE DRVR LOW-SIDE 8SOIC</t>
  </si>
  <si>
    <t>IC OR CTRLR N+1 8MSOP</t>
  </si>
  <si>
    <t>IC BUF NON-INVERT 5.5V SOT23-5</t>
  </si>
  <si>
    <t>TransistorOptocouplers DC 1 2500Vrms SOP-4_P1.27 Optocouplers RoHS</t>
  </si>
  <si>
    <t>IC BATT CHG MULTI-CHEM 16VQFN</t>
  </si>
  <si>
    <t>IC COMPARATOR 2 WINDW SOT23-THIN</t>
  </si>
  <si>
    <t>IC REG LDO ADJ 3A TO263-5</t>
  </si>
  <si>
    <t>IC GATE DRVR LOW-SIDE SOT23-5</t>
  </si>
  <si>
    <t>Plugin Human Body Sensing Sensor ROHS</t>
  </si>
  <si>
    <t>40V 20A 17mΩ@10V,10A 21W 1.6V@250uA 72pF@20V 2 N-Channel 1.05nF@20V 11nC@10V +150℃@(Tj) PDFN3x3</t>
  </si>
  <si>
    <t>1.6-V TO 5.5-V, 20-M, 4-A LOW IQ</t>
  </si>
  <si>
    <t>IC REG LINEAR 3.3V 1A 8DFN</t>
  </si>
  <si>
    <t>IC MCU 32BIT 1MB FLASH 144LQFP</t>
  </si>
  <si>
    <t>HC12 Si4463 433MHZ RF Wireless Serial Module</t>
  </si>
  <si>
    <t>SOT-23-5 Power Distribution Switches ROHS</t>
  </si>
  <si>
    <t>IC REG BUCK 5V 2A TSOT26</t>
  </si>
  <si>
    <t>SOT-23-5 Precision OpAmps ROHS</t>
  </si>
  <si>
    <t>WK2124 SPI Bus Interface Wide Operating Voltage 4-Channel 256-Level FIFO High-Speed UART</t>
  </si>
  <si>
    <t>SOP-8 RS-485/RS-422 ICs ROHS</t>
  </si>
  <si>
    <t>ESOP-8 Digital to Analog Converters (DAC) ROHS</t>
  </si>
  <si>
    <t>boost converterType 1 Boost 28V 2V~24V 1.2MHz SOT-23-6 DC-DC Converters ROHS</t>
  </si>
  <si>
    <t>CRYSTAL 25.0000MHZ 12PF SMD</t>
  </si>
  <si>
    <t>14.7456MHz Surface Mount Crystal 20pF ±10ppm ±30ppm SMD3225-4P Crystals ROHS</t>
  </si>
  <si>
    <t>CRYSTAL 32.7680KHZ 12.5PF SMD</t>
  </si>
  <si>
    <t>Footprint</t>
  </si>
  <si>
    <t>Cap-1206</t>
  </si>
  <si>
    <t>Cap-0603</t>
  </si>
  <si>
    <t>Cap-0402</t>
  </si>
  <si>
    <t>VT1H471MI135000CE0</t>
  </si>
  <si>
    <t>Cap-0201</t>
  </si>
  <si>
    <t>Cap-0805</t>
  </si>
  <si>
    <t>UUD1A102MNL1GS</t>
  </si>
  <si>
    <t>Case-E</t>
  </si>
  <si>
    <t>Case-B</t>
  </si>
  <si>
    <t>CAP-0201</t>
  </si>
  <si>
    <t>SCCU25B256SRB</t>
  </si>
  <si>
    <t>SMA Bi Directional</t>
  </si>
  <si>
    <t>Sot-23</t>
  </si>
  <si>
    <t>SOD323F</t>
  </si>
  <si>
    <t>SMB_</t>
  </si>
  <si>
    <t>SOD-123</t>
  </si>
  <si>
    <t>SMC</t>
  </si>
  <si>
    <t>TO-277A</t>
  </si>
  <si>
    <t>SOD-523</t>
  </si>
  <si>
    <t>SOD-882 Bi Directional</t>
  </si>
  <si>
    <t>SMA(DO-214AC)</t>
  </si>
  <si>
    <t>SOT-23</t>
  </si>
  <si>
    <t>SOD-523 (Bi-Directional)</t>
  </si>
  <si>
    <t>SOD-323</t>
  </si>
  <si>
    <t>DB135-10.16-2P-GN-P</t>
  </si>
  <si>
    <t>TB008A-508-02BE</t>
  </si>
  <si>
    <t>TBP01R1-508-04BE</t>
  </si>
  <si>
    <t>HC-1.25-12PLT</t>
  </si>
  <si>
    <t>HDR 1x2 Male 1.27mm</t>
  </si>
  <si>
    <t>TB008A-508-03BE</t>
  </si>
  <si>
    <t>HC-1.25-6PLT</t>
  </si>
  <si>
    <t>HC-1.25-16PLT</t>
  </si>
  <si>
    <t>DM3BT-DSF-PEJS</t>
  </si>
  <si>
    <t>TB008A-508-04BE</t>
  </si>
  <si>
    <t>HDR1X2_</t>
  </si>
  <si>
    <t>Ind-0805</t>
  </si>
  <si>
    <t>SLF12575T-221M1R3-PF</t>
  </si>
  <si>
    <t>YPRH0704-4R7M</t>
  </si>
  <si>
    <t>YNR4018-220M</t>
  </si>
  <si>
    <t>SRP1245CC-3R3M</t>
  </si>
  <si>
    <t>Inductor 1008</t>
  </si>
  <si>
    <t>LED-0402</t>
  </si>
  <si>
    <t>LED-0603</t>
  </si>
  <si>
    <t>Test-point - 0.5mm</t>
  </si>
  <si>
    <t>sot-23</t>
  </si>
  <si>
    <t>D2Pak.</t>
  </si>
  <si>
    <t>PG-TDSON-8-7</t>
  </si>
  <si>
    <t>Res-0603</t>
  </si>
  <si>
    <t>RES-0603</t>
  </si>
  <si>
    <t>Res-0402</t>
  </si>
  <si>
    <t>RES-0805</t>
  </si>
  <si>
    <t>RES-2512</t>
  </si>
  <si>
    <t>Res-0201</t>
  </si>
  <si>
    <t>Res-1206</t>
  </si>
  <si>
    <t>Res-2512</t>
  </si>
  <si>
    <t>SS-12D02-G040</t>
  </si>
  <si>
    <t>SOP-8</t>
  </si>
  <si>
    <t>SOIC-8</t>
  </si>
  <si>
    <t>SOT- 223</t>
  </si>
  <si>
    <t>16-QFN (3x3).</t>
  </si>
  <si>
    <t>MSOP-8</t>
  </si>
  <si>
    <t>SOT-23-5</t>
  </si>
  <si>
    <t>SOP-4_1.27</t>
  </si>
  <si>
    <t>QFN-16-EP(3.6x3.6)</t>
  </si>
  <si>
    <t>SOT-23-6</t>
  </si>
  <si>
    <t>TO-263-5 (D2PAK)</t>
  </si>
  <si>
    <t>AS312</t>
  </si>
  <si>
    <t>DFN-8(3.2x3.2)</t>
  </si>
  <si>
    <t>SOT-583</t>
  </si>
  <si>
    <t>DFN-8(1.2x1.6)</t>
  </si>
  <si>
    <t>LQFP-144(20x20)</t>
  </si>
  <si>
    <t>HC-12 Module SMD</t>
  </si>
  <si>
    <t>TSOT-23-6</t>
  </si>
  <si>
    <t>SSOP-20-208mil</t>
  </si>
  <si>
    <t>ESOP-8</t>
  </si>
  <si>
    <t>Q22FA12800090</t>
  </si>
  <si>
    <t>SMD3225-4P</t>
  </si>
  <si>
    <t>Manufacturer Part Number</t>
  </si>
  <si>
    <t>RVT1E100M0405</t>
  </si>
  <si>
    <t>CC1206KKX7R0BB104</t>
  </si>
  <si>
    <t>CC0603KRX5R8BB105</t>
  </si>
  <si>
    <t>CC0402GRNPO9BN300</t>
  </si>
  <si>
    <t>CC0603ZRY5V9BB104</t>
  </si>
  <si>
    <t>CC0402KRX5R7BB105</t>
  </si>
  <si>
    <t>UWX1E101MCL1GB</t>
  </si>
  <si>
    <t>C1005C0G1E102JT000F</t>
  </si>
  <si>
    <t>C1005X5R1H104K050BB</t>
  </si>
  <si>
    <t>CC0603KRX7R9BB471</t>
  </si>
  <si>
    <t>CC0201JRNPO9BN150</t>
  </si>
  <si>
    <t>CC0603KRX7R9BB105</t>
  </si>
  <si>
    <t>CC1206JRX7R0BB473</t>
  </si>
  <si>
    <t>CC0402KRX5R7BB104</t>
  </si>
  <si>
    <t>CC0402JRX7R7BB104</t>
  </si>
  <si>
    <t>GRM188R6YA106MA73D</t>
  </si>
  <si>
    <t>C2012X5R1V226MT000E</t>
  </si>
  <si>
    <t>CC0603KRX5R7BB106</t>
  </si>
  <si>
    <t>CL05B104KB54PNC</t>
  </si>
  <si>
    <t>C1608X5R1E106M080AC</t>
  </si>
  <si>
    <t>GRM155R62A104KE14D</t>
  </si>
  <si>
    <t>TAJE337M016RNJ</t>
  </si>
  <si>
    <t>TAJB107M010RNJ</t>
  </si>
  <si>
    <t>CC0402MRX5R6BB106</t>
  </si>
  <si>
    <t>GRM033C81E104KE14D</t>
  </si>
  <si>
    <t>C3216X5R1E476M160AC</t>
  </si>
  <si>
    <t>CC0603KRX5R9BB474</t>
  </si>
  <si>
    <t>CC0603KRX7R9BB222</t>
  </si>
  <si>
    <t>CC0603MRX5R6BB226</t>
  </si>
  <si>
    <t>GRM155R61E225KE11D</t>
  </si>
  <si>
    <t>CC0603KRX5R9BB104</t>
  </si>
  <si>
    <t>CC0402KRX7R8BB104</t>
  </si>
  <si>
    <t>EMK212BB7106MG-T</t>
  </si>
  <si>
    <t>CC0402KRX5R8BB105</t>
  </si>
  <si>
    <t>CC0805KKX5R8BB106</t>
  </si>
  <si>
    <t>SS24A</t>
  </si>
  <si>
    <t>1SMA5930BT3G</t>
  </si>
  <si>
    <t>SMAJ5.0CA</t>
  </si>
  <si>
    <t>ESD5302F-3/TR</t>
  </si>
  <si>
    <t>MM3Z3V3B</t>
  </si>
  <si>
    <t>SMBJ70A/TR13</t>
  </si>
  <si>
    <t>SS510B</t>
  </si>
  <si>
    <t>1N4148W-7-F</t>
  </si>
  <si>
    <t>SK104C</t>
  </si>
  <si>
    <t>FSV20150V</t>
  </si>
  <si>
    <t>ZLLS350TA</t>
  </si>
  <si>
    <t>LESD8D3.3CAT5G</t>
  </si>
  <si>
    <t>1N4007</t>
  </si>
  <si>
    <t>SM712</t>
  </si>
  <si>
    <t>SMBJ12A</t>
  </si>
  <si>
    <t>1N5819HW-7-F</t>
  </si>
  <si>
    <t>ESD5Z3.3C</t>
  </si>
  <si>
    <t>MMSZ5242BS-7-F</t>
  </si>
  <si>
    <t>20021121-00010C4LF</t>
  </si>
  <si>
    <t>10118194-0001LF</t>
  </si>
  <si>
    <t>1.27-1*2P</t>
  </si>
  <si>
    <t>HJ-SMA508</t>
  </si>
  <si>
    <t>X6511WV-02H-C60D30</t>
  </si>
  <si>
    <t>MGFL2012F100MT-LF</t>
  </si>
  <si>
    <t>DFE252012F-R47M=P2</t>
  </si>
  <si>
    <t>XZMDK68W-2</t>
  </si>
  <si>
    <t>ALS-PT19-315C/L177/TR8</t>
  </si>
  <si>
    <t>NCD0603R3</t>
  </si>
  <si>
    <t>16-213/GHC-YR1S1/3T</t>
  </si>
  <si>
    <t>19-21/R7C-AK1L2BY/3T</t>
  </si>
  <si>
    <t>YS-SBZ9032C03R16</t>
  </si>
  <si>
    <t>WNM2016A-3/TR</t>
  </si>
  <si>
    <t>MMBT5551LT1G</t>
  </si>
  <si>
    <t>DMN13H750S-7</t>
  </si>
  <si>
    <t>IRF3205STRLPBF</t>
  </si>
  <si>
    <t>IRLML6402TRPBF</t>
  </si>
  <si>
    <t>MMBT2222A-7-F</t>
  </si>
  <si>
    <t>BSC028N06NSATMA1</t>
  </si>
  <si>
    <t>SI2302CDS</t>
  </si>
  <si>
    <t>AO3407</t>
  </si>
  <si>
    <t>2N7002-7-F</t>
  </si>
  <si>
    <t>0603WAF3601T5E</t>
  </si>
  <si>
    <t>RTT03R330FTP</t>
  </si>
  <si>
    <t>RC0603FR-071K2L</t>
  </si>
  <si>
    <t>RC0603FR-074K7L</t>
  </si>
  <si>
    <t>RT0603BRD074K7L</t>
  </si>
  <si>
    <t>RT0603BRE076K8L</t>
  </si>
  <si>
    <t>RC0603FR-0720KL</t>
  </si>
  <si>
    <t>0603WAF2214T5E</t>
  </si>
  <si>
    <t>RC0603FR-0715KL</t>
  </si>
  <si>
    <t>RC0603DR-073K3L</t>
  </si>
  <si>
    <t>RC0603FR-07680RL</t>
  </si>
  <si>
    <t>RC0402FR-074K7L</t>
  </si>
  <si>
    <t>RC0603DR-07150RL</t>
  </si>
  <si>
    <t>RC0603FR-072K2L</t>
  </si>
  <si>
    <t>RC0603FR-0710KL</t>
  </si>
  <si>
    <t>RC0603FR-0747RL</t>
  </si>
  <si>
    <t>RC0402JR-071KL</t>
  </si>
  <si>
    <t>RC0603JR-070RL</t>
  </si>
  <si>
    <t>RT0603BRD0720KL</t>
  </si>
  <si>
    <t>RC0805FR-07100KL</t>
  </si>
  <si>
    <t>RC0603FR-071KL</t>
  </si>
  <si>
    <t>RT0603BRD077K5L</t>
  </si>
  <si>
    <t>RCA0603100RFKEAHP</t>
  </si>
  <si>
    <t>RC0603FR-07200KL</t>
  </si>
  <si>
    <t>RC0805FR-0710RL</t>
  </si>
  <si>
    <t>RC0402BR-07499KL</t>
  </si>
  <si>
    <t>RT0402BRD0736KL</t>
  </si>
  <si>
    <t>AT0603BRD0713K7L</t>
  </si>
  <si>
    <t>RC0402FR-070RL</t>
  </si>
  <si>
    <t>RC0805FR-075K23L</t>
  </si>
  <si>
    <t>RC0603FR-0730K1L</t>
  </si>
  <si>
    <t>TR0603B499KP0525Z</t>
  </si>
  <si>
    <t>RT0402BRD0786K6L</t>
  </si>
  <si>
    <t>RC2512JK-070RL</t>
  </si>
  <si>
    <t>RC0402FR-072R2L</t>
  </si>
  <si>
    <t>RC0201JR-07100KL</t>
  </si>
  <si>
    <t>RC0402FR-0747KL</t>
  </si>
  <si>
    <t>RC1206FR-7W1KL</t>
  </si>
  <si>
    <t>RT0603BRE0763K4L</t>
  </si>
  <si>
    <t>RC0603FR-07470RL</t>
  </si>
  <si>
    <t>RC0402FR-0710KL</t>
  </si>
  <si>
    <t>RC0603FR-073K3L</t>
  </si>
  <si>
    <t>CRCW06031M82FKEA</t>
  </si>
  <si>
    <t>RC0402FR-071KL</t>
  </si>
  <si>
    <t>RC1206JR-070RL</t>
  </si>
  <si>
    <t>HoLLR2512-3W-4mR-1%</t>
  </si>
  <si>
    <t>RC0603FR-07100RL</t>
  </si>
  <si>
    <t>RT0603BRD0710KL</t>
  </si>
  <si>
    <t>RT0603BRD073K3L</t>
  </si>
  <si>
    <t>RC0201JR-07470RL</t>
  </si>
  <si>
    <t>25121WJ0000T4E</t>
  </si>
  <si>
    <t>RK73G1JTTD1002F</t>
  </si>
  <si>
    <t>RC0201FR-0710KL</t>
  </si>
  <si>
    <t>RC0603FR-071ML</t>
  </si>
  <si>
    <t>CRCW0603402KFKEA</t>
  </si>
  <si>
    <t>RC0603FR-07845KL</t>
  </si>
  <si>
    <t>RC0603FR-07499KL</t>
  </si>
  <si>
    <t>RT0603BRD07100KL</t>
  </si>
  <si>
    <t>RT0603BRB07120RL</t>
  </si>
  <si>
    <t>RC0402FR-071ML</t>
  </si>
  <si>
    <t>RC0402FR-075K1L</t>
  </si>
  <si>
    <t>RC0603FR-07120RL</t>
  </si>
  <si>
    <t>AT0402BRD0751KL</t>
  </si>
  <si>
    <t>TL3300CF160Q</t>
  </si>
  <si>
    <t>ACS723LLCTR-20AU-T</t>
  </si>
  <si>
    <t>MC34063ADR</t>
  </si>
  <si>
    <t>LMS8117AMP-3.3/NOPB</t>
  </si>
  <si>
    <t>MAX38889AATE+</t>
  </si>
  <si>
    <t>NCP81071ADR2G</t>
  </si>
  <si>
    <t>LTC4359CMS8#PBF</t>
  </si>
  <si>
    <t>SN74LV1T34DBVR</t>
  </si>
  <si>
    <t>PS2801C-1-F3-A</t>
  </si>
  <si>
    <t>BQ24650RVAR</t>
  </si>
  <si>
    <t>TPS3700DDCR</t>
  </si>
  <si>
    <t>MIC29302WU-TR</t>
  </si>
  <si>
    <t>UCC27517DBVR</t>
  </si>
  <si>
    <t>AP4008QD</t>
  </si>
  <si>
    <t>TPS2117DRLR</t>
  </si>
  <si>
    <t>LD56100DPU33R</t>
  </si>
  <si>
    <t>STM32H723ZGT6</t>
  </si>
  <si>
    <t>HC-12</t>
  </si>
  <si>
    <t>SY6280AAC</t>
  </si>
  <si>
    <t>AP63205WU-7</t>
  </si>
  <si>
    <t>TP5591-TR</t>
  </si>
  <si>
    <t>WK2124-ISSG</t>
  </si>
  <si>
    <t>SP3485EIM/TR</t>
  </si>
  <si>
    <t>GP8211S-TC50-EW</t>
  </si>
  <si>
    <t>MT3608</t>
  </si>
  <si>
    <t>SX3B14.7456F2010F30</t>
  </si>
  <si>
    <t>NX3215SA-32.768K-STD-MUA-8</t>
  </si>
  <si>
    <t>Manufacturer</t>
  </si>
  <si>
    <t>ROQANG</t>
  </si>
  <si>
    <t>Yageo</t>
  </si>
  <si>
    <t>Nichicon</t>
  </si>
  <si>
    <t>TDK</t>
  </si>
  <si>
    <t>Changzhou Huawei Elec</t>
  </si>
  <si>
    <t>Murata</t>
  </si>
  <si>
    <t>TDK Corporation</t>
  </si>
  <si>
    <t>Samsung</t>
  </si>
  <si>
    <t>Kyocera AVX</t>
  </si>
  <si>
    <t>Taiyo Yuden</t>
  </si>
  <si>
    <t>Guangdong Hottech</t>
  </si>
  <si>
    <t>onsemi</t>
  </si>
  <si>
    <t>FTR</t>
  </si>
  <si>
    <t>WILLSEMI</t>
  </si>
  <si>
    <t>ON Semiconductor / Fairchild</t>
  </si>
  <si>
    <t>Brightking</t>
  </si>
  <si>
    <t>MDD</t>
  </si>
  <si>
    <t>Diodes Zetex</t>
  </si>
  <si>
    <t>LRC</t>
  </si>
  <si>
    <t>TWGMC</t>
  </si>
  <si>
    <t>TECH PUBLIC</t>
  </si>
  <si>
    <t>Littelfuse</t>
  </si>
  <si>
    <t>MDD(Microdiode Semiconductor)</t>
  </si>
  <si>
    <t>Amphenol FCI</t>
  </si>
  <si>
    <t>DORABO</t>
  </si>
  <si>
    <t>Same Sky</t>
  </si>
  <si>
    <t>CUI Devices</t>
  </si>
  <si>
    <t>Molex</t>
  </si>
  <si>
    <t>HCTL</t>
  </si>
  <si>
    <t>BOOMELE(BOOM Precision Elec)</t>
  </si>
  <si>
    <t>HJ Tech</t>
  </si>
  <si>
    <t>Hirose</t>
  </si>
  <si>
    <t>XKB</t>
  </si>
  <si>
    <t>microgate</t>
  </si>
  <si>
    <t>YJYCOIN</t>
  </si>
  <si>
    <t>Bourns</t>
  </si>
  <si>
    <t>SunLED</t>
  </si>
  <si>
    <t>Everlight</t>
  </si>
  <si>
    <t>Foshan NationStar Optoelectronics</t>
  </si>
  <si>
    <t>Everlight Elec</t>
  </si>
  <si>
    <t>Fengming</t>
  </si>
  <si>
    <t>ON Semiconductor</t>
  </si>
  <si>
    <t>Diodes Incorporated</t>
  </si>
  <si>
    <t>Infineon Technologies</t>
  </si>
  <si>
    <t>International Rectifier</t>
  </si>
  <si>
    <t>Infineon</t>
  </si>
  <si>
    <t>UNI-ROYAL(Uniroyal Elec)</t>
  </si>
  <si>
    <t>RALEC</t>
  </si>
  <si>
    <t>Vishay Dale</t>
  </si>
  <si>
    <t>Ever Ohms</t>
  </si>
  <si>
    <t>Yageo Phycomp</t>
  </si>
  <si>
    <t>Vishay</t>
  </si>
  <si>
    <t>Milliohm</t>
  </si>
  <si>
    <t>Royal Electronic Factory</t>
  </si>
  <si>
    <t>KOA Speer</t>
  </si>
  <si>
    <t>E-Switch</t>
  </si>
  <si>
    <t>G-Switch</t>
  </si>
  <si>
    <t>Allegro MicroSystems, LLC</t>
  </si>
  <si>
    <t>Texas Instruments</t>
  </si>
  <si>
    <t>Analog Devices</t>
  </si>
  <si>
    <t>Analog Devices / Linear Technology</t>
  </si>
  <si>
    <t>RENESAS</t>
  </si>
  <si>
    <t>Microchip</t>
  </si>
  <si>
    <t>Senba Sensing Tech</t>
  </si>
  <si>
    <t>ALLPOWER(ShenZhen Quan Li Semiconductor)</t>
  </si>
  <si>
    <t>STMicroelectronics</t>
  </si>
  <si>
    <t>Silergy</t>
  </si>
  <si>
    <t>3PEAK</t>
  </si>
  <si>
    <t>WEIKAI</t>
  </si>
  <si>
    <t>HGSEMI</t>
  </si>
  <si>
    <t>Guestgood</t>
  </si>
  <si>
    <t>XI'AN Aerosemi Tech</t>
  </si>
  <si>
    <t>Seiko Epson</t>
  </si>
  <si>
    <t>Shenzhen SCTF Elec</t>
  </si>
  <si>
    <t>NDK</t>
  </si>
  <si>
    <t>10uF</t>
  </si>
  <si>
    <t>0.1uF</t>
  </si>
  <si>
    <t>1uF</t>
  </si>
  <si>
    <t>30pF</t>
  </si>
  <si>
    <t>100uF</t>
  </si>
  <si>
    <t>1nF</t>
  </si>
  <si>
    <t>470uF</t>
  </si>
  <si>
    <t>470pF</t>
  </si>
  <si>
    <t>15pF</t>
  </si>
  <si>
    <t>0.047uF</t>
  </si>
  <si>
    <t>100nF</t>
  </si>
  <si>
    <t>22uF</t>
  </si>
  <si>
    <t>1000uF</t>
  </si>
  <si>
    <t>330uF</t>
  </si>
  <si>
    <t>25F</t>
  </si>
  <si>
    <t>47uF</t>
  </si>
  <si>
    <t>0.47uF</t>
  </si>
  <si>
    <t>2.2nF</t>
  </si>
  <si>
    <t>2.2uF</t>
  </si>
  <si>
    <t>10uH</t>
  </si>
  <si>
    <t>220uH</t>
  </si>
  <si>
    <t>4.7uH</t>
  </si>
  <si>
    <t>22uH</t>
  </si>
  <si>
    <t>3.3uH</t>
  </si>
  <si>
    <t>470nH</t>
  </si>
  <si>
    <t>3.6K</t>
  </si>
  <si>
    <t>0.33R</t>
  </si>
  <si>
    <t>1.2K</t>
  </si>
  <si>
    <t>4.7K</t>
  </si>
  <si>
    <t>6.8K</t>
  </si>
  <si>
    <t>20K</t>
  </si>
  <si>
    <t>2.21M</t>
  </si>
  <si>
    <t>15K</t>
  </si>
  <si>
    <t>3.3K</t>
  </si>
  <si>
    <t>680R</t>
  </si>
  <si>
    <t>10K</t>
  </si>
  <si>
    <t>150R</t>
  </si>
  <si>
    <t>2.2K</t>
  </si>
  <si>
    <t>47R</t>
  </si>
  <si>
    <t>DNP</t>
  </si>
  <si>
    <t>0R</t>
  </si>
  <si>
    <t>100K</t>
  </si>
  <si>
    <t>1K</t>
  </si>
  <si>
    <t>7.5K</t>
  </si>
  <si>
    <t>100R</t>
  </si>
  <si>
    <t>200K</t>
  </si>
  <si>
    <t>10R</t>
  </si>
  <si>
    <t>499K</t>
  </si>
  <si>
    <t>36K</t>
  </si>
  <si>
    <t>13.7K</t>
  </si>
  <si>
    <t>5.23K</t>
  </si>
  <si>
    <t>30.1K</t>
  </si>
  <si>
    <t>86.6K</t>
  </si>
  <si>
    <t>2.2R</t>
  </si>
  <si>
    <t>47K</t>
  </si>
  <si>
    <t>63.4K</t>
  </si>
  <si>
    <t>470R</t>
  </si>
  <si>
    <t>1.82M</t>
  </si>
  <si>
    <t>4mR</t>
  </si>
  <si>
    <t>3.3k</t>
  </si>
  <si>
    <t>1M</t>
  </si>
  <si>
    <t>402K</t>
  </si>
  <si>
    <t>845K</t>
  </si>
  <si>
    <t>33K</t>
  </si>
  <si>
    <t>120R</t>
  </si>
  <si>
    <t>5.1K</t>
  </si>
  <si>
    <t>51K</t>
  </si>
  <si>
    <t>2.7K</t>
  </si>
  <si>
    <t>25MHz</t>
  </si>
  <si>
    <t>14.7456MHz</t>
  </si>
  <si>
    <t>32.7680KHZ</t>
  </si>
  <si>
    <t>Quantity</t>
  </si>
  <si>
    <t>Value</t>
  </si>
  <si>
    <t>Remarks</t>
  </si>
  <si>
    <t>Custom</t>
  </si>
  <si>
    <t>CRCW060333K0JNEA</t>
  </si>
  <si>
    <t>VISHAY</t>
  </si>
  <si>
    <t>RC0402FR-072K7L</t>
  </si>
  <si>
    <t>-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</si>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</sst>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96"/>
  <sheetViews>
    <sheetView tabSelected="1" topLeftCell="A199" workbookViewId="0">
      <selection activeCell="F223" sqref="F223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9.85546875" bestFit="1" customWidth="1"/>
    <col min="10" max="10" width="8.7109375" bestFit="1" customWidth="1"/>
    <col min="11" max="11" width="14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39</v>
      </c>
      <c r="E2" s="6" t="s">
        <v>234</v>
      </c>
      <c r="F2" s="5" t="s">
        <v>423</v>
      </c>
      <c r="G2" s="6" t="s">
        <v>501</v>
      </c>
      <c r="H2" s="5" t="s">
        <v>668</v>
      </c>
      <c r="I2" s="6" t="s">
        <v>816</v>
      </c>
      <c r="J2" s="5" t="s">
        <v>815</v>
      </c>
      <c r="K2" s="5" t="s">
        <v>817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40</v>
      </c>
      <c r="E3" s="8" t="s">
        <v>235</v>
      </c>
      <c r="F3" s="7" t="s">
        <v>818</v>
      </c>
      <c r="G3" s="8" t="s">
        <v>502</v>
      </c>
      <c r="H3" s="7" t="s">
        <v>669</v>
      </c>
      <c r="I3" s="8" t="s">
        <v>744</v>
      </c>
      <c r="J3" s="7">
        <v>14</v>
      </c>
      <c r="K3" s="7"/>
    </row>
    <row r="4" spans="1:11" ht="15.75" thickBot="1" x14ac:dyDescent="0.3">
      <c r="A4" s="1"/>
      <c r="B4" s="11">
        <f t="shared" ref="B4:B196" si="0">ROW(B4) - ROW($B$2)</f>
        <v>2</v>
      </c>
      <c r="C4" s="13" t="s">
        <v>2</v>
      </c>
      <c r="D4" s="9" t="s">
        <v>41</v>
      </c>
      <c r="E4" s="10" t="s">
        <v>236</v>
      </c>
      <c r="F4" s="9" t="s">
        <v>424</v>
      </c>
      <c r="G4" s="10" t="s">
        <v>503</v>
      </c>
      <c r="H4" s="9" t="s">
        <v>670</v>
      </c>
      <c r="I4" s="10" t="s">
        <v>745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42</v>
      </c>
      <c r="E5" s="8" t="s">
        <v>237</v>
      </c>
      <c r="F5" s="7" t="s">
        <v>425</v>
      </c>
      <c r="G5" s="8" t="s">
        <v>504</v>
      </c>
      <c r="H5" s="7" t="s">
        <v>670</v>
      </c>
      <c r="I5" s="8" t="s">
        <v>746</v>
      </c>
      <c r="J5" s="7">
        <v>6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43</v>
      </c>
      <c r="E6" s="10" t="s">
        <v>238</v>
      </c>
      <c r="F6" s="9" t="s">
        <v>426</v>
      </c>
      <c r="G6" s="10" t="s">
        <v>505</v>
      </c>
      <c r="H6" s="9" t="s">
        <v>670</v>
      </c>
      <c r="I6" s="10" t="s">
        <v>747</v>
      </c>
      <c r="J6" s="9">
        <v>2</v>
      </c>
      <c r="K6" s="9"/>
    </row>
    <row r="7" spans="1:11" ht="36.75" thickBot="1" x14ac:dyDescent="0.3">
      <c r="A7" s="1"/>
      <c r="B7" s="11">
        <f>ROW(B7) - ROW($B$2)</f>
        <v>5</v>
      </c>
      <c r="C7" s="12" t="s">
        <v>2</v>
      </c>
      <c r="D7" s="7" t="s">
        <v>44</v>
      </c>
      <c r="E7" s="8" t="s">
        <v>239</v>
      </c>
      <c r="F7" s="7" t="s">
        <v>425</v>
      </c>
      <c r="G7" s="8" t="s">
        <v>506</v>
      </c>
      <c r="H7" s="7" t="s">
        <v>670</v>
      </c>
      <c r="I7" s="8" t="s">
        <v>745</v>
      </c>
      <c r="J7" s="7">
        <v>21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45</v>
      </c>
      <c r="E8" s="10" t="s">
        <v>240</v>
      </c>
      <c r="F8" s="9" t="s">
        <v>426</v>
      </c>
      <c r="G8" s="10" t="s">
        <v>507</v>
      </c>
      <c r="H8" s="9" t="s">
        <v>670</v>
      </c>
      <c r="I8" s="10" t="s">
        <v>746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46</v>
      </c>
      <c r="E9" s="8" t="s">
        <v>241</v>
      </c>
      <c r="F9" s="7" t="s">
        <v>818</v>
      </c>
      <c r="G9" s="8" t="s">
        <v>508</v>
      </c>
      <c r="H9" s="7" t="s">
        <v>671</v>
      </c>
      <c r="I9" s="8" t="s">
        <v>748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47</v>
      </c>
      <c r="E10" s="10" t="s">
        <v>242</v>
      </c>
      <c r="F10" s="9" t="s">
        <v>426</v>
      </c>
      <c r="G10" s="10" t="s">
        <v>509</v>
      </c>
      <c r="H10" s="9" t="s">
        <v>672</v>
      </c>
      <c r="I10" s="10" t="s">
        <v>749</v>
      </c>
      <c r="J10" s="9">
        <v>2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2</v>
      </c>
      <c r="D11" s="7" t="s">
        <v>48</v>
      </c>
      <c r="E11" s="8" t="s">
        <v>243</v>
      </c>
      <c r="F11" s="7" t="s">
        <v>426</v>
      </c>
      <c r="G11" s="8" t="s">
        <v>510</v>
      </c>
      <c r="H11" s="7" t="s">
        <v>672</v>
      </c>
      <c r="I11" s="8" t="s">
        <v>745</v>
      </c>
      <c r="J11" s="7">
        <v>15</v>
      </c>
      <c r="K11" s="7"/>
    </row>
    <row r="12" spans="1:11" ht="36.75" thickBot="1" x14ac:dyDescent="0.3">
      <c r="A12" s="1"/>
      <c r="B12" s="11">
        <f t="shared" si="0"/>
        <v>10</v>
      </c>
      <c r="C12" s="12" t="s">
        <v>2</v>
      </c>
      <c r="D12" s="9" t="s">
        <v>49</v>
      </c>
      <c r="E12" s="10" t="s">
        <v>244</v>
      </c>
      <c r="F12" s="7" t="s">
        <v>818</v>
      </c>
      <c r="G12" s="10" t="s">
        <v>427</v>
      </c>
      <c r="H12" s="9" t="s">
        <v>673</v>
      </c>
      <c r="I12" s="10" t="s">
        <v>750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50</v>
      </c>
      <c r="E13" s="8" t="s">
        <v>245</v>
      </c>
      <c r="F13" s="7" t="s">
        <v>425</v>
      </c>
      <c r="G13" s="8" t="s">
        <v>511</v>
      </c>
      <c r="H13" s="7" t="s">
        <v>670</v>
      </c>
      <c r="I13" s="8" t="s">
        <v>751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</v>
      </c>
      <c r="D14" s="9" t="s">
        <v>51</v>
      </c>
      <c r="E14" s="10" t="s">
        <v>246</v>
      </c>
      <c r="F14" s="9" t="s">
        <v>428</v>
      </c>
      <c r="G14" s="10" t="s">
        <v>512</v>
      </c>
      <c r="H14" s="9" t="s">
        <v>670</v>
      </c>
      <c r="I14" s="10" t="s">
        <v>752</v>
      </c>
      <c r="J14" s="9">
        <v>4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52</v>
      </c>
      <c r="E15" s="8" t="s">
        <v>247</v>
      </c>
      <c r="F15" s="7" t="s">
        <v>425</v>
      </c>
      <c r="G15" s="8" t="s">
        <v>513</v>
      </c>
      <c r="H15" s="7" t="s">
        <v>670</v>
      </c>
      <c r="I15" s="8" t="s">
        <v>746</v>
      </c>
      <c r="J15" s="7">
        <v>5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2</v>
      </c>
      <c r="D16" s="9" t="s">
        <v>53</v>
      </c>
      <c r="E16" s="10" t="s">
        <v>248</v>
      </c>
      <c r="F16" s="9" t="s">
        <v>424</v>
      </c>
      <c r="G16" s="10" t="s">
        <v>514</v>
      </c>
      <c r="H16" s="9" t="s">
        <v>670</v>
      </c>
      <c r="I16" s="10" t="s">
        <v>753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54</v>
      </c>
      <c r="E17" s="8" t="s">
        <v>249</v>
      </c>
      <c r="F17" s="7" t="s">
        <v>426</v>
      </c>
      <c r="G17" s="8" t="s">
        <v>515</v>
      </c>
      <c r="H17" s="7" t="s">
        <v>670</v>
      </c>
      <c r="I17" s="8" t="s">
        <v>754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2</v>
      </c>
      <c r="D18" s="9" t="s">
        <v>55</v>
      </c>
      <c r="E18" s="10" t="s">
        <v>250</v>
      </c>
      <c r="F18" s="9" t="s">
        <v>426</v>
      </c>
      <c r="G18" s="10" t="s">
        <v>516</v>
      </c>
      <c r="H18" s="9" t="s">
        <v>670</v>
      </c>
      <c r="I18" s="10" t="s">
        <v>745</v>
      </c>
      <c r="J18" s="9">
        <v>6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56</v>
      </c>
      <c r="E19" s="8" t="s">
        <v>251</v>
      </c>
      <c r="F19" s="7" t="s">
        <v>425</v>
      </c>
      <c r="G19" s="8" t="s">
        <v>517</v>
      </c>
      <c r="H19" s="7" t="s">
        <v>674</v>
      </c>
      <c r="I19" s="8" t="s">
        <v>744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57</v>
      </c>
      <c r="E20" s="10" t="s">
        <v>252</v>
      </c>
      <c r="F20" s="9" t="s">
        <v>429</v>
      </c>
      <c r="G20" s="10" t="s">
        <v>518</v>
      </c>
      <c r="H20" s="9" t="s">
        <v>675</v>
      </c>
      <c r="I20" s="10" t="s">
        <v>755</v>
      </c>
      <c r="J20" s="9">
        <v>5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58</v>
      </c>
      <c r="E21" s="8" t="s">
        <v>253</v>
      </c>
      <c r="F21" s="7" t="s">
        <v>818</v>
      </c>
      <c r="G21" s="8" t="s">
        <v>430</v>
      </c>
      <c r="H21" s="7" t="s">
        <v>671</v>
      </c>
      <c r="I21" s="8" t="s">
        <v>756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59</v>
      </c>
      <c r="E22" s="10" t="s">
        <v>254</v>
      </c>
      <c r="F22" s="9" t="s">
        <v>425</v>
      </c>
      <c r="G22" s="10" t="s">
        <v>519</v>
      </c>
      <c r="H22" s="9" t="s">
        <v>670</v>
      </c>
      <c r="I22" s="10" t="s">
        <v>744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3" t="s">
        <v>2</v>
      </c>
      <c r="D23" s="7" t="s">
        <v>60</v>
      </c>
      <c r="E23" s="8" t="s">
        <v>255</v>
      </c>
      <c r="F23" s="7" t="s">
        <v>426</v>
      </c>
      <c r="G23" s="8" t="s">
        <v>520</v>
      </c>
      <c r="H23" s="7" t="s">
        <v>676</v>
      </c>
      <c r="I23" s="8" t="s">
        <v>745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61</v>
      </c>
      <c r="E24" s="10" t="s">
        <v>256</v>
      </c>
      <c r="F24" s="9" t="s">
        <v>425</v>
      </c>
      <c r="G24" s="10" t="s">
        <v>521</v>
      </c>
      <c r="H24" s="9" t="s">
        <v>672</v>
      </c>
      <c r="I24" s="10" t="s">
        <v>744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62</v>
      </c>
      <c r="E25" s="8" t="s">
        <v>257</v>
      </c>
      <c r="F25" s="7" t="s">
        <v>426</v>
      </c>
      <c r="G25" s="8" t="s">
        <v>522</v>
      </c>
      <c r="H25" s="7" t="s">
        <v>674</v>
      </c>
      <c r="I25" s="8" t="s">
        <v>745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63</v>
      </c>
      <c r="E26" s="10" t="s">
        <v>258</v>
      </c>
      <c r="F26" s="9" t="s">
        <v>431</v>
      </c>
      <c r="G26" s="10" t="s">
        <v>523</v>
      </c>
      <c r="H26" s="9" t="s">
        <v>677</v>
      </c>
      <c r="I26" s="10" t="s">
        <v>757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2</v>
      </c>
      <c r="D27" s="7" t="s">
        <v>64</v>
      </c>
      <c r="E27" s="8" t="s">
        <v>259</v>
      </c>
      <c r="F27" s="7" t="s">
        <v>432</v>
      </c>
      <c r="G27" s="8" t="s">
        <v>524</v>
      </c>
      <c r="H27" s="7" t="s">
        <v>677</v>
      </c>
      <c r="I27" s="8" t="s">
        <v>748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65</v>
      </c>
      <c r="E28" s="10" t="s">
        <v>260</v>
      </c>
      <c r="F28" s="9" t="s">
        <v>426</v>
      </c>
      <c r="G28" s="10" t="s">
        <v>525</v>
      </c>
      <c r="H28" s="9" t="s">
        <v>670</v>
      </c>
      <c r="I28" s="10" t="s">
        <v>744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3" t="s">
        <v>2</v>
      </c>
      <c r="D29" s="7" t="s">
        <v>66</v>
      </c>
      <c r="E29" s="8" t="s">
        <v>261</v>
      </c>
      <c r="F29" s="7" t="s">
        <v>433</v>
      </c>
      <c r="G29" s="8" t="s">
        <v>526</v>
      </c>
      <c r="H29" s="7" t="s">
        <v>674</v>
      </c>
      <c r="I29" s="8" t="s">
        <v>745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67</v>
      </c>
      <c r="E30" s="10" t="s">
        <v>262</v>
      </c>
      <c r="F30" s="7" t="s">
        <v>818</v>
      </c>
      <c r="G30" s="10" t="s">
        <v>434</v>
      </c>
      <c r="H30" s="9" t="s">
        <v>677</v>
      </c>
      <c r="I30" s="10" t="s">
        <v>758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3" t="s">
        <v>2</v>
      </c>
      <c r="D31" s="7" t="s">
        <v>68</v>
      </c>
      <c r="E31" s="8" t="s">
        <v>263</v>
      </c>
      <c r="F31" s="7" t="s">
        <v>424</v>
      </c>
      <c r="G31" s="8" t="s">
        <v>527</v>
      </c>
      <c r="H31" s="7" t="s">
        <v>672</v>
      </c>
      <c r="I31" s="8" t="s">
        <v>759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2</v>
      </c>
      <c r="D32" s="9" t="s">
        <v>69</v>
      </c>
      <c r="E32" s="10" t="s">
        <v>264</v>
      </c>
      <c r="F32" s="9" t="s">
        <v>425</v>
      </c>
      <c r="G32" s="10" t="s">
        <v>528</v>
      </c>
      <c r="H32" s="9" t="s">
        <v>670</v>
      </c>
      <c r="I32" s="10" t="s">
        <v>760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2</v>
      </c>
      <c r="D33" s="7" t="s">
        <v>70</v>
      </c>
      <c r="E33" s="8" t="s">
        <v>265</v>
      </c>
      <c r="F33" s="7" t="s">
        <v>425</v>
      </c>
      <c r="G33" s="8" t="s">
        <v>529</v>
      </c>
      <c r="H33" s="7" t="s">
        <v>670</v>
      </c>
      <c r="I33" s="8" t="s">
        <v>761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2</v>
      </c>
      <c r="D34" s="9" t="s">
        <v>71</v>
      </c>
      <c r="E34" s="10" t="s">
        <v>266</v>
      </c>
      <c r="F34" s="9" t="s">
        <v>425</v>
      </c>
      <c r="G34" s="10" t="s">
        <v>530</v>
      </c>
      <c r="H34" s="9" t="s">
        <v>670</v>
      </c>
      <c r="I34" s="10" t="s">
        <v>755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2</v>
      </c>
      <c r="D35" s="7" t="s">
        <v>72</v>
      </c>
      <c r="E35" s="8" t="s">
        <v>267</v>
      </c>
      <c r="F35" s="7" t="s">
        <v>426</v>
      </c>
      <c r="G35" s="8" t="s">
        <v>531</v>
      </c>
      <c r="H35" s="7" t="s">
        <v>674</v>
      </c>
      <c r="I35" s="8" t="s">
        <v>762</v>
      </c>
      <c r="J35" s="7">
        <v>2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2</v>
      </c>
      <c r="D36" s="9" t="s">
        <v>73</v>
      </c>
      <c r="E36" s="10" t="s">
        <v>268</v>
      </c>
      <c r="F36" s="9" t="s">
        <v>425</v>
      </c>
      <c r="G36" s="10" t="s">
        <v>532</v>
      </c>
      <c r="H36" s="9" t="s">
        <v>670</v>
      </c>
      <c r="I36" s="10" t="s">
        <v>754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3" t="s">
        <v>2</v>
      </c>
      <c r="D37" s="7" t="s">
        <v>74</v>
      </c>
      <c r="E37" s="8" t="s">
        <v>269</v>
      </c>
      <c r="F37" s="7" t="s">
        <v>426</v>
      </c>
      <c r="G37" s="8" t="s">
        <v>533</v>
      </c>
      <c r="H37" s="7" t="s">
        <v>670</v>
      </c>
      <c r="I37" s="8" t="s">
        <v>745</v>
      </c>
      <c r="J37" s="7">
        <v>3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2</v>
      </c>
      <c r="D38" s="9" t="s">
        <v>75</v>
      </c>
      <c r="E38" s="10" t="s">
        <v>270</v>
      </c>
      <c r="F38" s="9" t="s">
        <v>429</v>
      </c>
      <c r="G38" s="10" t="s">
        <v>534</v>
      </c>
      <c r="H38" s="9" t="s">
        <v>678</v>
      </c>
      <c r="I38" s="10" t="s">
        <v>744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3" t="s">
        <v>2</v>
      </c>
      <c r="D39" s="7" t="s">
        <v>76</v>
      </c>
      <c r="E39" s="8" t="s">
        <v>271</v>
      </c>
      <c r="F39" s="7" t="s">
        <v>426</v>
      </c>
      <c r="G39" s="8" t="s">
        <v>535</v>
      </c>
      <c r="H39" s="7" t="s">
        <v>670</v>
      </c>
      <c r="I39" s="8" t="s">
        <v>746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2</v>
      </c>
      <c r="D40" s="9" t="s">
        <v>77</v>
      </c>
      <c r="E40" s="10" t="s">
        <v>272</v>
      </c>
      <c r="F40" s="9" t="s">
        <v>429</v>
      </c>
      <c r="G40" s="10" t="s">
        <v>536</v>
      </c>
      <c r="H40" s="9" t="s">
        <v>670</v>
      </c>
      <c r="I40" s="10" t="s">
        <v>744</v>
      </c>
      <c r="J40" s="9">
        <v>1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6</v>
      </c>
      <c r="D41" s="7" t="s">
        <v>78</v>
      </c>
      <c r="E41" s="8" t="s">
        <v>273</v>
      </c>
      <c r="F41" s="7" t="s">
        <v>18</v>
      </c>
      <c r="G41" s="8" t="s">
        <v>537</v>
      </c>
      <c r="H41" s="7" t="s">
        <v>679</v>
      </c>
      <c r="I41" s="8" t="s">
        <v>822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5</v>
      </c>
      <c r="D42" s="9" t="s">
        <v>79</v>
      </c>
      <c r="E42" s="10" t="s">
        <v>274</v>
      </c>
      <c r="F42" s="9" t="s">
        <v>18</v>
      </c>
      <c r="G42" s="10" t="s">
        <v>538</v>
      </c>
      <c r="H42" s="9" t="s">
        <v>680</v>
      </c>
      <c r="I42" s="8" t="s">
        <v>822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 t="s">
        <v>6</v>
      </c>
      <c r="D43" s="7" t="s">
        <v>80</v>
      </c>
      <c r="E43" s="8" t="s">
        <v>275</v>
      </c>
      <c r="F43" s="7" t="s">
        <v>435</v>
      </c>
      <c r="G43" s="8" t="s">
        <v>539</v>
      </c>
      <c r="H43" s="7" t="s">
        <v>681</v>
      </c>
      <c r="I43" s="8" t="s">
        <v>822</v>
      </c>
      <c r="J43" s="7">
        <v>2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6</v>
      </c>
      <c r="D44" s="9" t="s">
        <v>81</v>
      </c>
      <c r="E44" s="10" t="s">
        <v>276</v>
      </c>
      <c r="F44" s="9" t="s">
        <v>436</v>
      </c>
      <c r="G44" s="10" t="s">
        <v>540</v>
      </c>
      <c r="H44" s="9" t="s">
        <v>682</v>
      </c>
      <c r="I44" s="8" t="s">
        <v>822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6</v>
      </c>
      <c r="D45" s="7" t="s">
        <v>82</v>
      </c>
      <c r="E45" s="8" t="s">
        <v>277</v>
      </c>
      <c r="F45" s="7" t="s">
        <v>437</v>
      </c>
      <c r="G45" s="8" t="s">
        <v>541</v>
      </c>
      <c r="H45" s="7" t="s">
        <v>683</v>
      </c>
      <c r="I45" s="8" t="s">
        <v>822</v>
      </c>
      <c r="J45" s="7">
        <v>2</v>
      </c>
      <c r="K45" s="7"/>
    </row>
    <row r="46" spans="1:11" ht="36.75" thickBot="1" x14ac:dyDescent="0.3">
      <c r="A46" s="1"/>
      <c r="B46" s="11">
        <f t="shared" si="0"/>
        <v>44</v>
      </c>
      <c r="C46" s="13" t="s">
        <v>6</v>
      </c>
      <c r="D46" s="9" t="s">
        <v>83</v>
      </c>
      <c r="E46" s="10" t="s">
        <v>278</v>
      </c>
      <c r="F46" s="9" t="s">
        <v>438</v>
      </c>
      <c r="G46" s="10" t="s">
        <v>542</v>
      </c>
      <c r="H46" s="9" t="s">
        <v>684</v>
      </c>
      <c r="I46" s="8" t="s">
        <v>822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6</v>
      </c>
      <c r="D47" s="7" t="s">
        <v>84</v>
      </c>
      <c r="E47" s="8" t="s">
        <v>279</v>
      </c>
      <c r="F47" s="7" t="s">
        <v>438</v>
      </c>
      <c r="G47" s="8" t="s">
        <v>543</v>
      </c>
      <c r="H47" s="7" t="s">
        <v>685</v>
      </c>
      <c r="I47" s="8" t="s">
        <v>822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6</v>
      </c>
      <c r="D48" s="9" t="s">
        <v>85</v>
      </c>
      <c r="E48" s="10" t="s">
        <v>280</v>
      </c>
      <c r="F48" s="9" t="s">
        <v>439</v>
      </c>
      <c r="G48" s="10" t="s">
        <v>544</v>
      </c>
      <c r="H48" s="9" t="s">
        <v>7</v>
      </c>
      <c r="I48" s="8" t="s">
        <v>822</v>
      </c>
      <c r="J48" s="9">
        <v>2</v>
      </c>
      <c r="K48" s="9"/>
    </row>
    <row r="49" spans="1:11" ht="24.75" thickBot="1" x14ac:dyDescent="0.3">
      <c r="A49" s="1"/>
      <c r="B49" s="11">
        <f>ROW(B49) - ROW($B$2)</f>
        <v>47</v>
      </c>
      <c r="C49" s="12" t="s">
        <v>6</v>
      </c>
      <c r="D49" s="7" t="s">
        <v>86</v>
      </c>
      <c r="E49" s="8" t="s">
        <v>281</v>
      </c>
      <c r="F49" s="7" t="s">
        <v>440</v>
      </c>
      <c r="G49" s="8" t="s">
        <v>545</v>
      </c>
      <c r="H49" s="7" t="s">
        <v>685</v>
      </c>
      <c r="I49" s="8" t="s">
        <v>822</v>
      </c>
      <c r="J49" s="7">
        <v>1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7</v>
      </c>
      <c r="D50" s="9" t="s">
        <v>87</v>
      </c>
      <c r="E50" s="10" t="s">
        <v>282</v>
      </c>
      <c r="F50" s="9" t="s">
        <v>441</v>
      </c>
      <c r="G50" s="10" t="s">
        <v>546</v>
      </c>
      <c r="H50" s="9" t="s">
        <v>683</v>
      </c>
      <c r="I50" s="8" t="s">
        <v>822</v>
      </c>
      <c r="J50" s="9">
        <v>2</v>
      </c>
      <c r="K50" s="9"/>
    </row>
    <row r="51" spans="1:11" ht="15.75" thickBot="1" x14ac:dyDescent="0.3">
      <c r="A51" s="1"/>
      <c r="B51" s="11">
        <f>ROW(B51) - ROW($B$2)</f>
        <v>49</v>
      </c>
      <c r="C51" s="12" t="s">
        <v>6</v>
      </c>
      <c r="D51" s="7" t="s">
        <v>88</v>
      </c>
      <c r="E51" s="8" t="s">
        <v>283</v>
      </c>
      <c r="F51" s="7" t="s">
        <v>442</v>
      </c>
      <c r="G51" s="8" t="s">
        <v>547</v>
      </c>
      <c r="H51" s="7" t="s">
        <v>686</v>
      </c>
      <c r="I51" s="8" t="s">
        <v>822</v>
      </c>
      <c r="J51" s="7">
        <v>1</v>
      </c>
      <c r="K51" s="7"/>
    </row>
    <row r="52" spans="1:11" ht="60.75" thickBot="1" x14ac:dyDescent="0.3">
      <c r="A52" s="1"/>
      <c r="B52" s="11">
        <f t="shared" si="0"/>
        <v>50</v>
      </c>
      <c r="C52" s="13" t="s">
        <v>8</v>
      </c>
      <c r="D52" s="9" t="s">
        <v>89</v>
      </c>
      <c r="E52" s="10" t="s">
        <v>284</v>
      </c>
      <c r="F52" s="9" t="s">
        <v>443</v>
      </c>
      <c r="G52" s="10" t="s">
        <v>548</v>
      </c>
      <c r="H52" s="9" t="s">
        <v>687</v>
      </c>
      <c r="I52" s="8" t="s">
        <v>822</v>
      </c>
      <c r="J52" s="9">
        <v>42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6</v>
      </c>
      <c r="D53" s="7" t="s">
        <v>90</v>
      </c>
      <c r="E53" s="8" t="s">
        <v>285</v>
      </c>
      <c r="F53" s="7" t="s">
        <v>444</v>
      </c>
      <c r="G53" s="8" t="s">
        <v>549</v>
      </c>
      <c r="H53" s="7" t="s">
        <v>688</v>
      </c>
      <c r="I53" s="8" t="s">
        <v>822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6</v>
      </c>
      <c r="D54" s="9" t="s">
        <v>91</v>
      </c>
      <c r="E54" s="10" t="s">
        <v>286</v>
      </c>
      <c r="F54" s="9" t="s">
        <v>445</v>
      </c>
      <c r="G54" s="10" t="s">
        <v>550</v>
      </c>
      <c r="H54" s="9" t="s">
        <v>689</v>
      </c>
      <c r="I54" s="8" t="s">
        <v>822</v>
      </c>
      <c r="J54" s="9">
        <v>2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9</v>
      </c>
      <c r="D55" s="7" t="s">
        <v>92</v>
      </c>
      <c r="E55" s="8" t="s">
        <v>287</v>
      </c>
      <c r="F55" s="7" t="s">
        <v>438</v>
      </c>
      <c r="G55" s="8" t="s">
        <v>551</v>
      </c>
      <c r="H55" s="7" t="s">
        <v>690</v>
      </c>
      <c r="I55" s="8" t="s">
        <v>822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6</v>
      </c>
      <c r="D56" s="9" t="s">
        <v>93</v>
      </c>
      <c r="E56" s="10" t="s">
        <v>288</v>
      </c>
      <c r="F56" s="9" t="s">
        <v>439</v>
      </c>
      <c r="G56" s="10" t="s">
        <v>552</v>
      </c>
      <c r="H56" s="9" t="s">
        <v>7</v>
      </c>
      <c r="I56" s="8" t="s">
        <v>822</v>
      </c>
      <c r="J56" s="9">
        <v>1</v>
      </c>
      <c r="K56" s="9"/>
    </row>
    <row r="57" spans="1:11" ht="36.75" thickBot="1" x14ac:dyDescent="0.3">
      <c r="A57" s="1"/>
      <c r="B57" s="11">
        <f>ROW(B57) - ROW($B$2)</f>
        <v>55</v>
      </c>
      <c r="C57" s="12" t="s">
        <v>10</v>
      </c>
      <c r="D57" s="7" t="s">
        <v>94</v>
      </c>
      <c r="E57" s="8" t="s">
        <v>289</v>
      </c>
      <c r="F57" s="7" t="s">
        <v>446</v>
      </c>
      <c r="G57" s="8" t="s">
        <v>553</v>
      </c>
      <c r="H57" s="7" t="s">
        <v>691</v>
      </c>
      <c r="I57" s="8" t="s">
        <v>822</v>
      </c>
      <c r="J57" s="7">
        <v>3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7</v>
      </c>
      <c r="D58" s="9" t="s">
        <v>95</v>
      </c>
      <c r="E58" s="10" t="s">
        <v>290</v>
      </c>
      <c r="F58" s="9" t="s">
        <v>447</v>
      </c>
      <c r="G58" s="10" t="s">
        <v>554</v>
      </c>
      <c r="H58" s="9" t="s">
        <v>7</v>
      </c>
      <c r="I58" s="8" t="s">
        <v>822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11</v>
      </c>
      <c r="D59" s="7" t="s">
        <v>96</v>
      </c>
      <c r="E59" s="8" t="s">
        <v>291</v>
      </c>
      <c r="F59" s="7" t="s">
        <v>818</v>
      </c>
      <c r="G59" s="8" t="s">
        <v>555</v>
      </c>
      <c r="H59" s="7" t="s">
        <v>692</v>
      </c>
      <c r="I59" s="8" t="s">
        <v>822</v>
      </c>
      <c r="J59" s="7">
        <v>1</v>
      </c>
      <c r="K59" s="7"/>
    </row>
    <row r="60" spans="1:11" ht="48.75" thickBot="1" x14ac:dyDescent="0.3">
      <c r="A60" s="1"/>
      <c r="B60" s="11">
        <f t="shared" si="0"/>
        <v>58</v>
      </c>
      <c r="C60" s="13" t="s">
        <v>12</v>
      </c>
      <c r="D60" s="9" t="s">
        <v>97</v>
      </c>
      <c r="E60" s="10" t="s">
        <v>292</v>
      </c>
      <c r="F60" s="7" t="s">
        <v>818</v>
      </c>
      <c r="G60" s="10" t="s">
        <v>448</v>
      </c>
      <c r="H60" s="9" t="s">
        <v>693</v>
      </c>
      <c r="I60" s="8" t="s">
        <v>822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13</v>
      </c>
      <c r="D61" s="7" t="s">
        <v>98</v>
      </c>
      <c r="E61" s="8" t="s">
        <v>293</v>
      </c>
      <c r="F61" s="7" t="s">
        <v>818</v>
      </c>
      <c r="G61" s="8" t="s">
        <v>449</v>
      </c>
      <c r="H61" s="7" t="s">
        <v>694</v>
      </c>
      <c r="I61" s="8" t="s">
        <v>822</v>
      </c>
      <c r="J61" s="7">
        <v>9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14</v>
      </c>
      <c r="D62" s="9" t="s">
        <v>99</v>
      </c>
      <c r="E62" s="10" t="s">
        <v>294</v>
      </c>
      <c r="F62" s="7" t="s">
        <v>818</v>
      </c>
      <c r="G62" s="10" t="s">
        <v>556</v>
      </c>
      <c r="H62" s="9" t="s">
        <v>692</v>
      </c>
      <c r="I62" s="8" t="s">
        <v>822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13</v>
      </c>
      <c r="D63" s="7" t="s">
        <v>100</v>
      </c>
      <c r="E63" s="8" t="s">
        <v>295</v>
      </c>
      <c r="F63" s="7" t="s">
        <v>818</v>
      </c>
      <c r="G63" s="8" t="s">
        <v>450</v>
      </c>
      <c r="H63" s="7" t="s">
        <v>695</v>
      </c>
      <c r="I63" s="8" t="s">
        <v>822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15</v>
      </c>
      <c r="D64" s="9" t="s">
        <v>101</v>
      </c>
      <c r="E64" s="10" t="s">
        <v>296</v>
      </c>
      <c r="F64" s="7" t="s">
        <v>818</v>
      </c>
      <c r="G64" s="10">
        <v>22112032</v>
      </c>
      <c r="H64" s="9" t="s">
        <v>696</v>
      </c>
      <c r="I64" s="8" t="s">
        <v>822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15</v>
      </c>
      <c r="D65" s="7" t="s">
        <v>102</v>
      </c>
      <c r="E65" s="8" t="s">
        <v>297</v>
      </c>
      <c r="F65" s="7" t="s">
        <v>818</v>
      </c>
      <c r="G65" s="8">
        <v>22112022</v>
      </c>
      <c r="H65" s="7" t="s">
        <v>696</v>
      </c>
      <c r="I65" s="8" t="s">
        <v>822</v>
      </c>
      <c r="J65" s="7">
        <v>1</v>
      </c>
      <c r="K65" s="7"/>
    </row>
    <row r="66" spans="1:11" ht="60.75" thickBot="1" x14ac:dyDescent="0.3">
      <c r="A66" s="1"/>
      <c r="B66" s="11">
        <f t="shared" si="0"/>
        <v>64</v>
      </c>
      <c r="C66" s="13" t="s">
        <v>16</v>
      </c>
      <c r="D66" s="9" t="s">
        <v>103</v>
      </c>
      <c r="E66" s="10" t="s">
        <v>298</v>
      </c>
      <c r="F66" s="7" t="s">
        <v>818</v>
      </c>
      <c r="G66" s="10" t="s">
        <v>451</v>
      </c>
      <c r="H66" s="9" t="s">
        <v>697</v>
      </c>
      <c r="I66" s="8" t="s">
        <v>822</v>
      </c>
      <c r="J66" s="9">
        <v>3</v>
      </c>
      <c r="K66" s="9"/>
    </row>
    <row r="67" spans="1:11" ht="48.75" thickBot="1" x14ac:dyDescent="0.3">
      <c r="A67" s="1"/>
      <c r="B67" s="11">
        <f>ROW(B67) - ROW($B$2)</f>
        <v>65</v>
      </c>
      <c r="C67" s="12" t="s">
        <v>17</v>
      </c>
      <c r="D67" s="7" t="s">
        <v>104</v>
      </c>
      <c r="E67" s="8" t="s">
        <v>299</v>
      </c>
      <c r="F67" s="7" t="s">
        <v>452</v>
      </c>
      <c r="G67" s="8" t="s">
        <v>557</v>
      </c>
      <c r="H67" s="7" t="s">
        <v>698</v>
      </c>
      <c r="I67" s="8" t="s">
        <v>822</v>
      </c>
      <c r="J67" s="7">
        <v>2</v>
      </c>
      <c r="K67" s="7"/>
    </row>
    <row r="68" spans="1:11" ht="48.75" thickBot="1" x14ac:dyDescent="0.3">
      <c r="A68" s="1"/>
      <c r="B68" s="11">
        <f t="shared" si="0"/>
        <v>66</v>
      </c>
      <c r="C68" s="13" t="s">
        <v>18</v>
      </c>
      <c r="D68" s="9" t="s">
        <v>105</v>
      </c>
      <c r="E68" s="10" t="s">
        <v>300</v>
      </c>
      <c r="F68" s="7" t="s">
        <v>818</v>
      </c>
      <c r="G68" s="10" t="s">
        <v>558</v>
      </c>
      <c r="H68" s="9" t="s">
        <v>699</v>
      </c>
      <c r="I68" s="8" t="s">
        <v>822</v>
      </c>
      <c r="J68" s="9">
        <v>1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13</v>
      </c>
      <c r="D69" s="7" t="s">
        <v>106</v>
      </c>
      <c r="E69" s="8" t="s">
        <v>293</v>
      </c>
      <c r="F69" s="7" t="s">
        <v>818</v>
      </c>
      <c r="G69" s="8" t="s">
        <v>453</v>
      </c>
      <c r="H69" s="7" t="s">
        <v>694</v>
      </c>
      <c r="I69" s="8" t="s">
        <v>822</v>
      </c>
      <c r="J69" s="7">
        <v>1</v>
      </c>
      <c r="K69" s="7"/>
    </row>
    <row r="70" spans="1:11" ht="60.75" thickBot="1" x14ac:dyDescent="0.3">
      <c r="A70" s="1"/>
      <c r="B70" s="11">
        <f t="shared" si="0"/>
        <v>68</v>
      </c>
      <c r="C70" s="13" t="s">
        <v>19</v>
      </c>
      <c r="D70" s="9" t="s">
        <v>107</v>
      </c>
      <c r="E70" s="10" t="s">
        <v>301</v>
      </c>
      <c r="F70" s="7" t="s">
        <v>818</v>
      </c>
      <c r="G70" s="10" t="s">
        <v>454</v>
      </c>
      <c r="H70" s="9" t="s">
        <v>697</v>
      </c>
      <c r="I70" s="8" t="s">
        <v>822</v>
      </c>
      <c r="J70" s="9">
        <v>2</v>
      </c>
      <c r="K70" s="9"/>
    </row>
    <row r="71" spans="1:11" ht="60.75" thickBot="1" x14ac:dyDescent="0.3">
      <c r="A71" s="1"/>
      <c r="B71" s="11">
        <f>ROW(B71) - ROW($B$2)</f>
        <v>69</v>
      </c>
      <c r="C71" s="12" t="s">
        <v>16</v>
      </c>
      <c r="D71" s="7" t="s">
        <v>108</v>
      </c>
      <c r="E71" s="8" t="s">
        <v>302</v>
      </c>
      <c r="F71" s="7" t="s">
        <v>818</v>
      </c>
      <c r="G71" s="8" t="s">
        <v>455</v>
      </c>
      <c r="H71" s="7" t="s">
        <v>697</v>
      </c>
      <c r="I71" s="8" t="s">
        <v>822</v>
      </c>
      <c r="J71" s="7">
        <v>1</v>
      </c>
      <c r="K71" s="7"/>
    </row>
    <row r="72" spans="1:11" ht="24.75" thickBot="1" x14ac:dyDescent="0.3">
      <c r="A72" s="1"/>
      <c r="B72" s="11">
        <f t="shared" si="0"/>
        <v>70</v>
      </c>
      <c r="C72" s="13" t="s">
        <v>20</v>
      </c>
      <c r="D72" s="9" t="s">
        <v>109</v>
      </c>
      <c r="E72" s="10" t="s">
        <v>303</v>
      </c>
      <c r="F72" s="7" t="s">
        <v>818</v>
      </c>
      <c r="G72" s="10" t="s">
        <v>456</v>
      </c>
      <c r="H72" s="9" t="s">
        <v>700</v>
      </c>
      <c r="I72" s="8" t="s">
        <v>822</v>
      </c>
      <c r="J72" s="9">
        <v>1</v>
      </c>
      <c r="K72" s="9"/>
    </row>
    <row r="73" spans="1:11" ht="15.75" thickBot="1" x14ac:dyDescent="0.3">
      <c r="A73" s="1"/>
      <c r="B73" s="11">
        <f>ROW(B73) - ROW($B$2)</f>
        <v>71</v>
      </c>
      <c r="C73" s="12" t="s">
        <v>13</v>
      </c>
      <c r="D73" s="7" t="s">
        <v>110</v>
      </c>
      <c r="E73" s="8" t="s">
        <v>293</v>
      </c>
      <c r="F73" s="7" t="s">
        <v>818</v>
      </c>
      <c r="G73" s="8" t="s">
        <v>457</v>
      </c>
      <c r="H73" s="7" t="s">
        <v>694</v>
      </c>
      <c r="I73" s="8" t="s">
        <v>822</v>
      </c>
      <c r="J73" s="7">
        <v>2</v>
      </c>
      <c r="K73" s="7"/>
    </row>
    <row r="74" spans="1:11" ht="48.75" thickBot="1" x14ac:dyDescent="0.3">
      <c r="A74" s="1"/>
      <c r="B74" s="11">
        <f t="shared" si="0"/>
        <v>72</v>
      </c>
      <c r="C74" s="13" t="s">
        <v>21</v>
      </c>
      <c r="D74" s="9" t="s">
        <v>111</v>
      </c>
      <c r="E74" s="10" t="s">
        <v>304</v>
      </c>
      <c r="F74" s="9" t="s">
        <v>458</v>
      </c>
      <c r="G74" s="10" t="s">
        <v>559</v>
      </c>
      <c r="H74" s="9" t="s">
        <v>701</v>
      </c>
      <c r="I74" s="8" t="s">
        <v>822</v>
      </c>
      <c r="J74" s="9">
        <v>2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22</v>
      </c>
      <c r="D75" s="7" t="s">
        <v>112</v>
      </c>
      <c r="E75" s="8" t="s">
        <v>305</v>
      </c>
      <c r="F75" s="7" t="s">
        <v>459</v>
      </c>
      <c r="G75" s="8" t="s">
        <v>560</v>
      </c>
      <c r="H75" s="7" t="s">
        <v>702</v>
      </c>
      <c r="I75" s="8" t="s">
        <v>763</v>
      </c>
      <c r="J75" s="7">
        <v>1</v>
      </c>
      <c r="K75" s="7"/>
    </row>
    <row r="76" spans="1:11" ht="36.75" thickBot="1" x14ac:dyDescent="0.3">
      <c r="A76" s="1"/>
      <c r="B76" s="11">
        <f t="shared" si="0"/>
        <v>74</v>
      </c>
      <c r="C76" s="13" t="s">
        <v>22</v>
      </c>
      <c r="D76" s="9" t="s">
        <v>113</v>
      </c>
      <c r="E76" s="10" t="s">
        <v>306</v>
      </c>
      <c r="F76" s="7" t="s">
        <v>818</v>
      </c>
      <c r="G76" s="10" t="s">
        <v>460</v>
      </c>
      <c r="H76" s="9" t="s">
        <v>672</v>
      </c>
      <c r="I76" s="10" t="s">
        <v>764</v>
      </c>
      <c r="J76" s="9">
        <v>1</v>
      </c>
      <c r="K76" s="9"/>
    </row>
    <row r="77" spans="1:11" ht="24.75" thickBot="1" x14ac:dyDescent="0.3">
      <c r="A77" s="1"/>
      <c r="B77" s="11">
        <f>ROW(B77) - ROW($B$2)</f>
        <v>75</v>
      </c>
      <c r="C77" s="12" t="s">
        <v>22</v>
      </c>
      <c r="D77" s="7" t="s">
        <v>114</v>
      </c>
      <c r="E77" s="8" t="s">
        <v>307</v>
      </c>
      <c r="F77" s="7" t="s">
        <v>818</v>
      </c>
      <c r="G77" s="8" t="s">
        <v>461</v>
      </c>
      <c r="H77" s="7" t="s">
        <v>703</v>
      </c>
      <c r="I77" s="8" t="s">
        <v>765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22</v>
      </c>
      <c r="D78" s="9" t="s">
        <v>115</v>
      </c>
      <c r="E78" s="10" t="s">
        <v>308</v>
      </c>
      <c r="F78" s="7" t="s">
        <v>818</v>
      </c>
      <c r="G78" s="10" t="s">
        <v>462</v>
      </c>
      <c r="H78" s="9" t="s">
        <v>703</v>
      </c>
      <c r="I78" s="10" t="s">
        <v>766</v>
      </c>
      <c r="J78" s="9">
        <v>1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22</v>
      </c>
      <c r="D79" s="7" t="s">
        <v>116</v>
      </c>
      <c r="E79" s="8" t="s">
        <v>309</v>
      </c>
      <c r="F79" s="7" t="s">
        <v>818</v>
      </c>
      <c r="G79" s="8" t="s">
        <v>463</v>
      </c>
      <c r="H79" s="7" t="s">
        <v>704</v>
      </c>
      <c r="I79" s="8" t="s">
        <v>767</v>
      </c>
      <c r="J79" s="7">
        <v>1</v>
      </c>
      <c r="K79" s="7"/>
    </row>
    <row r="80" spans="1:11" ht="15.75" thickBot="1" x14ac:dyDescent="0.3">
      <c r="A80" s="1"/>
      <c r="B80" s="11">
        <f t="shared" si="0"/>
        <v>78</v>
      </c>
      <c r="C80" s="13" t="s">
        <v>22</v>
      </c>
      <c r="D80" s="9" t="s">
        <v>117</v>
      </c>
      <c r="E80" s="10" t="s">
        <v>310</v>
      </c>
      <c r="F80" s="9" t="s">
        <v>464</v>
      </c>
      <c r="G80" s="10" t="s">
        <v>561</v>
      </c>
      <c r="H80" s="9" t="s">
        <v>674</v>
      </c>
      <c r="I80" s="10" t="s">
        <v>768</v>
      </c>
      <c r="J80" s="9">
        <v>1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23</v>
      </c>
      <c r="D81" s="7" t="s">
        <v>118</v>
      </c>
      <c r="E81" s="8" t="s">
        <v>311</v>
      </c>
      <c r="F81" s="7" t="s">
        <v>465</v>
      </c>
      <c r="G81" s="8" t="s">
        <v>562</v>
      </c>
      <c r="H81" s="7" t="s">
        <v>705</v>
      </c>
      <c r="I81" s="8" t="s">
        <v>822</v>
      </c>
      <c r="J81" s="7">
        <v>3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24</v>
      </c>
      <c r="D82" s="9" t="s">
        <v>119</v>
      </c>
      <c r="E82" s="10" t="s">
        <v>312</v>
      </c>
      <c r="F82" s="7" t="s">
        <v>818</v>
      </c>
      <c r="G82" s="10" t="s">
        <v>563</v>
      </c>
      <c r="H82" s="9" t="s">
        <v>706</v>
      </c>
      <c r="I82" s="8" t="s">
        <v>822</v>
      </c>
      <c r="J82" s="9">
        <v>1</v>
      </c>
      <c r="K82" s="9"/>
    </row>
    <row r="83" spans="1:11" ht="24.75" thickBot="1" x14ac:dyDescent="0.3">
      <c r="A83" s="1"/>
      <c r="B83" s="11">
        <f>ROW(B83) - ROW($B$2)</f>
        <v>81</v>
      </c>
      <c r="C83" s="12" t="s">
        <v>23</v>
      </c>
      <c r="D83" s="7" t="s">
        <v>120</v>
      </c>
      <c r="E83" s="8" t="s">
        <v>313</v>
      </c>
      <c r="F83" s="7" t="s">
        <v>466</v>
      </c>
      <c r="G83" s="8" t="s">
        <v>564</v>
      </c>
      <c r="H83" s="7" t="s">
        <v>707</v>
      </c>
      <c r="I83" s="8" t="s">
        <v>822</v>
      </c>
      <c r="J83" s="7">
        <v>1</v>
      </c>
      <c r="K83" s="7"/>
    </row>
    <row r="84" spans="1:11" ht="24.75" thickBot="1" x14ac:dyDescent="0.3">
      <c r="A84" s="1"/>
      <c r="B84" s="11">
        <f t="shared" si="0"/>
        <v>82</v>
      </c>
      <c r="C84" s="13" t="s">
        <v>23</v>
      </c>
      <c r="D84" s="9" t="s">
        <v>121</v>
      </c>
      <c r="E84" s="10" t="s">
        <v>314</v>
      </c>
      <c r="F84" s="9" t="s">
        <v>465</v>
      </c>
      <c r="G84" s="10" t="s">
        <v>565</v>
      </c>
      <c r="H84" s="9" t="s">
        <v>708</v>
      </c>
      <c r="I84" s="8" t="s">
        <v>822</v>
      </c>
      <c r="J84" s="9">
        <v>1</v>
      </c>
      <c r="K84" s="9"/>
    </row>
    <row r="85" spans="1:11" ht="24.75" thickBot="1" x14ac:dyDescent="0.3">
      <c r="A85" s="1"/>
      <c r="B85" s="11">
        <f>ROW(B85) - ROW($B$2)</f>
        <v>83</v>
      </c>
      <c r="C85" s="12" t="s">
        <v>23</v>
      </c>
      <c r="D85" s="7" t="s">
        <v>122</v>
      </c>
      <c r="E85" s="8" t="s">
        <v>315</v>
      </c>
      <c r="F85" s="7" t="s">
        <v>466</v>
      </c>
      <c r="G85" s="8" t="s">
        <v>566</v>
      </c>
      <c r="H85" s="7" t="s">
        <v>708</v>
      </c>
      <c r="I85" s="8" t="s">
        <v>822</v>
      </c>
      <c r="J85" s="7">
        <v>1</v>
      </c>
      <c r="K85" s="7"/>
    </row>
    <row r="86" spans="1:11" ht="24.75" thickBot="1" x14ac:dyDescent="0.3">
      <c r="A86" s="1"/>
      <c r="B86" s="11">
        <f t="shared" si="0"/>
        <v>84</v>
      </c>
      <c r="C86" s="13" t="s">
        <v>25</v>
      </c>
      <c r="D86" s="9" t="s">
        <v>123</v>
      </c>
      <c r="E86" s="10" t="s">
        <v>316</v>
      </c>
      <c r="F86" s="7" t="s">
        <v>818</v>
      </c>
      <c r="G86" s="10" t="s">
        <v>567</v>
      </c>
      <c r="H86" s="9" t="s">
        <v>709</v>
      </c>
      <c r="I86" s="8" t="s">
        <v>822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26</v>
      </c>
      <c r="D87" s="15" t="s">
        <v>124</v>
      </c>
      <c r="E87" s="16" t="s">
        <v>317</v>
      </c>
      <c r="F87" s="15" t="s">
        <v>467</v>
      </c>
      <c r="G87" s="15" t="s">
        <v>467</v>
      </c>
      <c r="H87" s="15"/>
      <c r="I87" s="16" t="s">
        <v>822</v>
      </c>
      <c r="J87" s="15">
        <v>6</v>
      </c>
      <c r="K87" s="17" t="s">
        <v>823</v>
      </c>
    </row>
    <row r="88" spans="1:11" ht="24.75" thickBot="1" x14ac:dyDescent="0.3">
      <c r="A88" s="1"/>
      <c r="B88" s="11">
        <f t="shared" si="0"/>
        <v>86</v>
      </c>
      <c r="C88" s="13" t="s">
        <v>27</v>
      </c>
      <c r="D88" s="9" t="s">
        <v>125</v>
      </c>
      <c r="E88" s="10" t="s">
        <v>318</v>
      </c>
      <c r="F88" s="9" t="s">
        <v>468</v>
      </c>
      <c r="G88" s="10" t="s">
        <v>568</v>
      </c>
      <c r="H88" s="9" t="s">
        <v>682</v>
      </c>
      <c r="I88" s="8" t="s">
        <v>822</v>
      </c>
      <c r="J88" s="9">
        <v>2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28</v>
      </c>
      <c r="D89" s="7" t="s">
        <v>126</v>
      </c>
      <c r="E89" s="8" t="s">
        <v>319</v>
      </c>
      <c r="F89" s="7" t="s">
        <v>445</v>
      </c>
      <c r="G89" s="8" t="s">
        <v>569</v>
      </c>
      <c r="H89" s="7" t="s">
        <v>710</v>
      </c>
      <c r="I89" s="8" t="s">
        <v>822</v>
      </c>
      <c r="J89" s="7">
        <v>3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27</v>
      </c>
      <c r="D90" s="9" t="s">
        <v>127</v>
      </c>
      <c r="E90" s="10" t="s">
        <v>320</v>
      </c>
      <c r="F90" s="9" t="s">
        <v>445</v>
      </c>
      <c r="G90" s="10" t="s">
        <v>570</v>
      </c>
      <c r="H90" s="9" t="s">
        <v>711</v>
      </c>
      <c r="I90" s="8" t="s">
        <v>822</v>
      </c>
      <c r="J90" s="9">
        <v>1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27</v>
      </c>
      <c r="D91" s="7" t="s">
        <v>128</v>
      </c>
      <c r="E91" s="8" t="s">
        <v>321</v>
      </c>
      <c r="F91" s="7" t="s">
        <v>469</v>
      </c>
      <c r="G91" s="8" t="s">
        <v>571</v>
      </c>
      <c r="H91" s="7" t="s">
        <v>712</v>
      </c>
      <c r="I91" s="8" t="s">
        <v>822</v>
      </c>
      <c r="J91" s="7">
        <v>2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27</v>
      </c>
      <c r="D92" s="9" t="s">
        <v>129</v>
      </c>
      <c r="E92" s="10" t="s">
        <v>322</v>
      </c>
      <c r="F92" s="9" t="s">
        <v>445</v>
      </c>
      <c r="G92" s="10" t="s">
        <v>572</v>
      </c>
      <c r="H92" s="9" t="s">
        <v>713</v>
      </c>
      <c r="I92" s="8" t="s">
        <v>822</v>
      </c>
      <c r="J92" s="9">
        <v>1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27</v>
      </c>
      <c r="D93" s="7" t="s">
        <v>130</v>
      </c>
      <c r="E93" s="8" t="s">
        <v>323</v>
      </c>
      <c r="F93" s="7" t="s">
        <v>445</v>
      </c>
      <c r="G93" s="8" t="s">
        <v>573</v>
      </c>
      <c r="H93" s="7" t="s">
        <v>7</v>
      </c>
      <c r="I93" s="8" t="s">
        <v>822</v>
      </c>
      <c r="J93" s="7">
        <v>1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29</v>
      </c>
      <c r="D94" s="9" t="s">
        <v>131</v>
      </c>
      <c r="E94" s="10" t="s">
        <v>324</v>
      </c>
      <c r="F94" s="9" t="s">
        <v>470</v>
      </c>
      <c r="G94" s="10" t="s">
        <v>574</v>
      </c>
      <c r="H94" s="9" t="s">
        <v>714</v>
      </c>
      <c r="I94" s="8" t="s">
        <v>822</v>
      </c>
      <c r="J94" s="9">
        <v>1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27</v>
      </c>
      <c r="D95" s="7" t="s">
        <v>132</v>
      </c>
      <c r="E95" s="8" t="s">
        <v>325</v>
      </c>
      <c r="F95" s="7" t="s">
        <v>436</v>
      </c>
      <c r="G95" s="8" t="s">
        <v>575</v>
      </c>
      <c r="H95" s="7" t="s">
        <v>689</v>
      </c>
      <c r="I95" s="8" t="s">
        <v>822</v>
      </c>
      <c r="J95" s="7">
        <v>1</v>
      </c>
      <c r="K95" s="7"/>
    </row>
    <row r="96" spans="1:11" ht="36.75" thickBot="1" x14ac:dyDescent="0.3">
      <c r="A96" s="1"/>
      <c r="B96" s="11">
        <f t="shared" si="0"/>
        <v>94</v>
      </c>
      <c r="C96" s="13" t="s">
        <v>27</v>
      </c>
      <c r="D96" s="9" t="s">
        <v>133</v>
      </c>
      <c r="E96" s="10" t="s">
        <v>326</v>
      </c>
      <c r="F96" s="9" t="s">
        <v>445</v>
      </c>
      <c r="G96" s="10" t="s">
        <v>576</v>
      </c>
      <c r="H96" s="9" t="s">
        <v>679</v>
      </c>
      <c r="I96" s="8" t="s">
        <v>822</v>
      </c>
      <c r="J96" s="9">
        <v>1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29</v>
      </c>
      <c r="D97" s="7" t="s">
        <v>134</v>
      </c>
      <c r="E97" s="8" t="s">
        <v>327</v>
      </c>
      <c r="F97" s="7" t="s">
        <v>445</v>
      </c>
      <c r="G97" s="8" t="s">
        <v>577</v>
      </c>
      <c r="H97" s="7" t="s">
        <v>7</v>
      </c>
      <c r="I97" s="8" t="s">
        <v>822</v>
      </c>
      <c r="J97" s="7">
        <v>1</v>
      </c>
      <c r="K97" s="7"/>
    </row>
    <row r="98" spans="1:11" ht="36.75" thickBot="1" x14ac:dyDescent="0.3">
      <c r="A98" s="1"/>
      <c r="B98" s="11">
        <f t="shared" si="0"/>
        <v>96</v>
      </c>
      <c r="C98" s="13" t="s">
        <v>30</v>
      </c>
      <c r="D98" s="9" t="s">
        <v>135</v>
      </c>
      <c r="E98" s="10" t="s">
        <v>328</v>
      </c>
      <c r="F98" s="9" t="s">
        <v>471</v>
      </c>
      <c r="G98" s="10" t="s">
        <v>578</v>
      </c>
      <c r="H98" s="9" t="s">
        <v>715</v>
      </c>
      <c r="I98" s="10" t="s">
        <v>769</v>
      </c>
      <c r="J98" s="9">
        <v>1</v>
      </c>
      <c r="K98" s="9"/>
    </row>
    <row r="99" spans="1:11" ht="36.75" thickBot="1" x14ac:dyDescent="0.3">
      <c r="A99" s="1"/>
      <c r="B99" s="11">
        <f>ROW(B99) - ROW($B$2)</f>
        <v>97</v>
      </c>
      <c r="C99" s="12" t="s">
        <v>30</v>
      </c>
      <c r="D99" s="7" t="s">
        <v>136</v>
      </c>
      <c r="E99" s="8" t="s">
        <v>329</v>
      </c>
      <c r="F99" s="7" t="s">
        <v>471</v>
      </c>
      <c r="G99" s="8" t="s">
        <v>579</v>
      </c>
      <c r="H99" s="7" t="s">
        <v>716</v>
      </c>
      <c r="I99" s="8" t="s">
        <v>770</v>
      </c>
      <c r="J99" s="7">
        <v>1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30</v>
      </c>
      <c r="D100" s="9" t="s">
        <v>137</v>
      </c>
      <c r="E100" s="10" t="s">
        <v>330</v>
      </c>
      <c r="F100" s="9" t="s">
        <v>471</v>
      </c>
      <c r="G100" s="10" t="s">
        <v>580</v>
      </c>
      <c r="H100" s="9" t="s">
        <v>670</v>
      </c>
      <c r="I100" s="10" t="s">
        <v>771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30</v>
      </c>
      <c r="D101" s="7" t="s">
        <v>138</v>
      </c>
      <c r="E101" s="8" t="s">
        <v>331</v>
      </c>
      <c r="F101" s="7" t="s">
        <v>471</v>
      </c>
      <c r="G101" s="8" t="s">
        <v>581</v>
      </c>
      <c r="H101" s="7" t="s">
        <v>670</v>
      </c>
      <c r="I101" s="8" t="s">
        <v>772</v>
      </c>
      <c r="J101" s="7">
        <v>2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30</v>
      </c>
      <c r="D102" s="9" t="s">
        <v>139</v>
      </c>
      <c r="E102" s="10" t="s">
        <v>332</v>
      </c>
      <c r="F102" s="9" t="s">
        <v>471</v>
      </c>
      <c r="G102" s="10" t="s">
        <v>582</v>
      </c>
      <c r="H102" s="9" t="s">
        <v>670</v>
      </c>
      <c r="I102" s="10" t="s">
        <v>772</v>
      </c>
      <c r="J102" s="9">
        <v>2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30</v>
      </c>
      <c r="D103" s="7" t="s">
        <v>140</v>
      </c>
      <c r="E103" s="8" t="s">
        <v>333</v>
      </c>
      <c r="F103" s="7" t="s">
        <v>471</v>
      </c>
      <c r="G103" s="8" t="s">
        <v>583</v>
      </c>
      <c r="H103" s="7" t="s">
        <v>670</v>
      </c>
      <c r="I103" s="8" t="s">
        <v>773</v>
      </c>
      <c r="J103" s="7">
        <v>2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30</v>
      </c>
      <c r="D104" s="9" t="s">
        <v>141</v>
      </c>
      <c r="E104" s="10" t="s">
        <v>334</v>
      </c>
      <c r="F104" s="9" t="s">
        <v>471</v>
      </c>
      <c r="G104" s="10" t="s">
        <v>584</v>
      </c>
      <c r="H104" s="9" t="s">
        <v>670</v>
      </c>
      <c r="I104" s="10" t="s">
        <v>774</v>
      </c>
      <c r="J104" s="9">
        <v>2</v>
      </c>
      <c r="K104" s="9"/>
    </row>
    <row r="105" spans="1:11" ht="48.75" thickBot="1" x14ac:dyDescent="0.3">
      <c r="A105" s="1"/>
      <c r="B105" s="11">
        <f>ROW(B105) - ROW($B$2)</f>
        <v>103</v>
      </c>
      <c r="C105" s="12" t="s">
        <v>30</v>
      </c>
      <c r="D105" s="7" t="s">
        <v>142</v>
      </c>
      <c r="E105" s="8" t="s">
        <v>335</v>
      </c>
      <c r="F105" s="7" t="s">
        <v>472</v>
      </c>
      <c r="G105" s="8" t="s">
        <v>585</v>
      </c>
      <c r="H105" s="7" t="s">
        <v>715</v>
      </c>
      <c r="I105" s="8" t="s">
        <v>775</v>
      </c>
      <c r="J105" s="7">
        <v>1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30</v>
      </c>
      <c r="D106" s="9" t="s">
        <v>143</v>
      </c>
      <c r="E106" s="10" t="s">
        <v>336</v>
      </c>
      <c r="F106" s="9" t="s">
        <v>471</v>
      </c>
      <c r="G106" s="10" t="s">
        <v>586</v>
      </c>
      <c r="H106" s="9" t="s">
        <v>670</v>
      </c>
      <c r="I106" s="10" t="s">
        <v>776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30</v>
      </c>
      <c r="D107" s="7" t="s">
        <v>144</v>
      </c>
      <c r="E107" s="8" t="s">
        <v>337</v>
      </c>
      <c r="F107" s="7" t="s">
        <v>471</v>
      </c>
      <c r="G107" s="8" t="s">
        <v>587</v>
      </c>
      <c r="H107" s="7" t="s">
        <v>670</v>
      </c>
      <c r="I107" s="8" t="s">
        <v>777</v>
      </c>
      <c r="J107" s="7">
        <v>2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30</v>
      </c>
      <c r="D108" s="9" t="s">
        <v>145</v>
      </c>
      <c r="E108" s="10" t="s">
        <v>338</v>
      </c>
      <c r="F108" s="9" t="s">
        <v>471</v>
      </c>
      <c r="G108" s="10" t="s">
        <v>588</v>
      </c>
      <c r="H108" s="9" t="s">
        <v>670</v>
      </c>
      <c r="I108" s="10" t="s">
        <v>778</v>
      </c>
      <c r="J108" s="9">
        <v>3</v>
      </c>
      <c r="K108" s="9"/>
    </row>
    <row r="109" spans="1:11" ht="36.75" thickBot="1" x14ac:dyDescent="0.3">
      <c r="A109" s="1"/>
      <c r="B109" s="11">
        <f>ROW(B109) - ROW($B$2)</f>
        <v>107</v>
      </c>
      <c r="C109" s="12" t="s">
        <v>30</v>
      </c>
      <c r="D109" s="7" t="s">
        <v>146</v>
      </c>
      <c r="E109" s="8" t="s">
        <v>339</v>
      </c>
      <c r="F109" s="7" t="s">
        <v>473</v>
      </c>
      <c r="G109" s="8" t="s">
        <v>589</v>
      </c>
      <c r="H109" s="7" t="s">
        <v>670</v>
      </c>
      <c r="I109" s="8" t="s">
        <v>772</v>
      </c>
      <c r="J109" s="7">
        <v>17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30</v>
      </c>
      <c r="D110" s="9" t="s">
        <v>147</v>
      </c>
      <c r="E110" s="10" t="s">
        <v>340</v>
      </c>
      <c r="F110" s="9" t="s">
        <v>471</v>
      </c>
      <c r="G110" s="10" t="s">
        <v>629</v>
      </c>
      <c r="H110" s="9" t="s">
        <v>723</v>
      </c>
      <c r="I110" s="10" t="s">
        <v>779</v>
      </c>
      <c r="J110" s="9">
        <v>4</v>
      </c>
      <c r="K110" s="9"/>
    </row>
    <row r="111" spans="1:11" ht="15.75" thickBot="1" x14ac:dyDescent="0.3">
      <c r="A111" s="1"/>
      <c r="B111" s="11">
        <f>ROW(B111) - ROW($B$2)</f>
        <v>109</v>
      </c>
      <c r="C111" s="12" t="s">
        <v>30</v>
      </c>
      <c r="D111" s="7" t="s">
        <v>148</v>
      </c>
      <c r="E111" s="8" t="s">
        <v>341</v>
      </c>
      <c r="F111" s="7" t="s">
        <v>471</v>
      </c>
      <c r="G111" s="8" t="s">
        <v>590</v>
      </c>
      <c r="H111" s="7" t="s">
        <v>670</v>
      </c>
      <c r="I111" s="8" t="s">
        <v>780</v>
      </c>
      <c r="J111" s="7">
        <v>1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30</v>
      </c>
      <c r="D112" s="9" t="s">
        <v>149</v>
      </c>
      <c r="E112" s="10" t="s">
        <v>342</v>
      </c>
      <c r="F112" s="9" t="s">
        <v>471</v>
      </c>
      <c r="G112" s="10" t="s">
        <v>591</v>
      </c>
      <c r="H112" s="9" t="s">
        <v>670</v>
      </c>
      <c r="I112" s="10" t="s">
        <v>781</v>
      </c>
      <c r="J112" s="9">
        <v>4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30</v>
      </c>
      <c r="D113" s="7" t="s">
        <v>150</v>
      </c>
      <c r="E113" s="8" t="s">
        <v>343</v>
      </c>
      <c r="F113" s="7" t="s">
        <v>471</v>
      </c>
      <c r="G113" s="8" t="s">
        <v>592</v>
      </c>
      <c r="H113" s="7" t="s">
        <v>670</v>
      </c>
      <c r="I113" s="8" t="s">
        <v>779</v>
      </c>
      <c r="J113" s="7">
        <v>7</v>
      </c>
      <c r="K113" s="7"/>
    </row>
    <row r="114" spans="1:11" ht="15.75" thickBot="1" x14ac:dyDescent="0.3">
      <c r="A114" s="1"/>
      <c r="B114" s="11">
        <f t="shared" si="0"/>
        <v>112</v>
      </c>
      <c r="C114" s="12" t="s">
        <v>30</v>
      </c>
      <c r="D114" s="9" t="s">
        <v>151</v>
      </c>
      <c r="E114" s="10" t="s">
        <v>344</v>
      </c>
      <c r="F114" s="9" t="s">
        <v>471</v>
      </c>
      <c r="G114" s="10" t="s">
        <v>593</v>
      </c>
      <c r="H114" s="9" t="s">
        <v>670</v>
      </c>
      <c r="I114" s="10" t="s">
        <v>782</v>
      </c>
      <c r="J114" s="9">
        <v>2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30</v>
      </c>
      <c r="D115" s="15" t="s">
        <v>152</v>
      </c>
      <c r="E115" s="16" t="s">
        <v>345</v>
      </c>
      <c r="F115" s="15" t="s">
        <v>473</v>
      </c>
      <c r="G115" s="16" t="s">
        <v>594</v>
      </c>
      <c r="H115" s="15" t="s">
        <v>670</v>
      </c>
      <c r="I115" s="16" t="s">
        <v>783</v>
      </c>
      <c r="J115" s="15">
        <v>1</v>
      </c>
      <c r="K115" s="17" t="s">
        <v>823</v>
      </c>
    </row>
    <row r="116" spans="1:11" ht="15.75" thickBot="1" x14ac:dyDescent="0.3">
      <c r="A116" s="1"/>
      <c r="B116" s="11">
        <f t="shared" si="0"/>
        <v>114</v>
      </c>
      <c r="C116" s="13" t="s">
        <v>30</v>
      </c>
      <c r="D116" s="18" t="s">
        <v>153</v>
      </c>
      <c r="E116" s="19" t="s">
        <v>346</v>
      </c>
      <c r="F116" s="18" t="s">
        <v>471</v>
      </c>
      <c r="G116" s="19" t="s">
        <v>595</v>
      </c>
      <c r="H116" s="18" t="s">
        <v>670</v>
      </c>
      <c r="I116" s="19" t="s">
        <v>783</v>
      </c>
      <c r="J116" s="18">
        <v>7</v>
      </c>
      <c r="K116" s="17" t="s">
        <v>823</v>
      </c>
    </row>
    <row r="117" spans="1:11" ht="72.75" thickBot="1" x14ac:dyDescent="0.3">
      <c r="A117" s="1"/>
      <c r="B117" s="11">
        <f>ROW(B117) - ROW($B$2)</f>
        <v>115</v>
      </c>
      <c r="C117" s="12" t="s">
        <v>30</v>
      </c>
      <c r="D117" s="7" t="s">
        <v>154</v>
      </c>
      <c r="E117" s="8" t="s">
        <v>346</v>
      </c>
      <c r="F117" s="7" t="s">
        <v>471</v>
      </c>
      <c r="G117" s="8" t="s">
        <v>595</v>
      </c>
      <c r="H117" s="7" t="s">
        <v>670</v>
      </c>
      <c r="I117" s="8" t="s">
        <v>784</v>
      </c>
      <c r="J117" s="7">
        <v>44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30</v>
      </c>
      <c r="D118" s="9" t="s">
        <v>155</v>
      </c>
      <c r="E118" s="10" t="s">
        <v>347</v>
      </c>
      <c r="F118" s="9" t="s">
        <v>471</v>
      </c>
      <c r="G118" s="10" t="s">
        <v>596</v>
      </c>
      <c r="H118" s="9" t="s">
        <v>670</v>
      </c>
      <c r="I118" s="10" t="s">
        <v>774</v>
      </c>
      <c r="J118" s="9">
        <v>1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30</v>
      </c>
      <c r="D119" s="7" t="s">
        <v>156</v>
      </c>
      <c r="E119" s="8" t="s">
        <v>348</v>
      </c>
      <c r="F119" s="7" t="s">
        <v>474</v>
      </c>
      <c r="G119" s="8" t="s">
        <v>597</v>
      </c>
      <c r="H119" s="7" t="s">
        <v>670</v>
      </c>
      <c r="I119" s="8" t="s">
        <v>785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30</v>
      </c>
      <c r="D120" s="9" t="s">
        <v>157</v>
      </c>
      <c r="E120" s="10" t="s">
        <v>349</v>
      </c>
      <c r="F120" s="9" t="s">
        <v>471</v>
      </c>
      <c r="G120" s="10" t="s">
        <v>598</v>
      </c>
      <c r="H120" s="9" t="s">
        <v>670</v>
      </c>
      <c r="I120" s="10" t="s">
        <v>786</v>
      </c>
      <c r="J120" s="9">
        <v>4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30</v>
      </c>
      <c r="D121" s="7" t="s">
        <v>158</v>
      </c>
      <c r="E121" s="8" t="s">
        <v>350</v>
      </c>
      <c r="F121" s="7" t="s">
        <v>471</v>
      </c>
      <c r="G121" s="8" t="s">
        <v>599</v>
      </c>
      <c r="H121" s="7" t="s">
        <v>670</v>
      </c>
      <c r="I121" s="8" t="s">
        <v>787</v>
      </c>
      <c r="J121" s="7">
        <v>1</v>
      </c>
      <c r="K121" s="7"/>
    </row>
    <row r="122" spans="1:11" ht="15.75" thickBot="1" x14ac:dyDescent="0.3">
      <c r="A122" s="1"/>
      <c r="B122" s="11">
        <f t="shared" si="0"/>
        <v>120</v>
      </c>
      <c r="C122" s="12" t="s">
        <v>30</v>
      </c>
      <c r="D122" s="9" t="s">
        <v>159</v>
      </c>
      <c r="E122" s="10" t="s">
        <v>351</v>
      </c>
      <c r="F122" s="9" t="s">
        <v>472</v>
      </c>
      <c r="G122" s="10" t="s">
        <v>600</v>
      </c>
      <c r="H122" s="9" t="s">
        <v>717</v>
      </c>
      <c r="I122" s="10" t="s">
        <v>788</v>
      </c>
      <c r="J122" s="9">
        <v>2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30</v>
      </c>
      <c r="D123" s="7" t="s">
        <v>160</v>
      </c>
      <c r="E123" s="8" t="s">
        <v>352</v>
      </c>
      <c r="F123" s="7" t="s">
        <v>471</v>
      </c>
      <c r="G123" s="8" t="s">
        <v>601</v>
      </c>
      <c r="H123" s="7" t="s">
        <v>670</v>
      </c>
      <c r="I123" s="8" t="s">
        <v>789</v>
      </c>
      <c r="J123" s="7">
        <v>2</v>
      </c>
      <c r="K123" s="7"/>
    </row>
    <row r="124" spans="1:11" ht="15.75" thickBot="1" x14ac:dyDescent="0.3">
      <c r="A124" s="1"/>
      <c r="B124" s="11">
        <f t="shared" si="0"/>
        <v>122</v>
      </c>
      <c r="C124" s="13" t="s">
        <v>31</v>
      </c>
      <c r="D124" s="9" t="s">
        <v>161</v>
      </c>
      <c r="E124" s="10" t="s">
        <v>353</v>
      </c>
      <c r="F124" s="9" t="s">
        <v>474</v>
      </c>
      <c r="G124" s="10" t="s">
        <v>602</v>
      </c>
      <c r="H124" s="9" t="s">
        <v>670</v>
      </c>
      <c r="I124" s="10" t="s">
        <v>790</v>
      </c>
      <c r="J124" s="9">
        <v>1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30</v>
      </c>
      <c r="D125" s="7" t="s">
        <v>162</v>
      </c>
      <c r="E125" s="8" t="s">
        <v>354</v>
      </c>
      <c r="F125" s="7" t="s">
        <v>473</v>
      </c>
      <c r="G125" s="8" t="s">
        <v>603</v>
      </c>
      <c r="H125" s="7" t="s">
        <v>670</v>
      </c>
      <c r="I125" s="8" t="s">
        <v>791</v>
      </c>
      <c r="J125" s="7">
        <v>1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30</v>
      </c>
      <c r="D126" s="9" t="s">
        <v>163</v>
      </c>
      <c r="E126" s="10" t="s">
        <v>355</v>
      </c>
      <c r="F126" s="9" t="s">
        <v>473</v>
      </c>
      <c r="G126" s="10" t="s">
        <v>604</v>
      </c>
      <c r="H126" s="9" t="s">
        <v>670</v>
      </c>
      <c r="I126" s="10" t="s">
        <v>792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30</v>
      </c>
      <c r="D127" s="7" t="s">
        <v>164</v>
      </c>
      <c r="E127" s="8" t="s">
        <v>356</v>
      </c>
      <c r="F127" s="7" t="s">
        <v>471</v>
      </c>
      <c r="G127" s="8" t="s">
        <v>605</v>
      </c>
      <c r="H127" s="7" t="s">
        <v>670</v>
      </c>
      <c r="I127" s="8" t="s">
        <v>793</v>
      </c>
      <c r="J127" s="7">
        <v>1</v>
      </c>
      <c r="K127" s="7"/>
    </row>
    <row r="128" spans="1:11" ht="24.75" thickBot="1" x14ac:dyDescent="0.3">
      <c r="A128" s="1"/>
      <c r="B128" s="11">
        <f t="shared" si="0"/>
        <v>126</v>
      </c>
      <c r="C128" s="13" t="s">
        <v>31</v>
      </c>
      <c r="D128" s="9" t="s">
        <v>165</v>
      </c>
      <c r="E128" s="10" t="s">
        <v>357</v>
      </c>
      <c r="F128" s="9" t="s">
        <v>473</v>
      </c>
      <c r="G128" s="10" t="s">
        <v>606</v>
      </c>
      <c r="H128" s="9" t="s">
        <v>670</v>
      </c>
      <c r="I128" s="10" t="s">
        <v>784</v>
      </c>
      <c r="J128" s="9">
        <v>10</v>
      </c>
      <c r="K128" s="9"/>
    </row>
    <row r="129" spans="1:11" ht="15.75" thickBot="1" x14ac:dyDescent="0.3">
      <c r="A129" s="1"/>
      <c r="B129" s="11">
        <f>ROW(B129) - ROW($B$2)</f>
        <v>127</v>
      </c>
      <c r="C129" s="12" t="s">
        <v>30</v>
      </c>
      <c r="D129" s="7" t="s">
        <v>166</v>
      </c>
      <c r="E129" s="8" t="s">
        <v>358</v>
      </c>
      <c r="F129" s="7" t="s">
        <v>474</v>
      </c>
      <c r="G129" s="8" t="s">
        <v>607</v>
      </c>
      <c r="H129" s="7" t="s">
        <v>670</v>
      </c>
      <c r="I129" s="8" t="s">
        <v>794</v>
      </c>
      <c r="J129" s="7">
        <v>1</v>
      </c>
      <c r="K129" s="7"/>
    </row>
    <row r="130" spans="1:11" ht="15.75" thickBot="1" x14ac:dyDescent="0.3">
      <c r="A130" s="1"/>
      <c r="B130" s="11">
        <f t="shared" si="0"/>
        <v>128</v>
      </c>
      <c r="C130" s="13" t="s">
        <v>30</v>
      </c>
      <c r="D130" s="9" t="s">
        <v>167</v>
      </c>
      <c r="E130" s="10" t="s">
        <v>359</v>
      </c>
      <c r="F130" s="9" t="s">
        <v>471</v>
      </c>
      <c r="G130" s="10" t="s">
        <v>608</v>
      </c>
      <c r="H130" s="9" t="s">
        <v>670</v>
      </c>
      <c r="I130" s="10" t="s">
        <v>795</v>
      </c>
      <c r="J130" s="9">
        <v>1</v>
      </c>
      <c r="K130" s="9"/>
    </row>
    <row r="131" spans="1:11" ht="36.75" thickBot="1" x14ac:dyDescent="0.3">
      <c r="A131" s="1"/>
      <c r="B131" s="11">
        <f>ROW(B131) - ROW($B$2)</f>
        <v>129</v>
      </c>
      <c r="C131" s="12" t="s">
        <v>30</v>
      </c>
      <c r="D131" s="7" t="s">
        <v>168</v>
      </c>
      <c r="E131" s="8" t="s">
        <v>360</v>
      </c>
      <c r="F131" s="7" t="s">
        <v>471</v>
      </c>
      <c r="G131" s="8" t="s">
        <v>609</v>
      </c>
      <c r="H131" s="7" t="s">
        <v>718</v>
      </c>
      <c r="I131" s="8" t="s">
        <v>791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30</v>
      </c>
      <c r="D132" s="9" t="s">
        <v>169</v>
      </c>
      <c r="E132" s="10" t="s">
        <v>361</v>
      </c>
      <c r="F132" s="9" t="s">
        <v>473</v>
      </c>
      <c r="G132" s="10" t="s">
        <v>610</v>
      </c>
      <c r="H132" s="9" t="s">
        <v>670</v>
      </c>
      <c r="I132" s="10" t="s">
        <v>796</v>
      </c>
      <c r="J132" s="9">
        <v>1</v>
      </c>
      <c r="K132" s="9"/>
    </row>
    <row r="133" spans="1:11" ht="15.75" thickBot="1" x14ac:dyDescent="0.3">
      <c r="A133" s="1"/>
      <c r="B133" s="11">
        <f>ROW(B133) - ROW($B$2)</f>
        <v>131</v>
      </c>
      <c r="C133" s="12" t="s">
        <v>30</v>
      </c>
      <c r="D133" s="7" t="s">
        <v>170</v>
      </c>
      <c r="E133" s="8" t="s">
        <v>362</v>
      </c>
      <c r="F133" s="7" t="s">
        <v>475</v>
      </c>
      <c r="G133" s="8" t="s">
        <v>611</v>
      </c>
      <c r="H133" s="7" t="s">
        <v>670</v>
      </c>
      <c r="I133" s="8" t="s">
        <v>784</v>
      </c>
      <c r="J133" s="7">
        <v>1</v>
      </c>
      <c r="K133" s="7"/>
    </row>
    <row r="134" spans="1:11" ht="15.75" thickBot="1" x14ac:dyDescent="0.3">
      <c r="A134" s="1"/>
      <c r="B134" s="11">
        <f t="shared" si="0"/>
        <v>132</v>
      </c>
      <c r="C134" s="12" t="s">
        <v>30</v>
      </c>
      <c r="D134" s="9" t="s">
        <v>171</v>
      </c>
      <c r="E134" s="10" t="s">
        <v>363</v>
      </c>
      <c r="F134" s="9" t="s">
        <v>473</v>
      </c>
      <c r="G134" s="10" t="s">
        <v>612</v>
      </c>
      <c r="H134" s="9" t="s">
        <v>670</v>
      </c>
      <c r="I134" s="10" t="s">
        <v>797</v>
      </c>
      <c r="J134" s="9">
        <v>1</v>
      </c>
      <c r="K134" s="9"/>
    </row>
    <row r="135" spans="1:11" ht="15.75" thickBot="1" x14ac:dyDescent="0.3">
      <c r="A135" s="1"/>
      <c r="B135" s="11">
        <f>ROW(B135) - ROW($B$2)</f>
        <v>133</v>
      </c>
      <c r="C135" s="12" t="s">
        <v>30</v>
      </c>
      <c r="D135" s="7" t="s">
        <v>172</v>
      </c>
      <c r="E135" s="8" t="s">
        <v>364</v>
      </c>
      <c r="F135" s="7" t="s">
        <v>476</v>
      </c>
      <c r="G135" s="8" t="s">
        <v>613</v>
      </c>
      <c r="H135" s="7" t="s">
        <v>670</v>
      </c>
      <c r="I135" s="8" t="s">
        <v>785</v>
      </c>
      <c r="J135" s="7">
        <v>1</v>
      </c>
      <c r="K135" s="7"/>
    </row>
    <row r="136" spans="1:11" ht="15.75" thickBot="1" x14ac:dyDescent="0.3">
      <c r="A136" s="1"/>
      <c r="B136" s="11">
        <f t="shared" si="0"/>
        <v>134</v>
      </c>
      <c r="C136" s="12" t="s">
        <v>30</v>
      </c>
      <c r="D136" s="9" t="s">
        <v>173</v>
      </c>
      <c r="E136" s="10" t="s">
        <v>365</v>
      </c>
      <c r="F136" s="9" t="s">
        <v>473</v>
      </c>
      <c r="G136" s="10" t="s">
        <v>614</v>
      </c>
      <c r="H136" s="9" t="s">
        <v>670</v>
      </c>
      <c r="I136" s="10" t="s">
        <v>798</v>
      </c>
      <c r="J136" s="9">
        <v>1</v>
      </c>
      <c r="K136" s="9"/>
    </row>
    <row r="137" spans="1:11" ht="15.75" thickBot="1" x14ac:dyDescent="0.3">
      <c r="A137" s="1"/>
      <c r="B137" s="11">
        <f>ROW(B137) - ROW($B$2)</f>
        <v>135</v>
      </c>
      <c r="C137" s="12" t="s">
        <v>30</v>
      </c>
      <c r="D137" s="7" t="s">
        <v>174</v>
      </c>
      <c r="E137" s="8" t="s">
        <v>366</v>
      </c>
      <c r="F137" s="7" t="s">
        <v>477</v>
      </c>
      <c r="G137" s="8" t="s">
        <v>615</v>
      </c>
      <c r="H137" s="7" t="s">
        <v>670</v>
      </c>
      <c r="I137" s="8" t="s">
        <v>786</v>
      </c>
      <c r="J137" s="7">
        <v>1</v>
      </c>
      <c r="K137" s="7"/>
    </row>
    <row r="138" spans="1:11" ht="15.75" thickBot="1" x14ac:dyDescent="0.3">
      <c r="A138" s="1"/>
      <c r="B138" s="11">
        <f t="shared" si="0"/>
        <v>136</v>
      </c>
      <c r="C138" s="12" t="s">
        <v>30</v>
      </c>
      <c r="D138" s="9" t="s">
        <v>175</v>
      </c>
      <c r="E138" s="10" t="s">
        <v>367</v>
      </c>
      <c r="F138" s="9" t="s">
        <v>471</v>
      </c>
      <c r="G138" s="10" t="s">
        <v>616</v>
      </c>
      <c r="H138" s="9" t="s">
        <v>670</v>
      </c>
      <c r="I138" s="10" t="s">
        <v>799</v>
      </c>
      <c r="J138" s="9">
        <v>1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30</v>
      </c>
      <c r="D139" s="7" t="s">
        <v>176</v>
      </c>
      <c r="E139" s="8" t="s">
        <v>368</v>
      </c>
      <c r="F139" s="7" t="s">
        <v>471</v>
      </c>
      <c r="G139" s="8" t="s">
        <v>617</v>
      </c>
      <c r="H139" s="7" t="s">
        <v>670</v>
      </c>
      <c r="I139" s="8" t="s">
        <v>800</v>
      </c>
      <c r="J139" s="7">
        <v>2</v>
      </c>
      <c r="K139" s="7"/>
    </row>
    <row r="140" spans="1:11" ht="24.75" thickBot="1" x14ac:dyDescent="0.3">
      <c r="A140" s="1"/>
      <c r="B140" s="11">
        <f t="shared" si="0"/>
        <v>138</v>
      </c>
      <c r="C140" s="13" t="s">
        <v>30</v>
      </c>
      <c r="D140" s="9" t="s">
        <v>177</v>
      </c>
      <c r="E140" s="10" t="s">
        <v>369</v>
      </c>
      <c r="F140" s="9" t="s">
        <v>473</v>
      </c>
      <c r="G140" s="10" t="s">
        <v>618</v>
      </c>
      <c r="H140" s="9" t="s">
        <v>670</v>
      </c>
      <c r="I140" s="10" t="s">
        <v>779</v>
      </c>
      <c r="J140" s="9">
        <v>13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30</v>
      </c>
      <c r="D141" s="7" t="s">
        <v>178</v>
      </c>
      <c r="E141" s="8" t="s">
        <v>370</v>
      </c>
      <c r="F141" s="7" t="s">
        <v>471</v>
      </c>
      <c r="G141" s="8" t="s">
        <v>619</v>
      </c>
      <c r="H141" s="7" t="s">
        <v>719</v>
      </c>
      <c r="I141" s="8" t="s">
        <v>777</v>
      </c>
      <c r="J141" s="7">
        <v>1</v>
      </c>
      <c r="K141" s="7"/>
    </row>
    <row r="142" spans="1:11" ht="15.75" thickBot="1" x14ac:dyDescent="0.3">
      <c r="A142" s="1"/>
      <c r="B142" s="11">
        <f t="shared" si="0"/>
        <v>140</v>
      </c>
      <c r="C142" s="13" t="s">
        <v>30</v>
      </c>
      <c r="D142" s="9" t="s">
        <v>179</v>
      </c>
      <c r="E142" s="10" t="s">
        <v>371</v>
      </c>
      <c r="F142" s="9" t="s">
        <v>471</v>
      </c>
      <c r="G142" s="10" t="s">
        <v>620</v>
      </c>
      <c r="H142" s="9" t="s">
        <v>720</v>
      </c>
      <c r="I142" s="10" t="s">
        <v>801</v>
      </c>
      <c r="J142" s="9">
        <v>2</v>
      </c>
      <c r="K142" s="9"/>
    </row>
    <row r="143" spans="1:11" ht="15.75" thickBot="1" x14ac:dyDescent="0.3">
      <c r="A143" s="1"/>
      <c r="B143" s="11">
        <f>ROW(B143) - ROW($B$2)</f>
        <v>141</v>
      </c>
      <c r="C143" s="12" t="s">
        <v>30</v>
      </c>
      <c r="D143" s="7" t="s">
        <v>180</v>
      </c>
      <c r="E143" s="8" t="s">
        <v>372</v>
      </c>
      <c r="F143" s="7" t="s">
        <v>473</v>
      </c>
      <c r="G143" s="8" t="s">
        <v>621</v>
      </c>
      <c r="H143" s="7" t="s">
        <v>670</v>
      </c>
      <c r="I143" s="8" t="s">
        <v>786</v>
      </c>
      <c r="J143" s="7">
        <v>2</v>
      </c>
      <c r="K143" s="7"/>
    </row>
    <row r="144" spans="1:11" ht="15.75" thickBot="1" x14ac:dyDescent="0.3">
      <c r="A144" s="1"/>
      <c r="B144" s="11">
        <f t="shared" si="0"/>
        <v>142</v>
      </c>
      <c r="C144" s="13" t="s">
        <v>31</v>
      </c>
      <c r="D144" s="18" t="s">
        <v>181</v>
      </c>
      <c r="E144" s="19" t="s">
        <v>373</v>
      </c>
      <c r="F144" s="18" t="s">
        <v>477</v>
      </c>
      <c r="G144" s="19" t="s">
        <v>622</v>
      </c>
      <c r="H144" s="18" t="s">
        <v>670</v>
      </c>
      <c r="I144" s="19" t="s">
        <v>783</v>
      </c>
      <c r="J144" s="18">
        <v>1</v>
      </c>
      <c r="K144" s="20" t="s">
        <v>823</v>
      </c>
    </row>
    <row r="145" spans="1:11" ht="48.75" thickBot="1" x14ac:dyDescent="0.3">
      <c r="A145" s="1"/>
      <c r="B145" s="11">
        <f>ROW(B145) - ROW($B$2)</f>
        <v>143</v>
      </c>
      <c r="C145" s="12" t="s">
        <v>30</v>
      </c>
      <c r="D145" s="7" t="s">
        <v>182</v>
      </c>
      <c r="E145" s="8" t="s">
        <v>374</v>
      </c>
      <c r="F145" s="7" t="s">
        <v>478</v>
      </c>
      <c r="G145" s="8" t="s">
        <v>623</v>
      </c>
      <c r="H145" s="7" t="s">
        <v>721</v>
      </c>
      <c r="I145" s="8" t="s">
        <v>802</v>
      </c>
      <c r="J145" s="7">
        <v>1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31</v>
      </c>
      <c r="D146" s="9" t="s">
        <v>183</v>
      </c>
      <c r="E146" s="10" t="s">
        <v>373</v>
      </c>
      <c r="F146" s="9" t="s">
        <v>477</v>
      </c>
      <c r="G146" s="10" t="s">
        <v>622</v>
      </c>
      <c r="H146" s="9" t="s">
        <v>670</v>
      </c>
      <c r="I146" s="10" t="s">
        <v>784</v>
      </c>
      <c r="J146" s="9">
        <v>1</v>
      </c>
      <c r="K146" s="9"/>
    </row>
    <row r="147" spans="1:11" ht="15.75" thickBot="1" x14ac:dyDescent="0.3">
      <c r="A147" s="1"/>
      <c r="B147" s="11">
        <f>ROW(B147) - ROW($B$2)</f>
        <v>145</v>
      </c>
      <c r="C147" s="12" t="s">
        <v>30</v>
      </c>
      <c r="D147" s="7" t="s">
        <v>184</v>
      </c>
      <c r="E147" s="8" t="s">
        <v>375</v>
      </c>
      <c r="F147" s="7" t="s">
        <v>471</v>
      </c>
      <c r="G147" s="8" t="s">
        <v>624</v>
      </c>
      <c r="H147" s="7" t="s">
        <v>670</v>
      </c>
      <c r="I147" s="8" t="s">
        <v>788</v>
      </c>
      <c r="J147" s="7">
        <v>1</v>
      </c>
      <c r="K147" s="7"/>
    </row>
    <row r="148" spans="1:11" ht="15.75" thickBot="1" x14ac:dyDescent="0.3">
      <c r="A148" s="1"/>
      <c r="B148" s="11">
        <f t="shared" si="0"/>
        <v>146</v>
      </c>
      <c r="C148" s="13" t="s">
        <v>30</v>
      </c>
      <c r="D148" s="9" t="s">
        <v>185</v>
      </c>
      <c r="E148" s="10" t="s">
        <v>376</v>
      </c>
      <c r="F148" s="9" t="s">
        <v>471</v>
      </c>
      <c r="G148" s="10" t="s">
        <v>625</v>
      </c>
      <c r="H148" s="9" t="s">
        <v>670</v>
      </c>
      <c r="I148" s="10" t="s">
        <v>779</v>
      </c>
      <c r="J148" s="9">
        <v>2</v>
      </c>
      <c r="K148" s="9"/>
    </row>
    <row r="149" spans="1:11" ht="15.75" thickBot="1" x14ac:dyDescent="0.3">
      <c r="A149" s="1"/>
      <c r="B149" s="11">
        <f>ROW(B149) - ROW($B$2)</f>
        <v>147</v>
      </c>
      <c r="C149" s="12" t="s">
        <v>30</v>
      </c>
      <c r="D149" s="7" t="s">
        <v>186</v>
      </c>
      <c r="E149" s="8" t="s">
        <v>377</v>
      </c>
      <c r="F149" s="7" t="s">
        <v>471</v>
      </c>
      <c r="G149" s="8" t="s">
        <v>626</v>
      </c>
      <c r="H149" s="7" t="s">
        <v>670</v>
      </c>
      <c r="I149" s="8" t="s">
        <v>803</v>
      </c>
      <c r="J149" s="7">
        <v>2</v>
      </c>
      <c r="K149" s="7"/>
    </row>
    <row r="150" spans="1:11" ht="15.75" thickBot="1" x14ac:dyDescent="0.3">
      <c r="A150" s="1"/>
      <c r="B150" s="11">
        <f t="shared" si="0"/>
        <v>148</v>
      </c>
      <c r="C150" s="12" t="s">
        <v>30</v>
      </c>
      <c r="D150" s="9" t="s">
        <v>187</v>
      </c>
      <c r="E150" s="10" t="s">
        <v>378</v>
      </c>
      <c r="F150" s="9" t="s">
        <v>476</v>
      </c>
      <c r="G150" s="10" t="s">
        <v>627</v>
      </c>
      <c r="H150" s="9" t="s">
        <v>670</v>
      </c>
      <c r="I150" s="10" t="s">
        <v>800</v>
      </c>
      <c r="J150" s="9">
        <v>1</v>
      </c>
      <c r="K150" s="9"/>
    </row>
    <row r="151" spans="1:11" ht="15.75" thickBot="1" x14ac:dyDescent="0.3">
      <c r="A151" s="1"/>
      <c r="B151" s="11">
        <f>ROW(B151) - ROW($B$2)</f>
        <v>149</v>
      </c>
      <c r="C151" s="12" t="s">
        <v>30</v>
      </c>
      <c r="D151" s="18" t="s">
        <v>188</v>
      </c>
      <c r="E151" s="19" t="s">
        <v>376</v>
      </c>
      <c r="F151" s="18" t="s">
        <v>471</v>
      </c>
      <c r="G151" s="19" t="s">
        <v>625</v>
      </c>
      <c r="H151" s="18" t="s">
        <v>670</v>
      </c>
      <c r="I151" s="19" t="s">
        <v>783</v>
      </c>
      <c r="J151" s="18">
        <v>2</v>
      </c>
      <c r="K151" s="20" t="s">
        <v>823</v>
      </c>
    </row>
    <row r="152" spans="1:11" ht="36.75" thickBot="1" x14ac:dyDescent="0.3">
      <c r="A152" s="1"/>
      <c r="B152" s="11">
        <f t="shared" si="0"/>
        <v>150</v>
      </c>
      <c r="C152" s="13" t="s">
        <v>30</v>
      </c>
      <c r="D152" s="9" t="s">
        <v>189</v>
      </c>
      <c r="E152" s="10" t="s">
        <v>379</v>
      </c>
      <c r="F152" s="9" t="s">
        <v>478</v>
      </c>
      <c r="G152" s="10" t="s">
        <v>628</v>
      </c>
      <c r="H152" s="9" t="s">
        <v>722</v>
      </c>
      <c r="I152" s="10" t="s">
        <v>784</v>
      </c>
      <c r="J152" s="9">
        <v>1</v>
      </c>
      <c r="K152" s="9"/>
    </row>
    <row r="153" spans="1:11" ht="15.75" thickBot="1" x14ac:dyDescent="0.3">
      <c r="A153" s="1"/>
      <c r="B153" s="11">
        <f>ROW(B153) - ROW($B$2)</f>
        <v>151</v>
      </c>
      <c r="C153" s="12" t="s">
        <v>30</v>
      </c>
      <c r="D153" s="7" t="s">
        <v>190</v>
      </c>
      <c r="E153" s="8" t="s">
        <v>340</v>
      </c>
      <c r="F153" s="7" t="s">
        <v>471</v>
      </c>
      <c r="G153" s="8" t="s">
        <v>629</v>
      </c>
      <c r="H153" s="7" t="s">
        <v>723</v>
      </c>
      <c r="I153" s="8" t="s">
        <v>779</v>
      </c>
      <c r="J153" s="7">
        <v>1</v>
      </c>
      <c r="K153" s="7"/>
    </row>
    <row r="154" spans="1:11" ht="15.75" thickBot="1" x14ac:dyDescent="0.3">
      <c r="A154" s="1"/>
      <c r="B154" s="11">
        <f t="shared" si="0"/>
        <v>152</v>
      </c>
      <c r="C154" s="13" t="s">
        <v>30</v>
      </c>
      <c r="D154" s="9" t="s">
        <v>191</v>
      </c>
      <c r="E154" s="10" t="s">
        <v>380</v>
      </c>
      <c r="F154" s="9" t="s">
        <v>476</v>
      </c>
      <c r="G154" s="10" t="s">
        <v>630</v>
      </c>
      <c r="H154" s="9" t="s">
        <v>670</v>
      </c>
      <c r="I154" s="10" t="s">
        <v>779</v>
      </c>
      <c r="J154" s="9">
        <v>5</v>
      </c>
      <c r="K154" s="9"/>
    </row>
    <row r="155" spans="1:11" ht="15.75" thickBot="1" x14ac:dyDescent="0.3">
      <c r="A155" s="1"/>
      <c r="B155" s="11">
        <f>ROW(B155) - ROW($B$2)</f>
        <v>153</v>
      </c>
      <c r="C155" s="12" t="s">
        <v>30</v>
      </c>
      <c r="D155" s="7" t="s">
        <v>192</v>
      </c>
      <c r="E155" s="8" t="s">
        <v>381</v>
      </c>
      <c r="F155" s="7" t="s">
        <v>471</v>
      </c>
      <c r="G155" s="8" t="s">
        <v>631</v>
      </c>
      <c r="H155" s="7" t="s">
        <v>670</v>
      </c>
      <c r="I155" s="8" t="s">
        <v>804</v>
      </c>
      <c r="J155" s="7">
        <v>2</v>
      </c>
      <c r="K155" s="7"/>
    </row>
    <row r="156" spans="1:11" ht="15.75" thickBot="1" x14ac:dyDescent="0.3">
      <c r="A156" s="1"/>
      <c r="B156" s="11">
        <f t="shared" si="0"/>
        <v>154</v>
      </c>
      <c r="C156" s="13" t="s">
        <v>30</v>
      </c>
      <c r="D156" s="9" t="s">
        <v>193</v>
      </c>
      <c r="E156" s="10" t="s">
        <v>382</v>
      </c>
      <c r="F156" s="9" t="s">
        <v>471</v>
      </c>
      <c r="G156" s="10" t="s">
        <v>632</v>
      </c>
      <c r="H156" s="9" t="s">
        <v>720</v>
      </c>
      <c r="I156" s="10" t="s">
        <v>805</v>
      </c>
      <c r="J156" s="9">
        <v>1</v>
      </c>
      <c r="K156" s="9"/>
    </row>
    <row r="157" spans="1:11" ht="15.75" thickBot="1" x14ac:dyDescent="0.3">
      <c r="A157" s="1"/>
      <c r="B157" s="11">
        <f>ROW(B157) - ROW($B$2)</f>
        <v>155</v>
      </c>
      <c r="C157" s="12" t="s">
        <v>30</v>
      </c>
      <c r="D157" s="7" t="s">
        <v>194</v>
      </c>
      <c r="E157" s="8" t="s">
        <v>383</v>
      </c>
      <c r="F157" s="7" t="s">
        <v>471</v>
      </c>
      <c r="G157" s="8" t="s">
        <v>633</v>
      </c>
      <c r="H157" s="7" t="s">
        <v>670</v>
      </c>
      <c r="I157" s="8" t="s">
        <v>806</v>
      </c>
      <c r="J157" s="7">
        <v>1</v>
      </c>
      <c r="K157" s="7"/>
    </row>
    <row r="158" spans="1:11" ht="15.75" thickBot="1" x14ac:dyDescent="0.3">
      <c r="A158" s="1"/>
      <c r="B158" s="11">
        <f t="shared" si="0"/>
        <v>156</v>
      </c>
      <c r="C158" s="13" t="s">
        <v>30</v>
      </c>
      <c r="D158" s="9" t="s">
        <v>195</v>
      </c>
      <c r="E158" s="10" t="s">
        <v>384</v>
      </c>
      <c r="F158" s="9" t="s">
        <v>471</v>
      </c>
      <c r="G158" s="10" t="s">
        <v>634</v>
      </c>
      <c r="H158" s="9" t="s">
        <v>670</v>
      </c>
      <c r="I158" s="10" t="s">
        <v>791</v>
      </c>
      <c r="J158" s="9">
        <v>1</v>
      </c>
      <c r="K158" s="9"/>
    </row>
    <row r="159" spans="1:11" ht="15.75" thickBot="1" x14ac:dyDescent="0.3">
      <c r="A159" s="1"/>
      <c r="B159" s="11">
        <f>ROW(B159) - ROW($B$2)</f>
        <v>157</v>
      </c>
      <c r="C159" s="12" t="s">
        <v>30</v>
      </c>
      <c r="D159" s="7" t="s">
        <v>196</v>
      </c>
      <c r="E159" s="8" t="s">
        <v>385</v>
      </c>
      <c r="F159" s="7" t="s">
        <v>471</v>
      </c>
      <c r="G159" s="9" t="s">
        <v>819</v>
      </c>
      <c r="H159" s="9" t="s">
        <v>820</v>
      </c>
      <c r="I159" s="8" t="s">
        <v>807</v>
      </c>
      <c r="J159" s="7">
        <v>1</v>
      </c>
      <c r="K159" s="7"/>
    </row>
    <row r="160" spans="1:11" ht="15.75" thickBot="1" x14ac:dyDescent="0.3">
      <c r="A160" s="1"/>
      <c r="B160" s="11">
        <f t="shared" si="0"/>
        <v>158</v>
      </c>
      <c r="C160" s="13" t="s">
        <v>30</v>
      </c>
      <c r="D160" s="9" t="s">
        <v>197</v>
      </c>
      <c r="E160" s="10" t="s">
        <v>386</v>
      </c>
      <c r="F160" s="9" t="s">
        <v>471</v>
      </c>
      <c r="G160" s="10" t="s">
        <v>635</v>
      </c>
      <c r="H160" s="9" t="s">
        <v>670</v>
      </c>
      <c r="I160" s="10" t="s">
        <v>785</v>
      </c>
      <c r="J160" s="9">
        <v>4</v>
      </c>
      <c r="K160" s="9"/>
    </row>
    <row r="161" spans="1:11" ht="15.75" thickBot="1" x14ac:dyDescent="0.3">
      <c r="A161" s="1"/>
      <c r="B161" s="11">
        <f>ROW(B161) - ROW($B$2)</f>
        <v>159</v>
      </c>
      <c r="C161" s="12" t="s">
        <v>30</v>
      </c>
      <c r="D161" s="7" t="s">
        <v>198</v>
      </c>
      <c r="E161" s="8" t="s">
        <v>387</v>
      </c>
      <c r="F161" s="7" t="s">
        <v>471</v>
      </c>
      <c r="G161" s="8" t="s">
        <v>636</v>
      </c>
      <c r="H161" s="7" t="s">
        <v>670</v>
      </c>
      <c r="I161" s="8" t="s">
        <v>808</v>
      </c>
      <c r="J161" s="7">
        <v>1</v>
      </c>
      <c r="K161" s="7"/>
    </row>
    <row r="162" spans="1:11" ht="15.75" thickBot="1" x14ac:dyDescent="0.3">
      <c r="A162" s="1"/>
      <c r="B162" s="11">
        <f t="shared" si="0"/>
        <v>160</v>
      </c>
      <c r="C162" s="13" t="s">
        <v>30</v>
      </c>
      <c r="D162" s="9" t="s">
        <v>199</v>
      </c>
      <c r="E162" s="10" t="s">
        <v>388</v>
      </c>
      <c r="F162" s="9" t="s">
        <v>473</v>
      </c>
      <c r="G162" s="10" t="s">
        <v>637</v>
      </c>
      <c r="H162" s="9" t="s">
        <v>670</v>
      </c>
      <c r="I162" s="10" t="s">
        <v>804</v>
      </c>
      <c r="J162" s="9">
        <v>1</v>
      </c>
      <c r="K162" s="9"/>
    </row>
    <row r="163" spans="1:11" ht="15.75" thickBot="1" x14ac:dyDescent="0.3">
      <c r="A163" s="1"/>
      <c r="B163" s="11">
        <f>ROW(B163) - ROW($B$2)</f>
        <v>161</v>
      </c>
      <c r="C163" s="12" t="s">
        <v>30</v>
      </c>
      <c r="D163" s="7" t="s">
        <v>200</v>
      </c>
      <c r="E163" s="8" t="s">
        <v>389</v>
      </c>
      <c r="F163" s="7" t="s">
        <v>473</v>
      </c>
      <c r="G163" s="8" t="s">
        <v>638</v>
      </c>
      <c r="H163" s="7" t="s">
        <v>670</v>
      </c>
      <c r="I163" s="8" t="s">
        <v>809</v>
      </c>
      <c r="J163" s="7">
        <v>5</v>
      </c>
      <c r="K163" s="7"/>
    </row>
    <row r="164" spans="1:11" ht="15.75" thickBot="1" x14ac:dyDescent="0.3">
      <c r="A164" s="1"/>
      <c r="B164" s="11">
        <f t="shared" si="0"/>
        <v>162</v>
      </c>
      <c r="C164" s="13" t="s">
        <v>30</v>
      </c>
      <c r="D164" s="9" t="s">
        <v>201</v>
      </c>
      <c r="E164" s="10" t="s">
        <v>390</v>
      </c>
      <c r="F164" s="9" t="s">
        <v>471</v>
      </c>
      <c r="G164" s="10" t="s">
        <v>639</v>
      </c>
      <c r="H164" s="9" t="s">
        <v>670</v>
      </c>
      <c r="I164" s="10" t="s">
        <v>808</v>
      </c>
      <c r="J164" s="9">
        <v>2</v>
      </c>
      <c r="K164" s="9"/>
    </row>
    <row r="165" spans="1:11" ht="15.75" thickBot="1" x14ac:dyDescent="0.3">
      <c r="A165" s="1"/>
      <c r="B165" s="11">
        <f>ROW(B165) - ROW($B$2)</f>
        <v>163</v>
      </c>
      <c r="C165" s="12" t="s">
        <v>30</v>
      </c>
      <c r="D165" s="7" t="s">
        <v>202</v>
      </c>
      <c r="E165" s="8" t="s">
        <v>391</v>
      </c>
      <c r="F165" s="7" t="s">
        <v>473</v>
      </c>
      <c r="G165" s="8" t="s">
        <v>640</v>
      </c>
      <c r="H165" s="7" t="s">
        <v>670</v>
      </c>
      <c r="I165" s="8" t="s">
        <v>810</v>
      </c>
      <c r="J165" s="7">
        <v>1</v>
      </c>
      <c r="K165" s="7"/>
    </row>
    <row r="166" spans="1:11" ht="15.75" thickBot="1" x14ac:dyDescent="0.3">
      <c r="A166" s="1"/>
      <c r="B166" s="11">
        <f t="shared" si="0"/>
        <v>164</v>
      </c>
      <c r="C166" s="13" t="s">
        <v>30</v>
      </c>
      <c r="D166" s="9" t="s">
        <v>203</v>
      </c>
      <c r="E166" s="10" t="s">
        <v>392</v>
      </c>
      <c r="F166" s="9" t="s">
        <v>473</v>
      </c>
      <c r="G166" s="7" t="s">
        <v>821</v>
      </c>
      <c r="H166" s="9" t="s">
        <v>670</v>
      </c>
      <c r="I166" s="10" t="s">
        <v>811</v>
      </c>
      <c r="J166" s="9">
        <v>1</v>
      </c>
      <c r="K166" s="9"/>
    </row>
    <row r="167" spans="1:11" ht="15.75" thickBot="1" x14ac:dyDescent="0.3">
      <c r="A167" s="1"/>
      <c r="B167" s="11">
        <f>ROW(B167) - ROW($B$2)</f>
        <v>165</v>
      </c>
      <c r="C167" s="12" t="s">
        <v>32</v>
      </c>
      <c r="D167" s="7" t="s">
        <v>204</v>
      </c>
      <c r="E167" s="8" t="s">
        <v>393</v>
      </c>
      <c r="F167" s="7" t="s">
        <v>818</v>
      </c>
      <c r="G167" s="8" t="s">
        <v>641</v>
      </c>
      <c r="H167" s="7" t="s">
        <v>724</v>
      </c>
      <c r="I167" s="8" t="s">
        <v>822</v>
      </c>
      <c r="J167" s="7">
        <v>1</v>
      </c>
      <c r="K167" s="7"/>
    </row>
    <row r="168" spans="1:11" ht="48.75" thickBot="1" x14ac:dyDescent="0.3">
      <c r="A168" s="1"/>
      <c r="B168" s="11">
        <f t="shared" si="0"/>
        <v>166</v>
      </c>
      <c r="C168" s="13" t="s">
        <v>33</v>
      </c>
      <c r="D168" s="9" t="s">
        <v>205</v>
      </c>
      <c r="E168" s="10" t="s">
        <v>394</v>
      </c>
      <c r="F168" s="7" t="s">
        <v>818</v>
      </c>
      <c r="G168" s="10" t="s">
        <v>479</v>
      </c>
      <c r="H168" s="9" t="s">
        <v>725</v>
      </c>
      <c r="I168" s="10"/>
      <c r="J168" s="9">
        <v>1</v>
      </c>
      <c r="K168" s="9"/>
    </row>
    <row r="169" spans="1:11" ht="15.75" thickBot="1" x14ac:dyDescent="0.3">
      <c r="A169" s="1"/>
      <c r="B169" s="11">
        <f>ROW(B169) - ROW($B$2)</f>
        <v>167</v>
      </c>
      <c r="C169" s="12" t="s">
        <v>34</v>
      </c>
      <c r="D169" s="7" t="s">
        <v>206</v>
      </c>
      <c r="E169" s="8" t="s">
        <v>395</v>
      </c>
      <c r="F169" s="7" t="s">
        <v>480</v>
      </c>
      <c r="G169" s="8" t="s">
        <v>642</v>
      </c>
      <c r="H169" s="7" t="s">
        <v>726</v>
      </c>
      <c r="I169" s="8" t="s">
        <v>822</v>
      </c>
      <c r="J169" s="7">
        <v>2</v>
      </c>
      <c r="K169" s="7"/>
    </row>
    <row r="170" spans="1:11" ht="15.75" thickBot="1" x14ac:dyDescent="0.3">
      <c r="A170" s="1"/>
      <c r="B170" s="11">
        <f t="shared" si="0"/>
        <v>168</v>
      </c>
      <c r="C170" s="13" t="s">
        <v>3</v>
      </c>
      <c r="D170" s="9" t="s">
        <v>207</v>
      </c>
      <c r="E170" s="10" t="s">
        <v>396</v>
      </c>
      <c r="F170" s="9" t="s">
        <v>481</v>
      </c>
      <c r="G170" s="10" t="s">
        <v>643</v>
      </c>
      <c r="H170" s="9" t="s">
        <v>727</v>
      </c>
      <c r="I170" s="8" t="s">
        <v>822</v>
      </c>
      <c r="J170" s="9">
        <v>1</v>
      </c>
      <c r="K170" s="9"/>
    </row>
    <row r="171" spans="1:11" ht="15.75" thickBot="1" x14ac:dyDescent="0.3">
      <c r="A171" s="1"/>
      <c r="B171" s="11">
        <f>ROW(B171) - ROW($B$2)</f>
        <v>169</v>
      </c>
      <c r="C171" s="12" t="s">
        <v>3</v>
      </c>
      <c r="D171" s="7" t="s">
        <v>208</v>
      </c>
      <c r="E171" s="8" t="s">
        <v>397</v>
      </c>
      <c r="F171" s="7" t="s">
        <v>482</v>
      </c>
      <c r="G171" s="8" t="s">
        <v>644</v>
      </c>
      <c r="H171" s="7" t="s">
        <v>727</v>
      </c>
      <c r="I171" s="8" t="s">
        <v>822</v>
      </c>
      <c r="J171" s="7">
        <v>1</v>
      </c>
      <c r="K171" s="7"/>
    </row>
    <row r="172" spans="1:11" ht="15.75" thickBot="1" x14ac:dyDescent="0.3">
      <c r="A172" s="1"/>
      <c r="B172" s="11">
        <f t="shared" si="0"/>
        <v>170</v>
      </c>
      <c r="C172" s="13" t="s">
        <v>3</v>
      </c>
      <c r="D172" s="9" t="s">
        <v>209</v>
      </c>
      <c r="E172" s="10" t="s">
        <v>398</v>
      </c>
      <c r="F172" s="9" t="s">
        <v>483</v>
      </c>
      <c r="G172" s="10" t="s">
        <v>645</v>
      </c>
      <c r="H172" s="9" t="s">
        <v>728</v>
      </c>
      <c r="I172" s="8" t="s">
        <v>822</v>
      </c>
      <c r="J172" s="9">
        <v>1</v>
      </c>
      <c r="K172" s="9"/>
    </row>
    <row r="173" spans="1:11" ht="15.75" thickBot="1" x14ac:dyDescent="0.3">
      <c r="A173" s="1"/>
      <c r="B173" s="11">
        <f>ROW(B173) - ROW($B$2)</f>
        <v>171</v>
      </c>
      <c r="C173" s="12" t="s">
        <v>3</v>
      </c>
      <c r="D173" s="7" t="s">
        <v>210</v>
      </c>
      <c r="E173" s="8" t="s">
        <v>399</v>
      </c>
      <c r="F173" s="7" t="s">
        <v>481</v>
      </c>
      <c r="G173" s="8" t="s">
        <v>646</v>
      </c>
      <c r="H173" s="7" t="s">
        <v>710</v>
      </c>
      <c r="I173" s="8" t="s">
        <v>822</v>
      </c>
      <c r="J173" s="7">
        <v>1</v>
      </c>
      <c r="K173" s="7"/>
    </row>
    <row r="174" spans="1:11" ht="24.75" thickBot="1" x14ac:dyDescent="0.3">
      <c r="A174" s="1"/>
      <c r="B174" s="11">
        <f t="shared" si="0"/>
        <v>172</v>
      </c>
      <c r="C174" s="13" t="s">
        <v>3</v>
      </c>
      <c r="D174" s="9" t="s">
        <v>211</v>
      </c>
      <c r="E174" s="10" t="s">
        <v>400</v>
      </c>
      <c r="F174" s="9" t="s">
        <v>484</v>
      </c>
      <c r="G174" s="10" t="s">
        <v>647</v>
      </c>
      <c r="H174" s="9" t="s">
        <v>729</v>
      </c>
      <c r="I174" s="8" t="s">
        <v>822</v>
      </c>
      <c r="J174" s="9">
        <v>1</v>
      </c>
      <c r="K174" s="9"/>
    </row>
    <row r="175" spans="1:11" ht="15.75" thickBot="1" x14ac:dyDescent="0.3">
      <c r="A175" s="1"/>
      <c r="B175" s="11">
        <f>ROW(B175) - ROW($B$2)</f>
        <v>173</v>
      </c>
      <c r="C175" s="12" t="s">
        <v>3</v>
      </c>
      <c r="D175" s="7" t="s">
        <v>212</v>
      </c>
      <c r="E175" s="8" t="s">
        <v>401</v>
      </c>
      <c r="F175" s="7" t="s">
        <v>485</v>
      </c>
      <c r="G175" s="8" t="s">
        <v>648</v>
      </c>
      <c r="H175" s="7" t="s">
        <v>727</v>
      </c>
      <c r="I175" s="8" t="s">
        <v>822</v>
      </c>
      <c r="J175" s="7">
        <v>3</v>
      </c>
      <c r="K175" s="7"/>
    </row>
    <row r="176" spans="1:11" ht="36.75" thickBot="1" x14ac:dyDescent="0.3">
      <c r="A176" s="1"/>
      <c r="B176" s="11">
        <f t="shared" si="0"/>
        <v>174</v>
      </c>
      <c r="C176" s="12" t="s">
        <v>3</v>
      </c>
      <c r="D176" s="9" t="s">
        <v>213</v>
      </c>
      <c r="E176" s="10" t="s">
        <v>402</v>
      </c>
      <c r="F176" s="9" t="s">
        <v>486</v>
      </c>
      <c r="G176" s="10" t="s">
        <v>649</v>
      </c>
      <c r="H176" s="9" t="s">
        <v>730</v>
      </c>
      <c r="I176" s="8" t="s">
        <v>822</v>
      </c>
      <c r="J176" s="9">
        <v>1</v>
      </c>
      <c r="K176" s="9"/>
    </row>
    <row r="177" spans="1:11" ht="15.75" thickBot="1" x14ac:dyDescent="0.3">
      <c r="A177" s="1"/>
      <c r="B177" s="11">
        <f>ROW(B177) - ROW($B$2)</f>
        <v>175</v>
      </c>
      <c r="C177" s="12" t="s">
        <v>3</v>
      </c>
      <c r="D177" s="7" t="s">
        <v>214</v>
      </c>
      <c r="E177" s="8" t="s">
        <v>403</v>
      </c>
      <c r="F177" s="7" t="s">
        <v>487</v>
      </c>
      <c r="G177" s="8" t="s">
        <v>650</v>
      </c>
      <c r="H177" s="7" t="s">
        <v>727</v>
      </c>
      <c r="I177" s="8" t="s">
        <v>822</v>
      </c>
      <c r="J177" s="7">
        <v>1</v>
      </c>
      <c r="K177" s="7"/>
    </row>
    <row r="178" spans="1:11" ht="24.75" thickBot="1" x14ac:dyDescent="0.3">
      <c r="A178" s="1"/>
      <c r="B178" s="11">
        <f t="shared" si="0"/>
        <v>176</v>
      </c>
      <c r="C178" s="13" t="s">
        <v>3</v>
      </c>
      <c r="D178" s="9" t="s">
        <v>215</v>
      </c>
      <c r="E178" s="10" t="s">
        <v>404</v>
      </c>
      <c r="F178" s="9" t="s">
        <v>488</v>
      </c>
      <c r="G178" s="10" t="s">
        <v>651</v>
      </c>
      <c r="H178" s="9" t="s">
        <v>727</v>
      </c>
      <c r="I178" s="8" t="s">
        <v>822</v>
      </c>
      <c r="J178" s="9">
        <v>1</v>
      </c>
      <c r="K178" s="9"/>
    </row>
    <row r="179" spans="1:11" ht="15.75" thickBot="1" x14ac:dyDescent="0.3">
      <c r="A179" s="1"/>
      <c r="B179" s="11">
        <f>ROW(B179) - ROW($B$2)</f>
        <v>177</v>
      </c>
      <c r="C179" s="12" t="s">
        <v>3</v>
      </c>
      <c r="D179" s="7" t="s">
        <v>216</v>
      </c>
      <c r="E179" s="8" t="s">
        <v>405</v>
      </c>
      <c r="F179" s="7" t="s">
        <v>489</v>
      </c>
      <c r="G179" s="8" t="s">
        <v>652</v>
      </c>
      <c r="H179" s="7" t="s">
        <v>731</v>
      </c>
      <c r="I179" s="8" t="s">
        <v>822</v>
      </c>
      <c r="J179" s="7">
        <v>1</v>
      </c>
      <c r="K179" s="7"/>
    </row>
    <row r="180" spans="1:11" ht="15.75" thickBot="1" x14ac:dyDescent="0.3">
      <c r="A180" s="1"/>
      <c r="B180" s="11">
        <f t="shared" si="0"/>
        <v>178</v>
      </c>
      <c r="C180" s="13" t="s">
        <v>3</v>
      </c>
      <c r="D180" s="9" t="s">
        <v>217</v>
      </c>
      <c r="E180" s="10" t="s">
        <v>406</v>
      </c>
      <c r="F180" s="9" t="s">
        <v>485</v>
      </c>
      <c r="G180" s="10" t="s">
        <v>653</v>
      </c>
      <c r="H180" s="9" t="s">
        <v>727</v>
      </c>
      <c r="I180" s="8" t="s">
        <v>822</v>
      </c>
      <c r="J180" s="9">
        <v>2</v>
      </c>
      <c r="K180" s="9"/>
    </row>
    <row r="181" spans="1:11" ht="24.75" thickBot="1" x14ac:dyDescent="0.3">
      <c r="A181" s="1"/>
      <c r="B181" s="11">
        <f>ROW(B181) - ROW($B$2)</f>
        <v>179</v>
      </c>
      <c r="C181" s="12" t="s">
        <v>35</v>
      </c>
      <c r="D181" s="7" t="s">
        <v>218</v>
      </c>
      <c r="E181" s="8" t="s">
        <v>407</v>
      </c>
      <c r="F181" s="7" t="s">
        <v>490</v>
      </c>
      <c r="G181" s="8" t="s">
        <v>490</v>
      </c>
      <c r="H181" s="7" t="s">
        <v>732</v>
      </c>
      <c r="I181" s="8" t="s">
        <v>822</v>
      </c>
      <c r="J181" s="7">
        <v>1</v>
      </c>
      <c r="K181" s="7"/>
    </row>
    <row r="182" spans="1:11" ht="48.75" thickBot="1" x14ac:dyDescent="0.3">
      <c r="A182" s="1"/>
      <c r="B182" s="11">
        <f t="shared" si="0"/>
        <v>180</v>
      </c>
      <c r="C182" s="12" t="s">
        <v>3</v>
      </c>
      <c r="D182" s="9" t="s">
        <v>219</v>
      </c>
      <c r="E182" s="10" t="s">
        <v>408</v>
      </c>
      <c r="F182" s="9" t="s">
        <v>491</v>
      </c>
      <c r="G182" s="10" t="s">
        <v>654</v>
      </c>
      <c r="H182" s="9" t="s">
        <v>733</v>
      </c>
      <c r="I182" s="8" t="s">
        <v>822</v>
      </c>
      <c r="J182" s="9">
        <v>1</v>
      </c>
      <c r="K182" s="9"/>
    </row>
    <row r="183" spans="1:11" ht="15.75" thickBot="1" x14ac:dyDescent="0.3">
      <c r="A183" s="1"/>
      <c r="B183" s="11">
        <f>ROW(B183) - ROW($B$2)</f>
        <v>181</v>
      </c>
      <c r="C183" s="12" t="s">
        <v>3</v>
      </c>
      <c r="D183" s="7" t="s">
        <v>220</v>
      </c>
      <c r="E183" s="8" t="s">
        <v>409</v>
      </c>
      <c r="F183" s="7" t="s">
        <v>492</v>
      </c>
      <c r="G183" s="8" t="s">
        <v>655</v>
      </c>
      <c r="H183" s="7" t="s">
        <v>727</v>
      </c>
      <c r="I183" s="8" t="s">
        <v>822</v>
      </c>
      <c r="J183" s="7">
        <v>2</v>
      </c>
      <c r="K183" s="7"/>
    </row>
    <row r="184" spans="1:11" ht="15.75" thickBot="1" x14ac:dyDescent="0.3">
      <c r="A184" s="1"/>
      <c r="B184" s="11">
        <f t="shared" si="0"/>
        <v>182</v>
      </c>
      <c r="C184" s="13" t="s">
        <v>3</v>
      </c>
      <c r="D184" s="9" t="s">
        <v>221</v>
      </c>
      <c r="E184" s="10" t="s">
        <v>410</v>
      </c>
      <c r="F184" s="9" t="s">
        <v>493</v>
      </c>
      <c r="G184" s="10" t="s">
        <v>656</v>
      </c>
      <c r="H184" s="9" t="s">
        <v>734</v>
      </c>
      <c r="I184" s="8" t="s">
        <v>822</v>
      </c>
      <c r="J184" s="9">
        <v>1</v>
      </c>
      <c r="K184" s="9"/>
    </row>
    <row r="185" spans="1:11" ht="15.75" thickBot="1" x14ac:dyDescent="0.3">
      <c r="A185" s="1"/>
      <c r="B185" s="11">
        <f>ROW(B185) - ROW($B$2)</f>
        <v>183</v>
      </c>
      <c r="C185" s="12" t="s">
        <v>3</v>
      </c>
      <c r="D185" s="7" t="s">
        <v>222</v>
      </c>
      <c r="E185" s="8" t="s">
        <v>411</v>
      </c>
      <c r="F185" s="7" t="s">
        <v>494</v>
      </c>
      <c r="G185" s="8" t="s">
        <v>657</v>
      </c>
      <c r="H185" s="7" t="s">
        <v>734</v>
      </c>
      <c r="I185" s="8" t="s">
        <v>822</v>
      </c>
      <c r="J185" s="7">
        <v>1</v>
      </c>
      <c r="K185" s="7"/>
    </row>
    <row r="186" spans="1:11" ht="24.75" thickBot="1" x14ac:dyDescent="0.3">
      <c r="A186" s="1"/>
      <c r="B186" s="11">
        <f t="shared" si="0"/>
        <v>184</v>
      </c>
      <c r="C186" s="13" t="s">
        <v>36</v>
      </c>
      <c r="D186" s="9" t="s">
        <v>223</v>
      </c>
      <c r="E186" s="10" t="s">
        <v>412</v>
      </c>
      <c r="F186" s="9" t="s">
        <v>495</v>
      </c>
      <c r="G186" s="10" t="s">
        <v>658</v>
      </c>
      <c r="H186" s="9"/>
      <c r="I186" s="8" t="s">
        <v>822</v>
      </c>
      <c r="J186" s="9">
        <v>1</v>
      </c>
      <c r="K186" s="9"/>
    </row>
    <row r="187" spans="1:11" ht="24.75" thickBot="1" x14ac:dyDescent="0.3">
      <c r="A187" s="1"/>
      <c r="B187" s="11">
        <f>ROW(B187) - ROW($B$2)</f>
        <v>185</v>
      </c>
      <c r="C187" s="12" t="s">
        <v>3</v>
      </c>
      <c r="D187" s="7" t="s">
        <v>224</v>
      </c>
      <c r="E187" s="8" t="s">
        <v>413</v>
      </c>
      <c r="F187" s="7" t="s">
        <v>485</v>
      </c>
      <c r="G187" s="8" t="s">
        <v>659</v>
      </c>
      <c r="H187" s="7" t="s">
        <v>735</v>
      </c>
      <c r="I187" s="8" t="s">
        <v>822</v>
      </c>
      <c r="J187" s="7">
        <v>1</v>
      </c>
      <c r="K187" s="7"/>
    </row>
    <row r="188" spans="1:11" ht="15.75" thickBot="1" x14ac:dyDescent="0.3">
      <c r="A188" s="1"/>
      <c r="B188" s="11">
        <f t="shared" si="0"/>
        <v>186</v>
      </c>
      <c r="C188" s="13" t="s">
        <v>3</v>
      </c>
      <c r="D188" s="9" t="s">
        <v>225</v>
      </c>
      <c r="E188" s="10" t="s">
        <v>414</v>
      </c>
      <c r="F188" s="9" t="s">
        <v>496</v>
      </c>
      <c r="G188" s="10" t="s">
        <v>660</v>
      </c>
      <c r="H188" s="9" t="s">
        <v>7</v>
      </c>
      <c r="I188" s="8" t="s">
        <v>822</v>
      </c>
      <c r="J188" s="9">
        <v>1</v>
      </c>
      <c r="K188" s="9"/>
    </row>
    <row r="189" spans="1:11" ht="15.75" thickBot="1" x14ac:dyDescent="0.3">
      <c r="A189" s="1"/>
      <c r="B189" s="11">
        <f>ROW(B189) - ROW($B$2)</f>
        <v>187</v>
      </c>
      <c r="C189" s="12" t="s">
        <v>37</v>
      </c>
      <c r="D189" s="7" t="s">
        <v>226</v>
      </c>
      <c r="E189" s="8" t="s">
        <v>415</v>
      </c>
      <c r="F189" s="7" t="s">
        <v>485</v>
      </c>
      <c r="G189" s="8" t="s">
        <v>661</v>
      </c>
      <c r="H189" s="7" t="s">
        <v>736</v>
      </c>
      <c r="I189" s="8" t="s">
        <v>822</v>
      </c>
      <c r="J189" s="7">
        <v>1</v>
      </c>
      <c r="K189" s="7"/>
    </row>
    <row r="190" spans="1:11" ht="36.75" thickBot="1" x14ac:dyDescent="0.3">
      <c r="A190" s="1"/>
      <c r="B190" s="11">
        <f t="shared" si="0"/>
        <v>188</v>
      </c>
      <c r="C190" s="13" t="s">
        <v>3</v>
      </c>
      <c r="D190" s="9" t="s">
        <v>227</v>
      </c>
      <c r="E190" s="10" t="s">
        <v>416</v>
      </c>
      <c r="F190" s="9" t="s">
        <v>497</v>
      </c>
      <c r="G190" s="10" t="s">
        <v>662</v>
      </c>
      <c r="H190" s="9" t="s">
        <v>737</v>
      </c>
      <c r="I190" s="8" t="s">
        <v>822</v>
      </c>
      <c r="J190" s="9">
        <v>1</v>
      </c>
      <c r="K190" s="9"/>
    </row>
    <row r="191" spans="1:11" ht="15.75" thickBot="1" x14ac:dyDescent="0.3">
      <c r="A191" s="1"/>
      <c r="B191" s="11">
        <f>ROW(B191) - ROW($B$2)</f>
        <v>189</v>
      </c>
      <c r="C191" s="12" t="s">
        <v>3</v>
      </c>
      <c r="D191" s="7" t="s">
        <v>228</v>
      </c>
      <c r="E191" s="8" t="s">
        <v>417</v>
      </c>
      <c r="F191" s="7" t="s">
        <v>480</v>
      </c>
      <c r="G191" s="8" t="s">
        <v>663</v>
      </c>
      <c r="H191" s="7" t="s">
        <v>738</v>
      </c>
      <c r="I191" s="8" t="s">
        <v>822</v>
      </c>
      <c r="J191" s="7">
        <v>2</v>
      </c>
      <c r="K191" s="7"/>
    </row>
    <row r="192" spans="1:11" ht="24.75" thickBot="1" x14ac:dyDescent="0.3">
      <c r="A192" s="1"/>
      <c r="B192" s="11">
        <f t="shared" si="0"/>
        <v>190</v>
      </c>
      <c r="C192" s="13" t="s">
        <v>3</v>
      </c>
      <c r="D192" s="9" t="s">
        <v>229</v>
      </c>
      <c r="E192" s="10" t="s">
        <v>418</v>
      </c>
      <c r="F192" s="9" t="s">
        <v>498</v>
      </c>
      <c r="G192" s="10" t="s">
        <v>664</v>
      </c>
      <c r="H192" s="9" t="s">
        <v>739</v>
      </c>
      <c r="I192" s="8" t="s">
        <v>822</v>
      </c>
      <c r="J192" s="9">
        <v>1</v>
      </c>
      <c r="K192" s="9"/>
    </row>
    <row r="193" spans="1:11" ht="36.75" thickBot="1" x14ac:dyDescent="0.3">
      <c r="A193" s="1"/>
      <c r="B193" s="11">
        <f>ROW(B193) - ROW($B$2)</f>
        <v>191</v>
      </c>
      <c r="C193" s="12" t="s">
        <v>3</v>
      </c>
      <c r="D193" s="7" t="s">
        <v>230</v>
      </c>
      <c r="E193" s="8" t="s">
        <v>419</v>
      </c>
      <c r="F193" s="7" t="s">
        <v>488</v>
      </c>
      <c r="G193" s="8" t="s">
        <v>665</v>
      </c>
      <c r="H193" s="7" t="s">
        <v>740</v>
      </c>
      <c r="I193" s="8" t="s">
        <v>822</v>
      </c>
      <c r="J193" s="7">
        <v>1</v>
      </c>
      <c r="K193" s="7"/>
    </row>
    <row r="194" spans="1:11" ht="15.75" thickBot="1" x14ac:dyDescent="0.3">
      <c r="A194" s="1"/>
      <c r="B194" s="11">
        <f t="shared" si="0"/>
        <v>192</v>
      </c>
      <c r="C194" s="13" t="s">
        <v>38</v>
      </c>
      <c r="D194" s="9" t="s">
        <v>231</v>
      </c>
      <c r="E194" s="10" t="s">
        <v>420</v>
      </c>
      <c r="F194" s="7" t="s">
        <v>818</v>
      </c>
      <c r="G194" s="10" t="s">
        <v>499</v>
      </c>
      <c r="H194" s="9" t="s">
        <v>741</v>
      </c>
      <c r="I194" s="10" t="s">
        <v>812</v>
      </c>
      <c r="J194" s="9">
        <v>1</v>
      </c>
      <c r="K194" s="9"/>
    </row>
    <row r="195" spans="1:11" ht="36.75" thickBot="1" x14ac:dyDescent="0.3">
      <c r="A195" s="1"/>
      <c r="B195" s="11">
        <f>ROW(B195) - ROW($B$2)</f>
        <v>193</v>
      </c>
      <c r="C195" s="12" t="s">
        <v>38</v>
      </c>
      <c r="D195" s="7" t="s">
        <v>232</v>
      </c>
      <c r="E195" s="8" t="s">
        <v>421</v>
      </c>
      <c r="F195" s="7" t="s">
        <v>500</v>
      </c>
      <c r="G195" s="8" t="s">
        <v>666</v>
      </c>
      <c r="H195" s="7" t="s">
        <v>742</v>
      </c>
      <c r="I195" s="8" t="s">
        <v>813</v>
      </c>
      <c r="J195" s="7">
        <v>1</v>
      </c>
      <c r="K195" s="7"/>
    </row>
    <row r="196" spans="1:11" ht="15.75" thickBot="1" x14ac:dyDescent="0.3">
      <c r="A196" s="1"/>
      <c r="B196" s="11">
        <f t="shared" si="0"/>
        <v>194</v>
      </c>
      <c r="C196" s="12" t="s">
        <v>38</v>
      </c>
      <c r="D196" s="9" t="s">
        <v>233</v>
      </c>
      <c r="E196" s="10" t="s">
        <v>422</v>
      </c>
      <c r="F196" s="7" t="s">
        <v>818</v>
      </c>
      <c r="G196" s="10" t="s">
        <v>667</v>
      </c>
      <c r="H196" s="9" t="s">
        <v>743</v>
      </c>
      <c r="I196" s="10" t="s">
        <v>814</v>
      </c>
      <c r="J196" s="9">
        <v>1</v>
      </c>
      <c r="K196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2025-07-23T11:06:13Z</dcterms:modified>
</cp:coreProperties>
</file>