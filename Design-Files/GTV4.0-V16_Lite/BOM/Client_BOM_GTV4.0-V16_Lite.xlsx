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GTV4.0-V16_Lite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29" i="1" l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28" i="1" l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<sst xmlns="http://schemas.openxmlformats.org/spreadsheetml/2006/main" count="984" uniqueCount="604">
  <si>
    <t>#</t>
  </si>
  <si>
    <t>Item Type</t>
  </si>
  <si>
    <t>Capacitor</t>
  </si>
  <si>
    <t>Supercapacitor</t>
  </si>
  <si>
    <t>Zener diode</t>
  </si>
  <si>
    <t>Protection Device</t>
  </si>
  <si>
    <t>Diode</t>
  </si>
  <si>
    <t>Diodes</t>
  </si>
  <si>
    <t>Jtag Male Header</t>
  </si>
  <si>
    <t>Terminal Block</t>
  </si>
  <si>
    <t>Terminal Blocks</t>
  </si>
  <si>
    <t>Headers, Male Pins</t>
  </si>
  <si>
    <t>USB B Connector</t>
  </si>
  <si>
    <t>Wire To Board Connector</t>
  </si>
  <si>
    <t>Male</t>
  </si>
  <si>
    <t>SD Card Connector</t>
  </si>
  <si>
    <t>Inductor</t>
  </si>
  <si>
    <t>LED</t>
  </si>
  <si>
    <t>Photo Sensor</t>
  </si>
  <si>
    <t>Buzzer</t>
  </si>
  <si>
    <t>Test Point</t>
  </si>
  <si>
    <t>Transister</t>
  </si>
  <si>
    <t>Mosfet</t>
  </si>
  <si>
    <t>MOSFETs</t>
  </si>
  <si>
    <t>Resistor</t>
  </si>
  <si>
    <t>Tactile Switch</t>
  </si>
  <si>
    <t>Switch</t>
  </si>
  <si>
    <t>Current Sensor</t>
  </si>
  <si>
    <t>IC</t>
  </si>
  <si>
    <t>Sensor</t>
  </si>
  <si>
    <t>Crystal</t>
  </si>
  <si>
    <t>Designator</t>
  </si>
  <si>
    <t>C1, C4, C16, C21, C23, C24, C65, C68, C76</t>
  </si>
  <si>
    <t>C2</t>
  </si>
  <si>
    <t>C3, C5, C8, C25, C37, C117</t>
  </si>
  <si>
    <t>C6, C10, C13, C14, C17, C22, C26, C28, C38, C53, C66, C67, C69</t>
  </si>
  <si>
    <t>C7</t>
  </si>
  <si>
    <t>C9</t>
  </si>
  <si>
    <t>C11, C19</t>
  </si>
  <si>
    <t>C12, C29, C30, C31, C32, C33, C36, C73, C93, C95, C109, C110, C111, C113, C114</t>
  </si>
  <si>
    <t>C18</t>
  </si>
  <si>
    <t>C20</t>
  </si>
  <si>
    <t>C34, C35, C133, C134</t>
  </si>
  <si>
    <t>C50</t>
  </si>
  <si>
    <t>C75</t>
  </si>
  <si>
    <t>C77</t>
  </si>
  <si>
    <t>C88, C90</t>
  </si>
  <si>
    <t>C89</t>
  </si>
  <si>
    <t>C91</t>
  </si>
  <si>
    <t>C107, C112</t>
  </si>
  <si>
    <t>C108</t>
  </si>
  <si>
    <t>C115</t>
  </si>
  <si>
    <t>C116, C118, C119</t>
  </si>
  <si>
    <t>C120, C121</t>
  </si>
  <si>
    <t>C122</t>
  </si>
  <si>
    <t>C123</t>
  </si>
  <si>
    <t>C128, C129</t>
  </si>
  <si>
    <t>C131, C132</t>
  </si>
  <si>
    <t>D1</t>
  </si>
  <si>
    <t>D2</t>
  </si>
  <si>
    <t>D3, D17, D18, D19, D20, D21, D22, D23, D24, D25, D26, D27, D32</t>
  </si>
  <si>
    <t>D4</t>
  </si>
  <si>
    <t>D5, D12</t>
  </si>
  <si>
    <t>D6</t>
  </si>
  <si>
    <t>D7</t>
  </si>
  <si>
    <t>D8</t>
  </si>
  <si>
    <t>D9, D10</t>
  </si>
  <si>
    <t>D11</t>
  </si>
  <si>
    <t>D71</t>
  </si>
  <si>
    <t>J1</t>
  </si>
  <si>
    <t>J2</t>
  </si>
  <si>
    <t>J3, J4, J6</t>
  </si>
  <si>
    <t>J5</t>
  </si>
  <si>
    <t>J7</t>
  </si>
  <si>
    <t>J8</t>
  </si>
  <si>
    <t>J10</t>
  </si>
  <si>
    <t>J13, J19</t>
  </si>
  <si>
    <t>J14, J16</t>
  </si>
  <si>
    <t>J18</t>
  </si>
  <si>
    <t>J30</t>
  </si>
  <si>
    <t>L1</t>
  </si>
  <si>
    <t>L2</t>
  </si>
  <si>
    <t>L3</t>
  </si>
  <si>
    <t>L7</t>
  </si>
  <si>
    <t>LED1, LED2, LED3</t>
  </si>
  <si>
    <t>LED4</t>
  </si>
  <si>
    <t>LED11</t>
  </si>
  <si>
    <t>LS1</t>
  </si>
  <si>
    <t>P1, P7, P9, P10, P11, P16</t>
  </si>
  <si>
    <t>Q2, Q3, Q9</t>
  </si>
  <si>
    <t>Q4</t>
  </si>
  <si>
    <t>Q5, Q6</t>
  </si>
  <si>
    <t>Q7</t>
  </si>
  <si>
    <t>Q8</t>
  </si>
  <si>
    <t>Q10</t>
  </si>
  <si>
    <t>Q26</t>
  </si>
  <si>
    <t>Q32</t>
  </si>
  <si>
    <t>R1</t>
  </si>
  <si>
    <t>R2</t>
  </si>
  <si>
    <t>R3</t>
  </si>
  <si>
    <t>R4, R6</t>
  </si>
  <si>
    <t>R5, R8</t>
  </si>
  <si>
    <t>R7, R10</t>
  </si>
  <si>
    <t>R9, R163</t>
  </si>
  <si>
    <t>R11</t>
  </si>
  <si>
    <t>R12</t>
  </si>
  <si>
    <t>R13, R28</t>
  </si>
  <si>
    <t>R14, R15, R17</t>
  </si>
  <si>
    <t>R16, R18, R31</t>
  </si>
  <si>
    <t>R19, R20, R35, R43</t>
  </si>
  <si>
    <t>R21</t>
  </si>
  <si>
    <t>R22, R26, R33</t>
  </si>
  <si>
    <t>R23, R29, R44, R70</t>
  </si>
  <si>
    <t>R24, R25</t>
  </si>
  <si>
    <t>R27</t>
  </si>
  <si>
    <t>R30</t>
  </si>
  <si>
    <t>R32</t>
  </si>
  <si>
    <t>R34, R48, R68, R75</t>
  </si>
  <si>
    <t>R46, R47</t>
  </si>
  <si>
    <t>R55, R104</t>
  </si>
  <si>
    <t>R62</t>
  </si>
  <si>
    <t>R63</t>
  </si>
  <si>
    <t>R64</t>
  </si>
  <si>
    <t>R65</t>
  </si>
  <si>
    <t>R66, R67, R97, R98, R99, R100, R101, R102, R103, R130, R135</t>
  </si>
  <si>
    <t>R69, R131, R132</t>
  </si>
  <si>
    <t>R73, R74, R105</t>
  </si>
  <si>
    <t>R109, R136</t>
  </si>
  <si>
    <t>R124</t>
  </si>
  <si>
    <t>R125, R127</t>
  </si>
  <si>
    <t>R126, R128</t>
  </si>
  <si>
    <t>R129, R134</t>
  </si>
  <si>
    <t>R133, R137</t>
  </si>
  <si>
    <t>R149</t>
  </si>
  <si>
    <t>R156, R157, R158, R159, R160</t>
  </si>
  <si>
    <t>R161, R162</t>
  </si>
  <si>
    <t>R164</t>
  </si>
  <si>
    <t>R165</t>
  </si>
  <si>
    <t>R166</t>
  </si>
  <si>
    <t>R167</t>
  </si>
  <si>
    <t>SW3</t>
  </si>
  <si>
    <t>SW4</t>
  </si>
  <si>
    <t>U1, U2</t>
  </si>
  <si>
    <t>U3</t>
  </si>
  <si>
    <t>U4</t>
  </si>
  <si>
    <t>U5</t>
  </si>
  <si>
    <t>U6</t>
  </si>
  <si>
    <t>U7</t>
  </si>
  <si>
    <t>U8, U10, U11</t>
  </si>
  <si>
    <t>U13</t>
  </si>
  <si>
    <t>U14</t>
  </si>
  <si>
    <t>U17</t>
  </si>
  <si>
    <t>U19, U22</t>
  </si>
  <si>
    <t>U20</t>
  </si>
  <si>
    <t>U21</t>
  </si>
  <si>
    <t>U30</t>
  </si>
  <si>
    <t>X1</t>
  </si>
  <si>
    <t>X3</t>
  </si>
  <si>
    <t>Description</t>
  </si>
  <si>
    <t>CAP ALUM 10uF 25V SMD</t>
  </si>
  <si>
    <t>CAP CER 0.1UF 100V X7R 1206</t>
  </si>
  <si>
    <t>CAP CER 1UF 25V X5R 0603</t>
  </si>
  <si>
    <t>CAP CER 0.1UF 50V Y5V 0603</t>
  </si>
  <si>
    <t>CAP CER 1UF 16V X5R 0402</t>
  </si>
  <si>
    <t>CAP ALUM 100UF 20% 25V SMD</t>
  </si>
  <si>
    <t>CAP CER 1000PF 25V C0G 0402</t>
  </si>
  <si>
    <t>CAP CER 0.1UF 50V X5R 0402</t>
  </si>
  <si>
    <t>CAP ALUM 470UF 20% 25V SMD</t>
  </si>
  <si>
    <t>CAP CER 470pF 10% X7R 50V 0603 SMD</t>
  </si>
  <si>
    <t>CAP CER 15PF 50V C0G/NPO 0201</t>
  </si>
  <si>
    <t>CAP CER 0.047UF 100V X7R 1206</t>
  </si>
  <si>
    <t>CAP CER 0.1UF 50V X7R 0402</t>
  </si>
  <si>
    <t>CAP CER 10UF 25V X5R 0603</t>
  </si>
  <si>
    <t>CAP CER 0.1UF 100V X5R 0402</t>
  </si>
  <si>
    <t>CAP TANT 330UF 20% 16V 2917</t>
  </si>
  <si>
    <t>CAP TANT 100UF 20% 10V 1411</t>
  </si>
  <si>
    <t>CAP CER 10UF 10V X5R 0402</t>
  </si>
  <si>
    <t>CAP CER 0.1UF 25V X6S 0201</t>
  </si>
  <si>
    <t>CAP 25F -10% +30% 2.7V T/H</t>
  </si>
  <si>
    <t>CAP CER 22UF 35V X5R 0805</t>
  </si>
  <si>
    <t>CAP CER 47UF 25V X5R 1206</t>
  </si>
  <si>
    <t>CAP CER 0.47UF 50V X5R 0603</t>
  </si>
  <si>
    <t>CAP CER 2200PF 50V X7R 0603</t>
  </si>
  <si>
    <t>CAP CER 22UF 10V X5R 0603</t>
  </si>
  <si>
    <t>CAP CER 2.2UF 25V X5R 0402</t>
  </si>
  <si>
    <t>40V 500mV@2A 2A SMA(DO-214AC) Schottky Barrier Diodes (SBD) ROHS</t>
  </si>
  <si>
    <t>DIODE ZENER 16V 1.5W SMA</t>
  </si>
  <si>
    <t>5V 10V 3.3V Bi-Directional SOD-882 ESD Protection Devices ROHS</t>
  </si>
  <si>
    <t>16A 20V 7V 5V@Max Unidirectional SOT-23 TVS ROHS</t>
  </si>
  <si>
    <t>DIODE ZENER 3.3V 200MW SOD323F</t>
  </si>
  <si>
    <t>5.3A 600W 113V 77.8V 70V SMB(DO-214AA) ESD and Surge Protection (TVS/ESD) ROHS</t>
  </si>
  <si>
    <t>SCHOTTKY DIODE SMB 100V 5A</t>
  </si>
  <si>
    <t>TVS DIODE 5VWM 9.2VC SMA</t>
  </si>
  <si>
    <t>DIODE GEN PURP 100V 300MA SOD123</t>
  </si>
  <si>
    <t>40V 650mV@10A 10A SMC(DO-214AB) Schottky Barrier Diodes (SBD) ROHS</t>
  </si>
  <si>
    <t>DIODE ZENER 12V 200MW SOD323</t>
  </si>
  <si>
    <t>CONN HEADER SMD 10POS 1.27MM</t>
  </si>
  <si>
    <t>52A 1x2P -40℃~+105℃ 300V Green Through Hole 10.16mm 1 2 P=10.16mm Screw Terminal Blocks ROHS</t>
  </si>
  <si>
    <t>TERMINAL BLOCK, SCREW TYPE, 5.08</t>
  </si>
  <si>
    <t>CONN HEADER VERT 3POS 2.54MM</t>
  </si>
  <si>
    <t>CONN RCPT USB2.0 MICRO B SMD R/A</t>
  </si>
  <si>
    <t>CONN HEADER VERT 2POS 2.54MM</t>
  </si>
  <si>
    <t>1x12P 12P PicoBlade(MX 1.25) Tin 12 -25℃~+85℃ 2A 1 1.25mm Brass Surface Mount,Vertical SMD,P=1.25mm Wire To Board Connector ROHS</t>
  </si>
  <si>
    <t>3A Direct Insert Policy 1.7mm 2P 3mm -55℃~+105℃ 2.5mm 1.27mm Single Row Black Brass 1x2P Plugin,P=1.27mm Pin Headers ROHS</t>
  </si>
  <si>
    <t>CONN MICRO SD CARD PUSH-PUSH R/A</t>
  </si>
  <si>
    <t>IND SMD 10uH 500mA 0805</t>
  </si>
  <si>
    <t>Inductor Power Shielded Wirewound 220uH 20% 1KHz Ferrite 1.3A 310mOhm DCR Blister</t>
  </si>
  <si>
    <t>3.7A 4.7uH ±20% SMD,7.3x7.3mm Power Inductors ROHS</t>
  </si>
  <si>
    <t>FIXED IND 470NH 4.9A 0.023OHM SM</t>
  </si>
  <si>
    <t>LED RED CLEAR CHIP SMD</t>
  </si>
  <si>
    <t>SENSOR PHOTO 630NM 2SMD</t>
  </si>
  <si>
    <t>Red 632nm LED Indication - Discrete 2.05V 0603 (1608 Metric)</t>
  </si>
  <si>
    <t>Externally Driven 85dB@3V,10cm 3V 2700Hz SMD,D=9mm Buzzers ROHS</t>
  </si>
  <si>
    <t>Test Point ON</t>
  </si>
  <si>
    <t>TRANS NPN 160V 0.6A SOT-23</t>
  </si>
  <si>
    <t>MOSFET N-CH 130V 1A SOT23</t>
  </si>
  <si>
    <t>MOSFET N-CH 55V 110A D2PAK</t>
  </si>
  <si>
    <t>MOSFET P-CH 20V 3.7A SOT23</t>
  </si>
  <si>
    <t>TRANS NPN 40V 0.6A SMD SOT23-3</t>
  </si>
  <si>
    <t>MOSFET N-CH 60V 23A/100A TDSON</t>
  </si>
  <si>
    <t>N-CHANNEL 20-V (D-S) MOSFET</t>
  </si>
  <si>
    <t>30V 4.1A 60mΩ@10V,4.1A 350mW 3V@250uA P Channel SOT-23 MOSFETs ROHS</t>
  </si>
  <si>
    <t>100mW Thick Film Resistor 75V ±100ppm/℃ ±1% 3.6kΩ 0603 Chip Resistor - Surface Mount ROHS</t>
  </si>
  <si>
    <t>±1% 1/10W Thick Film Resistors 75V ±600ppm/℃ -55℃~+155℃ 0.33Ω 0603 Chip Resistor - Surface Mount ROHS</t>
  </si>
  <si>
    <t>RES SMD 1.2K OHM 1% 1/10W 0603</t>
  </si>
  <si>
    <t>RES SMD 4.7K OHM 1% 1/10W 0603</t>
  </si>
  <si>
    <t>RES SMD 4.7K OHM 0.1% 1/10W 0603</t>
  </si>
  <si>
    <t>RES SMD 6.8K OHM 0.1% 1/10W 0603</t>
  </si>
  <si>
    <t>RES 20K OHM 1% 1/10W 0603</t>
  </si>
  <si>
    <t>100mW Thick Film Resistors 75V ±1% ±100ppm/℃ -55℃~+155℃ 2.21MΩ 0603 Chip Resistor - Surface Mount ROHS</t>
  </si>
  <si>
    <t>RES 15K OHM 1% 1/10W 0603</t>
  </si>
  <si>
    <t>RES 3.3K OHM 0.5% 1/10W 0603</t>
  </si>
  <si>
    <t>RES SMD 680 OHM 1% 1/10W 0603</t>
  </si>
  <si>
    <t>RES 4.7K OHM 1% 1/16W 0402</t>
  </si>
  <si>
    <t>RES 10K OHM 1% 1/10W 0603</t>
  </si>
  <si>
    <t>RES 150 OHM 0.5% 1/10W 0603</t>
  </si>
  <si>
    <t>RES 2.2K OHM 1% 1/10W 0603</t>
  </si>
  <si>
    <t>RES SMD 10K Ohm 1% 1/10W 0603</t>
  </si>
  <si>
    <t>RES SMD 47OHM 0.1W 0603</t>
  </si>
  <si>
    <t>RES SMD 7.5K OHM 0.1% 1/10W 0603</t>
  </si>
  <si>
    <t>RES SMD 20K OHM 0.1% 1/10W 0603</t>
  </si>
  <si>
    <t>RES 100K OHM 1% 1/8W 0805</t>
  </si>
  <si>
    <t>RES SMD 1K OHM 1% 1/10W 0603</t>
  </si>
  <si>
    <t>RES SMD 200K OHM 1% 1/10W 0603</t>
  </si>
  <si>
    <t>RES 0 OHM JUMPER 1/16W 0402</t>
  </si>
  <si>
    <t>RES SMD 100K OHM 5% 1/20W 0201</t>
  </si>
  <si>
    <t>RES 47K OHM 1% 1/16W 0402</t>
  </si>
  <si>
    <t>RES 1K OHM 1% 1/2W 1206</t>
  </si>
  <si>
    <t>RES SMD 63.4KOHM 0.1% 1/10W 0603</t>
  </si>
  <si>
    <t>RES 0 OHM JUMPER 1/10W 0603</t>
  </si>
  <si>
    <t>RES 470 OHM 1% 1/10W 0603</t>
  </si>
  <si>
    <t>RES 10K OHM 1% 1/16W 0402</t>
  </si>
  <si>
    <t>RES SMD 1.82M OHM 1% 1/10W 0603</t>
  </si>
  <si>
    <t>RES SMD 100 OHM 1% 1/10W 0603</t>
  </si>
  <si>
    <t>RES SMD 10K OHM 0.1% 1/10W 0603</t>
  </si>
  <si>
    <t>RES SMD 3.3K OHM 0.1% 1/10W 0603</t>
  </si>
  <si>
    <t>1W Thick Film Resistor 200V ±5% ±800ppm/℃ 0Ω 2512 Chip Resistor - Surface Mount ROHS</t>
  </si>
  <si>
    <t>RES SMD 10K OHM 1% 1/20W 0201</t>
  </si>
  <si>
    <t>RES SMD 1M OHM 1% 1/10W 0603</t>
  </si>
  <si>
    <t>RES SMD 402K OHM 1% 1/10W 0603</t>
  </si>
  <si>
    <t>RES 845K OHM 1% 1/10W 0603</t>
  </si>
  <si>
    <t>RES 499K OHM 1% 1/10W 0603</t>
  </si>
  <si>
    <t>RES SMD 33K OHM 5% 1/10W 0603</t>
  </si>
  <si>
    <t>SWITCH TACTILE SPST-NO 0.05A 12V</t>
  </si>
  <si>
    <t>Straight 1A SPDT 8.7mm 8.6mm 24V 4.5mm Black PCPin 10000 Rectangular columnar -25℃~+70℃ Plugin Slide Switches ROHS</t>
  </si>
  <si>
    <t>SENSOR CURRENT HALL 20A DC</t>
  </si>
  <si>
    <t>IC REG BUCK BST ADJ 1.5A 8SOIC</t>
  </si>
  <si>
    <t>IC REG LINEAR 3.3V 1A SOT223</t>
  </si>
  <si>
    <t>IC REG BUCK-BOOST ADJ 3A 16TQFN</t>
  </si>
  <si>
    <t>IC GATE DRVR LOW-SIDE 8SOIC</t>
  </si>
  <si>
    <t>IC OR CTRLR N+1 8MSOP</t>
  </si>
  <si>
    <t>IC BUF NON-INVERT 5.5V SOT23-5</t>
  </si>
  <si>
    <t>IC COMPARATOR 2 WINDW SOT23-THIN</t>
  </si>
  <si>
    <t>IC REG LDO ADJ 3A TO263-5</t>
  </si>
  <si>
    <t>Plugin Human Body Sensing Sensor ROHS</t>
  </si>
  <si>
    <t>1.6-V TO 5.5-V, 20-M, 4-A LOW IQ</t>
  </si>
  <si>
    <t>IC REG LINEAR 3.3V 1A 8DFN</t>
  </si>
  <si>
    <t>IC MCU 32BIT 1MB FLASH 144LQFP</t>
  </si>
  <si>
    <t>IC REG BUCK 5V 2A TSOT26</t>
  </si>
  <si>
    <t>CRYSTAL 25.0000MHZ 12PF SMD</t>
  </si>
  <si>
    <t>CRYSTAL 32.7680KHZ 12.5PF SMD</t>
  </si>
  <si>
    <t>Footprint</t>
  </si>
  <si>
    <t>RVT1E100M0405_</t>
  </si>
  <si>
    <t>Cap-1206</t>
  </si>
  <si>
    <t>Cap-0603</t>
  </si>
  <si>
    <t>Cap-0402</t>
  </si>
  <si>
    <t>UWX1E101MCL1GB_</t>
  </si>
  <si>
    <t>EEE-FT1E471GP_</t>
  </si>
  <si>
    <t>Cap-0201</t>
  </si>
  <si>
    <t>Case-E</t>
  </si>
  <si>
    <t>Case-B</t>
  </si>
  <si>
    <t>CAP-0201</t>
  </si>
  <si>
    <t>SCCU25B256SRB</t>
  </si>
  <si>
    <t>Cap-0805</t>
  </si>
  <si>
    <t>SMA</t>
  </si>
  <si>
    <t>SOD-882 Bi Directional</t>
  </si>
  <si>
    <t>Sot-23</t>
  </si>
  <si>
    <t>SOD323F</t>
  </si>
  <si>
    <t>SMB_</t>
  </si>
  <si>
    <t>SMA Bi Directional</t>
  </si>
  <si>
    <t>SOD-123</t>
  </si>
  <si>
    <t>SMC</t>
  </si>
  <si>
    <t>SOD-323</t>
  </si>
  <si>
    <t>20021121-00010C4LF_</t>
  </si>
  <si>
    <t>DB135-10.16-2P-GN-P</t>
  </si>
  <si>
    <t>TB008A-508-02BE</t>
  </si>
  <si>
    <t>10118194-0001LF_</t>
  </si>
  <si>
    <t>TB008A-508-04BE</t>
  </si>
  <si>
    <t>HC-1.25-12PLT</t>
  </si>
  <si>
    <t>HDR 1x2 Male 1.27mm</t>
  </si>
  <si>
    <t>TB008A-508-03BE</t>
  </si>
  <si>
    <t>DM3BT-DSF-PEJS</t>
  </si>
  <si>
    <t>Ind-0805</t>
  </si>
  <si>
    <t>SLF12575T-221M1R3-PF</t>
  </si>
  <si>
    <t>YPRH0704-4R7M</t>
  </si>
  <si>
    <t>Inductor 1008</t>
  </si>
  <si>
    <t>LED-0402</t>
  </si>
  <si>
    <t>ALS-PT19-315C/L177/TR_</t>
  </si>
  <si>
    <t>LED-0603</t>
  </si>
  <si>
    <t>YS-SBZ9032C03R16_</t>
  </si>
  <si>
    <t>SOT-23</t>
  </si>
  <si>
    <t>D2Pak.</t>
  </si>
  <si>
    <t>PG-TDSON-8-7</t>
  </si>
  <si>
    <t>Res-0603</t>
  </si>
  <si>
    <t>RES-0603</t>
  </si>
  <si>
    <t>Res-0402</t>
  </si>
  <si>
    <t>RES-0805</t>
  </si>
  <si>
    <t>Res-0201</t>
  </si>
  <si>
    <t>Res-1206</t>
  </si>
  <si>
    <t>Res-2512</t>
  </si>
  <si>
    <t>TL3300CF160Q.</t>
  </si>
  <si>
    <t>SS-12D02-G040</t>
  </si>
  <si>
    <t>SOP-8</t>
  </si>
  <si>
    <t>SOIC-8</t>
  </si>
  <si>
    <t>SOT- 223</t>
  </si>
  <si>
    <t>16-QFN (3x3).</t>
  </si>
  <si>
    <t>MSOP-8</t>
  </si>
  <si>
    <t>SOT-23-5</t>
  </si>
  <si>
    <t>SOT-23-6</t>
  </si>
  <si>
    <t>TO-263-5 (D2PAK)</t>
  </si>
  <si>
    <t>AS312</t>
  </si>
  <si>
    <t>SOT-583</t>
  </si>
  <si>
    <t>DFN-8(1.2x1.6)</t>
  </si>
  <si>
    <t>LQFP-144(20x20)</t>
  </si>
  <si>
    <t>TSOT-23-6</t>
  </si>
  <si>
    <t>Q22FA12800090</t>
  </si>
  <si>
    <t>NX3215SA-32.768K-STD-MUA-8_</t>
  </si>
  <si>
    <t>Manufacturer Part Number</t>
  </si>
  <si>
    <t>RVT1E100M0405</t>
  </si>
  <si>
    <t>CC1206KKX7R0BB104</t>
  </si>
  <si>
    <t>CC0603KRX5R8BB105</t>
  </si>
  <si>
    <t>CC0603ZRY5V9BB104</t>
  </si>
  <si>
    <t>CC0402KRX5R7BB105</t>
  </si>
  <si>
    <t>UWX1E101MCL1GB</t>
  </si>
  <si>
    <t>C1005C0G1E102JT000F</t>
  </si>
  <si>
    <t>C1005X5R1H104K050BB</t>
  </si>
  <si>
    <t>EEEFT1E471GP</t>
  </si>
  <si>
    <t>CC0603KRX7R9BB471</t>
  </si>
  <si>
    <t>CC0201JRNPO9BN150</t>
  </si>
  <si>
    <t>CC1206JRX7R0BB473</t>
  </si>
  <si>
    <t>CL05B104KB54PNC</t>
  </si>
  <si>
    <t>C1608X5R1E106M080AC</t>
  </si>
  <si>
    <t>GRM155R62A104KE14D</t>
  </si>
  <si>
    <t>TAJE337M016RNJ</t>
  </si>
  <si>
    <t>TAJB107M010RNJ</t>
  </si>
  <si>
    <t>CC0402MRX5R6BB106</t>
  </si>
  <si>
    <t>GRM033C81E104KE14D</t>
  </si>
  <si>
    <t>C2012X5R1V226MT000E</t>
  </si>
  <si>
    <t>C3216X5R1E476M160AC</t>
  </si>
  <si>
    <t>CC0603KRX5R9BB474</t>
  </si>
  <si>
    <t>CC0603KRX7R9BB222</t>
  </si>
  <si>
    <t>CC0603MRX5R6BB226</t>
  </si>
  <si>
    <t>GRM155R61E225KE11D</t>
  </si>
  <si>
    <t>SS24A</t>
  </si>
  <si>
    <t>1SMA5930BT3G</t>
  </si>
  <si>
    <t>LESD8D3.3CAT5G</t>
  </si>
  <si>
    <t>ESD5302F-3/TR</t>
  </si>
  <si>
    <t>MM3Z3V3B</t>
  </si>
  <si>
    <t>SMBJ70A/TR13</t>
  </si>
  <si>
    <t>SS510B</t>
  </si>
  <si>
    <t>SMAJ5.0CA</t>
  </si>
  <si>
    <t>1N4148W-7-F</t>
  </si>
  <si>
    <t>SK104C</t>
  </si>
  <si>
    <t>MMSZ5242BS-7-F</t>
  </si>
  <si>
    <t>20021121-00010C4LF</t>
  </si>
  <si>
    <t>10118194-0001LF</t>
  </si>
  <si>
    <t>1.27-1*2P</t>
  </si>
  <si>
    <t>MGFL2012F100MT-LF</t>
  </si>
  <si>
    <t>DFE252012F-R47M=P2</t>
  </si>
  <si>
    <t>XZMDK68W-2</t>
  </si>
  <si>
    <t>ALS-PT19-315C/L177/TR8</t>
  </si>
  <si>
    <t>19-21/R7C-AK1L2BY/3T</t>
  </si>
  <si>
    <t>YS-SBZ9032C03R16</t>
  </si>
  <si>
    <t>MMBT5551LT1G</t>
  </si>
  <si>
    <t>DMN13H750S-7</t>
  </si>
  <si>
    <t>IRF3205STRLPBF</t>
  </si>
  <si>
    <t>IRLML6402TRPBF</t>
  </si>
  <si>
    <t>MMBT2222A-7-F</t>
  </si>
  <si>
    <t>BSC028N06NSATMA1</t>
  </si>
  <si>
    <t>SI2302CDS</t>
  </si>
  <si>
    <t>AO3407</t>
  </si>
  <si>
    <t>0603WAF3601T5E</t>
  </si>
  <si>
    <t>RTT03R330FTP</t>
  </si>
  <si>
    <t>RC0603FR-071K2L</t>
  </si>
  <si>
    <t>RC0603FR-074K7L</t>
  </si>
  <si>
    <t>RT0603BRD074K7L</t>
  </si>
  <si>
    <t>RT0603BRE076K8L</t>
  </si>
  <si>
    <t>RC0603FR-0720KL</t>
  </si>
  <si>
    <t>0603WAF2214T5E</t>
  </si>
  <si>
    <t>RC0603FR-0715KL</t>
  </si>
  <si>
    <t>RC0603DR-073K3L</t>
  </si>
  <si>
    <t>RC0603FR-07680RL</t>
  </si>
  <si>
    <t>RC0402FR-074K7L</t>
  </si>
  <si>
    <t>RC0603DR-07150RL</t>
  </si>
  <si>
    <t>RC0603FR-072K2L</t>
  </si>
  <si>
    <t>RC0603FR-0710KL</t>
  </si>
  <si>
    <t>RC0603FR-0747RL</t>
  </si>
  <si>
    <t>RT0603BRD077K5L</t>
  </si>
  <si>
    <t>RT0603BRD0720KL</t>
  </si>
  <si>
    <t>RC0805FR-07100KL</t>
  </si>
  <si>
    <t>RC0603FR-071KL</t>
  </si>
  <si>
    <t>RC0603FR-07200KL</t>
  </si>
  <si>
    <t>RC0402FR-070RL</t>
  </si>
  <si>
    <t>RC0201JR-07100KL</t>
  </si>
  <si>
    <t>RC0402FR-0747KL</t>
  </si>
  <si>
    <t>RC1206FR-7W1KL</t>
  </si>
  <si>
    <t>RT0603BRE0763K4L</t>
  </si>
  <si>
    <t>RC0603JR-070RL</t>
  </si>
  <si>
    <t>RC0603FR-07470RL</t>
  </si>
  <si>
    <t>RC0402FR-0710KL</t>
  </si>
  <si>
    <t>CRCW06031M82FKEA</t>
  </si>
  <si>
    <t>RC0603FR-07100RL</t>
  </si>
  <si>
    <t>RT0603BRD0710KL</t>
  </si>
  <si>
    <t>RT0603BRD073K3L</t>
  </si>
  <si>
    <t>25121WJ0000T4E</t>
  </si>
  <si>
    <t>RC0201FR-0710KL</t>
  </si>
  <si>
    <t>RC0603FR-071ML</t>
  </si>
  <si>
    <t>CRCW0603402KFKEA</t>
  </si>
  <si>
    <t>RC0603FR-07845KL</t>
  </si>
  <si>
    <t>RC0603FR-07499KL</t>
  </si>
  <si>
    <t>TL3300CF160Q</t>
  </si>
  <si>
    <t>ACS723LLCTR-20AU-T</t>
  </si>
  <si>
    <t>MC34063ADR</t>
  </si>
  <si>
    <t>LMS8117AMP-3.3/NOPB</t>
  </si>
  <si>
    <t>MAX38889AATE+</t>
  </si>
  <si>
    <t>NCP81071ADR2G</t>
  </si>
  <si>
    <t>LTC4359CMS8#PBF</t>
  </si>
  <si>
    <t>SN74LV1T34DBVR</t>
  </si>
  <si>
    <t>TPS3700DDCR</t>
  </si>
  <si>
    <t>MIC29302WU-TR</t>
  </si>
  <si>
    <t>TPS2117DRLR</t>
  </si>
  <si>
    <t>LD56100DPU33R</t>
  </si>
  <si>
    <t>STM32H723ZGT6</t>
  </si>
  <si>
    <t>AP63205WU-7</t>
  </si>
  <si>
    <t>NX3215SA-32.768K-STD-MUA-8</t>
  </si>
  <si>
    <t>Manufacturer</t>
  </si>
  <si>
    <t>ROQANG</t>
  </si>
  <si>
    <t>Yageo</t>
  </si>
  <si>
    <t>Nichicon</t>
  </si>
  <si>
    <t>TDK</t>
  </si>
  <si>
    <t>Panasonic</t>
  </si>
  <si>
    <t>Samsung</t>
  </si>
  <si>
    <t>Murata</t>
  </si>
  <si>
    <t>Kyocera AVX</t>
  </si>
  <si>
    <t>TDK Corporation</t>
  </si>
  <si>
    <t>Guangdong Hottech</t>
  </si>
  <si>
    <t>onsemi</t>
  </si>
  <si>
    <t>LRC</t>
  </si>
  <si>
    <t>WILLSEMI</t>
  </si>
  <si>
    <t>ON Semiconductor / Fairchild</t>
  </si>
  <si>
    <t>Brightking</t>
  </si>
  <si>
    <t>MDD</t>
  </si>
  <si>
    <t>FTR</t>
  </si>
  <si>
    <t>Amphenol FCI</t>
  </si>
  <si>
    <t>DORABO</t>
  </si>
  <si>
    <t>Same Sky</t>
  </si>
  <si>
    <t>Molex</t>
  </si>
  <si>
    <t>HCTL</t>
  </si>
  <si>
    <t>BOOMELE(BOOM Precision Elec)</t>
  </si>
  <si>
    <t>Hirose</t>
  </si>
  <si>
    <t>microgate</t>
  </si>
  <si>
    <t>YJYCOIN</t>
  </si>
  <si>
    <t>SunLED</t>
  </si>
  <si>
    <t>Everlight</t>
  </si>
  <si>
    <t>Everlight Elec</t>
  </si>
  <si>
    <t>Fengming</t>
  </si>
  <si>
    <t>ON Semiconductor</t>
  </si>
  <si>
    <t>Diodes Incorporated</t>
  </si>
  <si>
    <t>Infineon Technologies</t>
  </si>
  <si>
    <t>International Rectifier</t>
  </si>
  <si>
    <t>Infineon</t>
  </si>
  <si>
    <t>TECH PUBLIC</t>
  </si>
  <si>
    <t>UNI-ROYAL(Uniroyal Elec)</t>
  </si>
  <si>
    <t>RALEC</t>
  </si>
  <si>
    <t>Vishay</t>
  </si>
  <si>
    <t>Royal Electronic Factory</t>
  </si>
  <si>
    <t>E-Switch</t>
  </si>
  <si>
    <t>G-Switch</t>
  </si>
  <si>
    <t>Allegro MicroSystems, LLC</t>
  </si>
  <si>
    <t>Texas Instruments</t>
  </si>
  <si>
    <t>Analog Devices</t>
  </si>
  <si>
    <t>Analog Devices / Linear Technology</t>
  </si>
  <si>
    <t>Microchip</t>
  </si>
  <si>
    <t>Senba Sensing Tech</t>
  </si>
  <si>
    <t>STMicroelectronics</t>
  </si>
  <si>
    <t>Seiko Epson</t>
  </si>
  <si>
    <t>NDK</t>
  </si>
  <si>
    <t>10uF</t>
  </si>
  <si>
    <t>0.1uF</t>
  </si>
  <si>
    <t>1uF</t>
  </si>
  <si>
    <t>100uF</t>
  </si>
  <si>
    <t>1nF</t>
  </si>
  <si>
    <t>470uF</t>
  </si>
  <si>
    <t>470pF</t>
  </si>
  <si>
    <t>15pF</t>
  </si>
  <si>
    <t>0.047uF</t>
  </si>
  <si>
    <t>330uF</t>
  </si>
  <si>
    <t>25F</t>
  </si>
  <si>
    <t>22uF</t>
  </si>
  <si>
    <t>47uF</t>
  </si>
  <si>
    <t>0.47uF</t>
  </si>
  <si>
    <t>2.2nF</t>
  </si>
  <si>
    <t>2.2uF</t>
  </si>
  <si>
    <t>10uH</t>
  </si>
  <si>
    <t>220uH</t>
  </si>
  <si>
    <t>4.7uH</t>
  </si>
  <si>
    <t>470nH</t>
  </si>
  <si>
    <t>3.6K</t>
  </si>
  <si>
    <t>0.33R</t>
  </si>
  <si>
    <t>1.2K</t>
  </si>
  <si>
    <t>4.7K</t>
  </si>
  <si>
    <t>6.8K</t>
  </si>
  <si>
    <t>20K</t>
  </si>
  <si>
    <t>2.21M</t>
  </si>
  <si>
    <t>15K</t>
  </si>
  <si>
    <t>3.3K</t>
  </si>
  <si>
    <t>680R</t>
  </si>
  <si>
    <t>10K</t>
  </si>
  <si>
    <t>150R</t>
  </si>
  <si>
    <t>2.2K</t>
  </si>
  <si>
    <t>47R</t>
  </si>
  <si>
    <t>7.5K</t>
  </si>
  <si>
    <t>100K</t>
  </si>
  <si>
    <t>1K</t>
  </si>
  <si>
    <t>200K</t>
  </si>
  <si>
    <t>0R</t>
  </si>
  <si>
    <t>47K</t>
  </si>
  <si>
    <t>63.4K</t>
  </si>
  <si>
    <t>470R</t>
  </si>
  <si>
    <t>1.82M</t>
  </si>
  <si>
    <t>100R</t>
  </si>
  <si>
    <t>3.3k</t>
  </si>
  <si>
    <t>DNP</t>
  </si>
  <si>
    <t>1M</t>
  </si>
  <si>
    <t>402K</t>
  </si>
  <si>
    <t>845K</t>
  </si>
  <si>
    <t>499K</t>
  </si>
  <si>
    <t>33K</t>
  </si>
  <si>
    <t>25MHz</t>
  </si>
  <si>
    <t>32.7680KHZ</t>
  </si>
  <si>
    <t>Quantity</t>
  </si>
  <si>
    <t>Remarks</t>
  </si>
  <si>
    <t>Value</t>
  </si>
  <si>
    <t>Custom</t>
  </si>
  <si>
    <t>-</t>
  </si>
  <si>
    <t>DO NOT MOUNT</t>
  </si>
  <si>
    <t>RK73G1JTTD1002F</t>
  </si>
  <si>
    <t>KOA Speer Electronics, Inc.</t>
  </si>
  <si>
    <t>Glands</t>
  </si>
  <si>
    <t>Enclosure</t>
  </si>
  <si>
    <t>DUST CAP</t>
  </si>
  <si>
    <t>Socket</t>
  </si>
  <si>
    <t>Female Socket</t>
  </si>
  <si>
    <t>Socket Cable 4 PIN</t>
  </si>
  <si>
    <t>Socket Cable 8 PIN</t>
  </si>
  <si>
    <t>JST Cable</t>
  </si>
  <si>
    <t>PG13.5</t>
  </si>
  <si>
    <t>G214-IP67</t>
  </si>
  <si>
    <t>FC684200</t>
  </si>
  <si>
    <t>FC684204</t>
  </si>
  <si>
    <t>FC684206</t>
  </si>
  <si>
    <t>FC684208</t>
  </si>
  <si>
    <t>FC684214</t>
  </si>
  <si>
    <t>FC684216</t>
  </si>
  <si>
    <t>FC684218</t>
  </si>
  <si>
    <t>12Pin/ 20CM</t>
  </si>
  <si>
    <t>6Pin/ 20CM</t>
  </si>
  <si>
    <t>10Pcs Waterproof Cable Gland Nylon Joint IP68 PG7 For 3-6.5mm Plastic Black White PG13.5 Cable Locking Connector PG7 PG19 PG11</t>
  </si>
  <si>
    <t>ZC CLIFFCON SOCKET DUST CAP</t>
  </si>
  <si>
    <t>ZC CLIFFCON 4 PIN CHASSIS SKT</t>
  </si>
  <si>
    <t>ZC CLIFFCON 6 PIN CHASSIS SKT</t>
  </si>
  <si>
    <t>ZC CLIFFCON 8 PIN CHASSIS SKT</t>
  </si>
  <si>
    <t>ZC CLIFFCON 4 PIN LOCKING PLUG</t>
  </si>
  <si>
    <t>ZC CLIFFCON 6 PIN LOCKING PLUG</t>
  </si>
  <si>
    <t>ZC CLIFFCON 8 PIN LOCKING PLUG</t>
  </si>
  <si>
    <t>Multicore Cable, Ölflex®, Per M, Unscreened, 4 Core, 21 AWG, 0.5 mm²</t>
  </si>
  <si>
    <t>Multicore Cable, Screened, 8 Core, 21 AWG, 0.5 mm²</t>
  </si>
  <si>
    <t>CLIFF Electronic Components Ltd</t>
  </si>
  <si>
    <t>LAPP</t>
  </si>
  <si>
    <t>Aliexpress</t>
  </si>
  <si>
    <t>Gainta</t>
  </si>
  <si>
    <t>Digikey</t>
  </si>
  <si>
    <t>Farnell</t>
  </si>
  <si>
    <t>Peripheral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</si>
</sst>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"/>
  </numFmts>
  <fonts count="12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charset val="134"/>
      <scheme val="minor"/>
    </font>
    <font>
      <strike/>
      <sz val="9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sz val="9"/>
      <name val="Calibri"/>
      <charset val="134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164" fontId="11" fillId="2" borderId="8" xfId="1" applyNumberFormat="1" applyFont="1" applyFill="1" applyBorder="1" applyAlignment="1">
      <alignment horizontal="center" vertical="center" wrapText="1"/>
    </xf>
    <xf numFmtId="164" fontId="11" fillId="2" borderId="9" xfId="1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cliff-electronic-components-ltd/FC684214/21409238?s=N4IgTCBcDaIGIGEBsAOALGAjGkBdAvkA" TargetMode="External"/><Relationship Id="rId13" Type="http://schemas.openxmlformats.org/officeDocument/2006/relationships/hyperlink" Target="https://www.digikey.com/en/products/detail/cliff-electronic-components-ltd/FC684216/20506893?s=N4IgTCBcDaIGIGEBsAOALGAjEkBdAvkA" TargetMode="External"/><Relationship Id="rId3" Type="http://schemas.openxmlformats.org/officeDocument/2006/relationships/hyperlink" Target="https://vi.aliexpress.com/item/1005007277092739.html" TargetMode="External"/><Relationship Id="rId7" Type="http://schemas.openxmlformats.org/officeDocument/2006/relationships/hyperlink" Target="https://www.digikey.com/en/products/detail/cliff-electronic-components-ltd/FC684208/21410485?s=N4IgTCBcDaIGIGEBsAOALGADCkBdAvkA" TargetMode="External"/><Relationship Id="rId12" Type="http://schemas.openxmlformats.org/officeDocument/2006/relationships/hyperlink" Target="https://www.digikey.com/en/products/detail/cliff-electronic-components-ltd/FC684206/20506883?s=N4IgTCBcDaIGIGEBsAOALGADEkBdAvkA" TargetMode="External"/><Relationship Id="rId2" Type="http://schemas.openxmlformats.org/officeDocument/2006/relationships/hyperlink" Target="https://www.digikey.com/en/products/detail/cliff-electronic-components-ltd/FC684200/26742274?s=N4IgTCBcDaIGIGEBsAOALGADJkBdAvkA" TargetMode="External"/><Relationship Id="rId1" Type="http://schemas.openxmlformats.org/officeDocument/2006/relationships/hyperlink" Target="https://vi.aliexpress.com/item/1005003593198702.html" TargetMode="External"/><Relationship Id="rId6" Type="http://schemas.openxmlformats.org/officeDocument/2006/relationships/hyperlink" Target="https://www.digikey.com/en/products/detail/cliff-electronic-components-ltd/FC684204/21409869?s=N4IgTCBcDaIGIGEBsAOALGADGkBdAvkA" TargetMode="External"/><Relationship Id="rId11" Type="http://schemas.openxmlformats.org/officeDocument/2006/relationships/hyperlink" Target="https://uk.farnell.com/lapp-kabel/0034608/multicore-cable-8core-1m-21awg/dp/4170999" TargetMode="External"/><Relationship Id="rId5" Type="http://schemas.openxmlformats.org/officeDocument/2006/relationships/hyperlink" Target="https://www.gainta.com/en/g214-ip67.html" TargetMode="External"/><Relationship Id="rId10" Type="http://schemas.openxmlformats.org/officeDocument/2006/relationships/hyperlink" Target="https://uk.farnell.com/lapp-kabel/1312004/cable-olflex-pu-4core-0-5mm-per/dp/1491511" TargetMode="External"/><Relationship Id="rId4" Type="http://schemas.openxmlformats.org/officeDocument/2006/relationships/hyperlink" Target="https://vi.aliexpress.com/item/1005007277092739.html" TargetMode="External"/><Relationship Id="rId9" Type="http://schemas.openxmlformats.org/officeDocument/2006/relationships/hyperlink" Target="https://www.digikey.com/en/products/detail/cliff-electronic-components-ltd/FC684218/21409237?s=N4IgTCBcDaIGIGEBsAOALGAjCkBdAvkA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41"/>
  <sheetViews>
    <sheetView tabSelected="1" topLeftCell="A121" workbookViewId="0">
      <selection activeCell="M134" sqref="M134"/>
    </sheetView>
  </sheetViews>
  <sheetFormatPr defaultRowHeight="1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9.42578125" bestFit="1" customWidth="1"/>
    <col min="10" max="10" width="8.7109375" bestFit="1" customWidth="1"/>
    <col min="11" max="11" width="15.7109375" bestFit="1" customWidth="1"/>
    <col min="13" max="13" width="10.5703125" bestFit="1" customWidth="1"/>
    <col min="14" max="14" width="25.28515625" bestFit="1" customWidth="1"/>
  </cols>
  <sheetData>
    <row r="1" spans="1:11" ht="15.75" thickBot="1">
      <c r="A1" s="1"/>
      <c r="B1" s="3"/>
      <c r="C1" s="3"/>
      <c r="D1" s="2"/>
      <c r="E1" s="2"/>
      <c r="F1" s="2"/>
      <c r="G1" s="2"/>
      <c r="H1" s="2"/>
      <c r="I1" s="20"/>
      <c r="J1" s="20"/>
      <c r="K1" s="20"/>
    </row>
    <row r="2" spans="1:11" ht="15.75" thickBot="1">
      <c r="A2" s="1"/>
      <c r="B2" s="5" t="s">
        <v>0</v>
      </c>
      <c r="C2" s="5" t="s">
        <v>1</v>
      </c>
      <c r="D2" s="5" t="s">
        <v>31</v>
      </c>
      <c r="E2" s="6" t="s">
        <v>158</v>
      </c>
      <c r="F2" s="5" t="s">
        <v>281</v>
      </c>
      <c r="G2" s="6" t="s">
        <v>347</v>
      </c>
      <c r="H2" s="5" t="s">
        <v>455</v>
      </c>
      <c r="I2" s="6" t="s">
        <v>562</v>
      </c>
      <c r="J2" s="5" t="s">
        <v>560</v>
      </c>
      <c r="K2" s="5" t="s">
        <v>561</v>
      </c>
    </row>
    <row r="3" spans="1:11" ht="15.75" thickBot="1">
      <c r="A3" s="1"/>
      <c r="B3" s="11">
        <f>ROW(B3) - ROW($B$2)</f>
        <v>1</v>
      </c>
      <c r="C3" s="12" t="s">
        <v>2</v>
      </c>
      <c r="D3" s="7" t="s">
        <v>32</v>
      </c>
      <c r="E3" s="8" t="s">
        <v>159</v>
      </c>
      <c r="F3" s="7" t="s">
        <v>282</v>
      </c>
      <c r="G3" s="8" t="s">
        <v>348</v>
      </c>
      <c r="H3" s="7" t="s">
        <v>456</v>
      </c>
      <c r="I3" s="8" t="s">
        <v>507</v>
      </c>
      <c r="J3" s="7">
        <v>9</v>
      </c>
      <c r="K3" s="7"/>
    </row>
    <row r="4" spans="1:11" ht="15.75" thickBot="1">
      <c r="A4" s="1"/>
      <c r="B4" s="11">
        <f t="shared" ref="B4:B129" si="0">ROW(B4) - ROW($B$2)</f>
        <v>2</v>
      </c>
      <c r="C4" s="13" t="s">
        <v>2</v>
      </c>
      <c r="D4" s="9" t="s">
        <v>33</v>
      </c>
      <c r="E4" s="10" t="s">
        <v>160</v>
      </c>
      <c r="F4" s="9" t="s">
        <v>283</v>
      </c>
      <c r="G4" s="10" t="s">
        <v>349</v>
      </c>
      <c r="H4" s="9" t="s">
        <v>457</v>
      </c>
      <c r="I4" s="10" t="s">
        <v>508</v>
      </c>
      <c r="J4" s="9">
        <v>1</v>
      </c>
      <c r="K4" s="9"/>
    </row>
    <row r="5" spans="1:11" ht="15.75" thickBot="1">
      <c r="A5" s="1"/>
      <c r="B5" s="11">
        <f>ROW(B5) - ROW($B$2)</f>
        <v>3</v>
      </c>
      <c r="C5" s="12" t="s">
        <v>2</v>
      </c>
      <c r="D5" s="7" t="s">
        <v>34</v>
      </c>
      <c r="E5" s="8" t="s">
        <v>161</v>
      </c>
      <c r="F5" s="7" t="s">
        <v>284</v>
      </c>
      <c r="G5" s="8" t="s">
        <v>350</v>
      </c>
      <c r="H5" s="7" t="s">
        <v>457</v>
      </c>
      <c r="I5" s="8" t="s">
        <v>509</v>
      </c>
      <c r="J5" s="7">
        <v>6</v>
      </c>
      <c r="K5" s="7"/>
    </row>
    <row r="6" spans="1:11" ht="24.75" thickBot="1">
      <c r="A6" s="1"/>
      <c r="B6" s="11">
        <f t="shared" si="0"/>
        <v>4</v>
      </c>
      <c r="C6" s="13" t="s">
        <v>2</v>
      </c>
      <c r="D6" s="9" t="s">
        <v>35</v>
      </c>
      <c r="E6" s="10" t="s">
        <v>162</v>
      </c>
      <c r="F6" s="9" t="s">
        <v>284</v>
      </c>
      <c r="G6" s="10" t="s">
        <v>351</v>
      </c>
      <c r="H6" s="9" t="s">
        <v>457</v>
      </c>
      <c r="I6" s="10" t="s">
        <v>508</v>
      </c>
      <c r="J6" s="9">
        <v>13</v>
      </c>
      <c r="K6" s="9"/>
    </row>
    <row r="7" spans="1:11" ht="15.75" thickBot="1">
      <c r="A7" s="1"/>
      <c r="B7" s="11">
        <f>ROW(B7) - ROW($B$2)</f>
        <v>5</v>
      </c>
      <c r="C7" s="12" t="s">
        <v>2</v>
      </c>
      <c r="D7" s="7" t="s">
        <v>36</v>
      </c>
      <c r="E7" s="8" t="s">
        <v>163</v>
      </c>
      <c r="F7" s="7" t="s">
        <v>285</v>
      </c>
      <c r="G7" s="8" t="s">
        <v>352</v>
      </c>
      <c r="H7" s="7" t="s">
        <v>457</v>
      </c>
      <c r="I7" s="8" t="s">
        <v>509</v>
      </c>
      <c r="J7" s="7">
        <v>1</v>
      </c>
      <c r="K7" s="7"/>
    </row>
    <row r="8" spans="1:11" ht="15.75" thickBot="1">
      <c r="A8" s="1"/>
      <c r="B8" s="11">
        <f t="shared" si="0"/>
        <v>6</v>
      </c>
      <c r="C8" s="13" t="s">
        <v>2</v>
      </c>
      <c r="D8" s="9" t="s">
        <v>37</v>
      </c>
      <c r="E8" s="10" t="s">
        <v>164</v>
      </c>
      <c r="F8" s="9" t="s">
        <v>286</v>
      </c>
      <c r="G8" s="10" t="s">
        <v>353</v>
      </c>
      <c r="H8" s="9" t="s">
        <v>458</v>
      </c>
      <c r="I8" s="10" t="s">
        <v>510</v>
      </c>
      <c r="J8" s="9">
        <v>1</v>
      </c>
      <c r="K8" s="9"/>
    </row>
    <row r="9" spans="1:11" ht="15.75" thickBot="1">
      <c r="A9" s="1"/>
      <c r="B9" s="11">
        <f>ROW(B9) - ROW($B$2)</f>
        <v>7</v>
      </c>
      <c r="C9" s="12" t="s">
        <v>2</v>
      </c>
      <c r="D9" s="7" t="s">
        <v>38</v>
      </c>
      <c r="E9" s="8" t="s">
        <v>165</v>
      </c>
      <c r="F9" s="7" t="s">
        <v>285</v>
      </c>
      <c r="G9" s="8" t="s">
        <v>354</v>
      </c>
      <c r="H9" s="7" t="s">
        <v>459</v>
      </c>
      <c r="I9" s="8" t="s">
        <v>511</v>
      </c>
      <c r="J9" s="7">
        <v>2</v>
      </c>
      <c r="K9" s="7"/>
    </row>
    <row r="10" spans="1:11" ht="24.75" thickBot="1">
      <c r="A10" s="1"/>
      <c r="B10" s="11">
        <f t="shared" si="0"/>
        <v>8</v>
      </c>
      <c r="C10" s="13" t="s">
        <v>2</v>
      </c>
      <c r="D10" s="9" t="s">
        <v>39</v>
      </c>
      <c r="E10" s="10" t="s">
        <v>166</v>
      </c>
      <c r="F10" s="9" t="s">
        <v>285</v>
      </c>
      <c r="G10" s="10" t="s">
        <v>355</v>
      </c>
      <c r="H10" s="9" t="s">
        <v>459</v>
      </c>
      <c r="I10" s="10" t="s">
        <v>508</v>
      </c>
      <c r="J10" s="9">
        <v>15</v>
      </c>
      <c r="K10" s="9"/>
    </row>
    <row r="11" spans="1:11" ht="15.75" thickBot="1">
      <c r="A11" s="1"/>
      <c r="B11" s="11">
        <f>ROW(B11) - ROW($B$2)</f>
        <v>9</v>
      </c>
      <c r="C11" s="13" t="s">
        <v>2</v>
      </c>
      <c r="D11" s="7" t="s">
        <v>40</v>
      </c>
      <c r="E11" s="8" t="s">
        <v>167</v>
      </c>
      <c r="F11" s="7" t="s">
        <v>287</v>
      </c>
      <c r="G11" s="8" t="s">
        <v>356</v>
      </c>
      <c r="H11" s="7" t="s">
        <v>460</v>
      </c>
      <c r="I11" s="8" t="s">
        <v>512</v>
      </c>
      <c r="J11" s="7">
        <v>1</v>
      </c>
      <c r="K11" s="7"/>
    </row>
    <row r="12" spans="1:11" ht="15.75" thickBot="1">
      <c r="A12" s="1"/>
      <c r="B12" s="11">
        <f t="shared" si="0"/>
        <v>10</v>
      </c>
      <c r="C12" s="13" t="s">
        <v>2</v>
      </c>
      <c r="D12" s="9" t="s">
        <v>41</v>
      </c>
      <c r="E12" s="10" t="s">
        <v>168</v>
      </c>
      <c r="F12" s="9" t="s">
        <v>284</v>
      </c>
      <c r="G12" s="10" t="s">
        <v>357</v>
      </c>
      <c r="H12" s="9" t="s">
        <v>457</v>
      </c>
      <c r="I12" s="10" t="s">
        <v>513</v>
      </c>
      <c r="J12" s="9">
        <v>1</v>
      </c>
      <c r="K12" s="9"/>
    </row>
    <row r="13" spans="1:11" ht="15.75" thickBot="1">
      <c r="A13" s="1"/>
      <c r="B13" s="11">
        <f>ROW(B13) - ROW($B$2)</f>
        <v>11</v>
      </c>
      <c r="C13" s="13" t="s">
        <v>2</v>
      </c>
      <c r="D13" s="7" t="s">
        <v>42</v>
      </c>
      <c r="E13" s="8" t="s">
        <v>169</v>
      </c>
      <c r="F13" s="7" t="s">
        <v>288</v>
      </c>
      <c r="G13" s="8" t="s">
        <v>358</v>
      </c>
      <c r="H13" s="7" t="s">
        <v>457</v>
      </c>
      <c r="I13" s="8" t="s">
        <v>514</v>
      </c>
      <c r="J13" s="7">
        <v>4</v>
      </c>
      <c r="K13" s="7"/>
    </row>
    <row r="14" spans="1:11" ht="15.75" thickBot="1">
      <c r="A14" s="1"/>
      <c r="B14" s="11">
        <f t="shared" si="0"/>
        <v>12</v>
      </c>
      <c r="C14" s="13" t="s">
        <v>2</v>
      </c>
      <c r="D14" s="9" t="s">
        <v>43</v>
      </c>
      <c r="E14" s="10" t="s">
        <v>170</v>
      </c>
      <c r="F14" s="9" t="s">
        <v>283</v>
      </c>
      <c r="G14" s="10" t="s">
        <v>359</v>
      </c>
      <c r="H14" s="9" t="s">
        <v>457</v>
      </c>
      <c r="I14" s="10" t="s">
        <v>515</v>
      </c>
      <c r="J14" s="9">
        <v>1</v>
      </c>
      <c r="K14" s="9"/>
    </row>
    <row r="15" spans="1:11" ht="15.75" thickBot="1">
      <c r="A15" s="1"/>
      <c r="B15" s="11">
        <f>ROW(B15) - ROW($B$2)</f>
        <v>13</v>
      </c>
      <c r="C15" s="13" t="s">
        <v>2</v>
      </c>
      <c r="D15" s="7" t="s">
        <v>44</v>
      </c>
      <c r="E15" s="8" t="s">
        <v>171</v>
      </c>
      <c r="F15" s="7" t="s">
        <v>285</v>
      </c>
      <c r="G15" s="8" t="s">
        <v>360</v>
      </c>
      <c r="H15" s="7" t="s">
        <v>461</v>
      </c>
      <c r="I15" s="8" t="s">
        <v>508</v>
      </c>
      <c r="J15" s="7">
        <v>1</v>
      </c>
      <c r="K15" s="7"/>
    </row>
    <row r="16" spans="1:11" ht="15.75" thickBot="1">
      <c r="A16" s="1"/>
      <c r="B16" s="11">
        <f t="shared" si="0"/>
        <v>14</v>
      </c>
      <c r="C16" s="13" t="s">
        <v>2</v>
      </c>
      <c r="D16" s="9" t="s">
        <v>45</v>
      </c>
      <c r="E16" s="10" t="s">
        <v>172</v>
      </c>
      <c r="F16" s="9" t="s">
        <v>284</v>
      </c>
      <c r="G16" s="10" t="s">
        <v>361</v>
      </c>
      <c r="H16" s="9" t="s">
        <v>459</v>
      </c>
      <c r="I16" s="10" t="s">
        <v>507</v>
      </c>
      <c r="J16" s="9">
        <v>1</v>
      </c>
      <c r="K16" s="9"/>
    </row>
    <row r="17" spans="1:11" ht="15.75" thickBot="1">
      <c r="A17" s="1"/>
      <c r="B17" s="11">
        <f>ROW(B17) - ROW($B$2)</f>
        <v>15</v>
      </c>
      <c r="C17" s="12" t="s">
        <v>2</v>
      </c>
      <c r="D17" s="7" t="s">
        <v>46</v>
      </c>
      <c r="E17" s="8" t="s">
        <v>173</v>
      </c>
      <c r="F17" s="7" t="s">
        <v>285</v>
      </c>
      <c r="G17" s="8" t="s">
        <v>362</v>
      </c>
      <c r="H17" s="7" t="s">
        <v>462</v>
      </c>
      <c r="I17" s="8" t="s">
        <v>508</v>
      </c>
      <c r="J17" s="7">
        <v>2</v>
      </c>
      <c r="K17" s="7"/>
    </row>
    <row r="18" spans="1:11" ht="15.75" thickBot="1">
      <c r="A18" s="1"/>
      <c r="B18" s="11">
        <f t="shared" si="0"/>
        <v>16</v>
      </c>
      <c r="C18" s="13" t="s">
        <v>2</v>
      </c>
      <c r="D18" s="9" t="s">
        <v>47</v>
      </c>
      <c r="E18" s="10" t="s">
        <v>174</v>
      </c>
      <c r="F18" s="9" t="s">
        <v>289</v>
      </c>
      <c r="G18" s="10" t="s">
        <v>363</v>
      </c>
      <c r="H18" s="9" t="s">
        <v>463</v>
      </c>
      <c r="I18" s="10" t="s">
        <v>516</v>
      </c>
      <c r="J18" s="9">
        <v>1</v>
      </c>
      <c r="K18" s="9"/>
    </row>
    <row r="19" spans="1:11" ht="15.75" thickBot="1">
      <c r="A19" s="1"/>
      <c r="B19" s="11">
        <f>ROW(B19) - ROW($B$2)</f>
        <v>17</v>
      </c>
      <c r="C19" s="12" t="s">
        <v>2</v>
      </c>
      <c r="D19" s="7" t="s">
        <v>48</v>
      </c>
      <c r="E19" s="8" t="s">
        <v>175</v>
      </c>
      <c r="F19" s="7" t="s">
        <v>290</v>
      </c>
      <c r="G19" s="8" t="s">
        <v>364</v>
      </c>
      <c r="H19" s="7" t="s">
        <v>463</v>
      </c>
      <c r="I19" s="8" t="s">
        <v>510</v>
      </c>
      <c r="J19" s="7">
        <v>1</v>
      </c>
      <c r="K19" s="7"/>
    </row>
    <row r="20" spans="1:11" ht="15.75" thickBot="1">
      <c r="A20" s="1"/>
      <c r="B20" s="11">
        <f t="shared" si="0"/>
        <v>18</v>
      </c>
      <c r="C20" s="13" t="s">
        <v>2</v>
      </c>
      <c r="D20" s="9" t="s">
        <v>49</v>
      </c>
      <c r="E20" s="10" t="s">
        <v>176</v>
      </c>
      <c r="F20" s="9" t="s">
        <v>285</v>
      </c>
      <c r="G20" s="10" t="s">
        <v>365</v>
      </c>
      <c r="H20" s="9" t="s">
        <v>457</v>
      </c>
      <c r="I20" s="10" t="s">
        <v>507</v>
      </c>
      <c r="J20" s="9">
        <v>2</v>
      </c>
      <c r="K20" s="9"/>
    </row>
    <row r="21" spans="1:11" ht="15.75" thickBot="1">
      <c r="A21" s="1"/>
      <c r="B21" s="11">
        <f>ROW(B21) - ROW($B$2)</f>
        <v>19</v>
      </c>
      <c r="C21" s="13" t="s">
        <v>2</v>
      </c>
      <c r="D21" s="7" t="s">
        <v>50</v>
      </c>
      <c r="E21" s="8" t="s">
        <v>177</v>
      </c>
      <c r="F21" s="7" t="s">
        <v>291</v>
      </c>
      <c r="G21" s="8" t="s">
        <v>366</v>
      </c>
      <c r="H21" s="7" t="s">
        <v>462</v>
      </c>
      <c r="I21" s="8" t="s">
        <v>508</v>
      </c>
      <c r="J21" s="7">
        <v>1</v>
      </c>
      <c r="K21" s="7"/>
    </row>
    <row r="22" spans="1:11" ht="15.75" thickBot="1">
      <c r="A22" s="1"/>
      <c r="B22" s="11">
        <f t="shared" si="0"/>
        <v>20</v>
      </c>
      <c r="C22" s="13" t="s">
        <v>3</v>
      </c>
      <c r="D22" s="9" t="s">
        <v>51</v>
      </c>
      <c r="E22" s="10" t="s">
        <v>178</v>
      </c>
      <c r="F22" s="9" t="s">
        <v>292</v>
      </c>
      <c r="G22" s="10" t="s">
        <v>292</v>
      </c>
      <c r="H22" s="9" t="s">
        <v>463</v>
      </c>
      <c r="I22" s="10" t="s">
        <v>517</v>
      </c>
      <c r="J22" s="9">
        <v>1</v>
      </c>
      <c r="K22" s="9"/>
    </row>
    <row r="23" spans="1:11" ht="15.75" thickBot="1">
      <c r="A23" s="1"/>
      <c r="B23" s="11">
        <f>ROW(B23) - ROW($B$2)</f>
        <v>21</v>
      </c>
      <c r="C23" s="12" t="s">
        <v>2</v>
      </c>
      <c r="D23" s="7" t="s">
        <v>52</v>
      </c>
      <c r="E23" s="8" t="s">
        <v>179</v>
      </c>
      <c r="F23" s="7" t="s">
        <v>293</v>
      </c>
      <c r="G23" s="8" t="s">
        <v>367</v>
      </c>
      <c r="H23" s="7" t="s">
        <v>464</v>
      </c>
      <c r="I23" s="8" t="s">
        <v>518</v>
      </c>
      <c r="J23" s="7">
        <v>3</v>
      </c>
      <c r="K23" s="7"/>
    </row>
    <row r="24" spans="1:11" ht="15.75" thickBot="1">
      <c r="A24" s="1"/>
      <c r="B24" s="11">
        <f t="shared" si="0"/>
        <v>22</v>
      </c>
      <c r="C24" s="12" t="s">
        <v>2</v>
      </c>
      <c r="D24" s="9" t="s">
        <v>53</v>
      </c>
      <c r="E24" s="10" t="s">
        <v>180</v>
      </c>
      <c r="F24" s="9" t="s">
        <v>283</v>
      </c>
      <c r="G24" s="10" t="s">
        <v>368</v>
      </c>
      <c r="H24" s="9" t="s">
        <v>459</v>
      </c>
      <c r="I24" s="10" t="s">
        <v>519</v>
      </c>
      <c r="J24" s="9">
        <v>2</v>
      </c>
      <c r="K24" s="9"/>
    </row>
    <row r="25" spans="1:11" ht="15.75" thickBot="1">
      <c r="A25" s="1"/>
      <c r="B25" s="11">
        <f>ROW(B25) - ROW($B$2)</f>
        <v>23</v>
      </c>
      <c r="C25" s="12" t="s">
        <v>2</v>
      </c>
      <c r="D25" s="7" t="s">
        <v>54</v>
      </c>
      <c r="E25" s="8" t="s">
        <v>181</v>
      </c>
      <c r="F25" s="7" t="s">
        <v>284</v>
      </c>
      <c r="G25" s="8" t="s">
        <v>369</v>
      </c>
      <c r="H25" s="7" t="s">
        <v>457</v>
      </c>
      <c r="I25" s="8" t="s">
        <v>520</v>
      </c>
      <c r="J25" s="7">
        <v>1</v>
      </c>
      <c r="K25" s="7"/>
    </row>
    <row r="26" spans="1:11" ht="15.75" thickBot="1">
      <c r="A26" s="1"/>
      <c r="B26" s="11">
        <f t="shared" si="0"/>
        <v>24</v>
      </c>
      <c r="C26" s="13" t="s">
        <v>2</v>
      </c>
      <c r="D26" s="9" t="s">
        <v>55</v>
      </c>
      <c r="E26" s="10" t="s">
        <v>182</v>
      </c>
      <c r="F26" s="9" t="s">
        <v>284</v>
      </c>
      <c r="G26" s="10" t="s">
        <v>370</v>
      </c>
      <c r="H26" s="9" t="s">
        <v>457</v>
      </c>
      <c r="I26" s="10" t="s">
        <v>521</v>
      </c>
      <c r="J26" s="9">
        <v>1</v>
      </c>
      <c r="K26" s="9"/>
    </row>
    <row r="27" spans="1:11" ht="15.75" thickBot="1">
      <c r="A27" s="1"/>
      <c r="B27" s="11">
        <f>ROW(B27) - ROW($B$2)</f>
        <v>25</v>
      </c>
      <c r="C27" s="12" t="s">
        <v>2</v>
      </c>
      <c r="D27" s="7" t="s">
        <v>56</v>
      </c>
      <c r="E27" s="8" t="s">
        <v>183</v>
      </c>
      <c r="F27" s="7" t="s">
        <v>284</v>
      </c>
      <c r="G27" s="8" t="s">
        <v>371</v>
      </c>
      <c r="H27" s="7" t="s">
        <v>457</v>
      </c>
      <c r="I27" s="8" t="s">
        <v>518</v>
      </c>
      <c r="J27" s="7">
        <v>2</v>
      </c>
      <c r="K27" s="7"/>
    </row>
    <row r="28" spans="1:11" ht="15.75" thickBot="1">
      <c r="A28" s="1"/>
      <c r="B28" s="11">
        <f t="shared" si="0"/>
        <v>26</v>
      </c>
      <c r="C28" s="13" t="s">
        <v>2</v>
      </c>
      <c r="D28" s="9" t="s">
        <v>57</v>
      </c>
      <c r="E28" s="10" t="s">
        <v>184</v>
      </c>
      <c r="F28" s="9" t="s">
        <v>285</v>
      </c>
      <c r="G28" s="10" t="s">
        <v>372</v>
      </c>
      <c r="H28" s="9" t="s">
        <v>462</v>
      </c>
      <c r="I28" s="10" t="s">
        <v>522</v>
      </c>
      <c r="J28" s="9">
        <v>2</v>
      </c>
      <c r="K28" s="9"/>
    </row>
    <row r="29" spans="1:11" ht="24.75" thickBot="1">
      <c r="A29" s="1"/>
      <c r="B29" s="11">
        <f>ROW(B29) - ROW($B$2)</f>
        <v>27</v>
      </c>
      <c r="C29" s="13" t="s">
        <v>6</v>
      </c>
      <c r="D29" s="7" t="s">
        <v>58</v>
      </c>
      <c r="E29" s="8" t="s">
        <v>185</v>
      </c>
      <c r="F29" s="7" t="s">
        <v>294</v>
      </c>
      <c r="G29" s="8" t="s">
        <v>373</v>
      </c>
      <c r="H29" s="7" t="s">
        <v>465</v>
      </c>
      <c r="I29" s="8" t="s">
        <v>564</v>
      </c>
      <c r="J29" s="7">
        <v>1</v>
      </c>
      <c r="K29" s="7"/>
    </row>
    <row r="30" spans="1:11" ht="15.75" thickBot="1">
      <c r="A30" s="1"/>
      <c r="B30" s="11">
        <f t="shared" si="0"/>
        <v>28</v>
      </c>
      <c r="C30" s="13" t="s">
        <v>4</v>
      </c>
      <c r="D30" s="9" t="s">
        <v>59</v>
      </c>
      <c r="E30" s="10" t="s">
        <v>186</v>
      </c>
      <c r="F30" s="9" t="s">
        <v>294</v>
      </c>
      <c r="G30" s="10" t="s">
        <v>374</v>
      </c>
      <c r="H30" s="9" t="s">
        <v>466</v>
      </c>
      <c r="I30" s="8" t="s">
        <v>564</v>
      </c>
      <c r="J30" s="9">
        <v>1</v>
      </c>
      <c r="K30" s="9"/>
    </row>
    <row r="31" spans="1:11" ht="24.75" thickBot="1">
      <c r="A31" s="1"/>
      <c r="B31" s="11">
        <f>ROW(B31) - ROW($B$2)</f>
        <v>29</v>
      </c>
      <c r="C31" s="12" t="s">
        <v>5</v>
      </c>
      <c r="D31" s="7" t="s">
        <v>60</v>
      </c>
      <c r="E31" s="8" t="s">
        <v>187</v>
      </c>
      <c r="F31" s="7" t="s">
        <v>295</v>
      </c>
      <c r="G31" s="8" t="s">
        <v>375</v>
      </c>
      <c r="H31" s="7" t="s">
        <v>467</v>
      </c>
      <c r="I31" s="8" t="s">
        <v>564</v>
      </c>
      <c r="J31" s="7">
        <v>13</v>
      </c>
      <c r="K31" s="7"/>
    </row>
    <row r="32" spans="1:11" ht="24.75" thickBot="1">
      <c r="A32" s="1"/>
      <c r="B32" s="11">
        <f t="shared" si="0"/>
        <v>30</v>
      </c>
      <c r="C32" s="13" t="s">
        <v>6</v>
      </c>
      <c r="D32" s="9" t="s">
        <v>61</v>
      </c>
      <c r="E32" s="10" t="s">
        <v>188</v>
      </c>
      <c r="F32" s="9" t="s">
        <v>296</v>
      </c>
      <c r="G32" s="10" t="s">
        <v>376</v>
      </c>
      <c r="H32" s="9" t="s">
        <v>468</v>
      </c>
      <c r="I32" s="8" t="s">
        <v>564</v>
      </c>
      <c r="J32" s="9">
        <v>1</v>
      </c>
      <c r="K32" s="9"/>
    </row>
    <row r="33" spans="1:11" ht="24.75" thickBot="1">
      <c r="A33" s="1"/>
      <c r="B33" s="11">
        <f>ROW(B33) - ROW($B$2)</f>
        <v>31</v>
      </c>
      <c r="C33" s="12" t="s">
        <v>6</v>
      </c>
      <c r="D33" s="7" t="s">
        <v>62</v>
      </c>
      <c r="E33" s="8" t="s">
        <v>189</v>
      </c>
      <c r="F33" s="7" t="s">
        <v>297</v>
      </c>
      <c r="G33" s="8" t="s">
        <v>377</v>
      </c>
      <c r="H33" s="7" t="s">
        <v>469</v>
      </c>
      <c r="I33" s="8" t="s">
        <v>564</v>
      </c>
      <c r="J33" s="7">
        <v>2</v>
      </c>
      <c r="K33" s="7"/>
    </row>
    <row r="34" spans="1:11" ht="36.75" thickBot="1">
      <c r="A34" s="1"/>
      <c r="B34" s="11">
        <f t="shared" si="0"/>
        <v>32</v>
      </c>
      <c r="C34" s="13" t="s">
        <v>6</v>
      </c>
      <c r="D34" s="9" t="s">
        <v>63</v>
      </c>
      <c r="E34" s="10" t="s">
        <v>190</v>
      </c>
      <c r="F34" s="9" t="s">
        <v>298</v>
      </c>
      <c r="G34" s="10" t="s">
        <v>378</v>
      </c>
      <c r="H34" s="9" t="s">
        <v>470</v>
      </c>
      <c r="I34" s="8" t="s">
        <v>564</v>
      </c>
      <c r="J34" s="9">
        <v>1</v>
      </c>
      <c r="K34" s="9"/>
    </row>
    <row r="35" spans="1:11" ht="15.75" thickBot="1">
      <c r="A35" s="1"/>
      <c r="B35" s="11">
        <f>ROW(B35) - ROW($B$2)</f>
        <v>33</v>
      </c>
      <c r="C35" s="12" t="s">
        <v>6</v>
      </c>
      <c r="D35" s="7" t="s">
        <v>64</v>
      </c>
      <c r="E35" s="8" t="s">
        <v>191</v>
      </c>
      <c r="F35" s="7" t="s">
        <v>298</v>
      </c>
      <c r="G35" s="8" t="s">
        <v>379</v>
      </c>
      <c r="H35" s="7" t="s">
        <v>471</v>
      </c>
      <c r="I35" s="8" t="s">
        <v>564</v>
      </c>
      <c r="J35" s="7">
        <v>1</v>
      </c>
      <c r="K35" s="7"/>
    </row>
    <row r="36" spans="1:11" ht="15.75" thickBot="1">
      <c r="A36" s="1"/>
      <c r="B36" s="11">
        <f t="shared" si="0"/>
        <v>34</v>
      </c>
      <c r="C36" s="13" t="s">
        <v>6</v>
      </c>
      <c r="D36" s="9" t="s">
        <v>65</v>
      </c>
      <c r="E36" s="10" t="s">
        <v>192</v>
      </c>
      <c r="F36" s="9" t="s">
        <v>299</v>
      </c>
      <c r="G36" s="10" t="s">
        <v>380</v>
      </c>
      <c r="H36" s="9" t="s">
        <v>472</v>
      </c>
      <c r="I36" s="8" t="s">
        <v>564</v>
      </c>
      <c r="J36" s="9">
        <v>1</v>
      </c>
      <c r="K36" s="9"/>
    </row>
    <row r="37" spans="1:11" ht="15.75" thickBot="1">
      <c r="A37" s="1"/>
      <c r="B37" s="11">
        <f>ROW(B37) - ROW($B$2)</f>
        <v>35</v>
      </c>
      <c r="C37" s="12" t="s">
        <v>6</v>
      </c>
      <c r="D37" s="7" t="s">
        <v>66</v>
      </c>
      <c r="E37" s="8" t="s">
        <v>193</v>
      </c>
      <c r="F37" s="7" t="s">
        <v>300</v>
      </c>
      <c r="G37" s="8" t="s">
        <v>381</v>
      </c>
      <c r="H37" s="7" t="s">
        <v>7</v>
      </c>
      <c r="I37" s="8" t="s">
        <v>564</v>
      </c>
      <c r="J37" s="7">
        <v>2</v>
      </c>
      <c r="K37" s="7"/>
    </row>
    <row r="38" spans="1:11" ht="24.75" thickBot="1">
      <c r="A38" s="1"/>
      <c r="B38" s="11">
        <f t="shared" si="0"/>
        <v>36</v>
      </c>
      <c r="C38" s="13" t="s">
        <v>6</v>
      </c>
      <c r="D38" s="9" t="s">
        <v>67</v>
      </c>
      <c r="E38" s="10" t="s">
        <v>194</v>
      </c>
      <c r="F38" s="9" t="s">
        <v>301</v>
      </c>
      <c r="G38" s="10" t="s">
        <v>382</v>
      </c>
      <c r="H38" s="9" t="s">
        <v>471</v>
      </c>
      <c r="I38" s="8" t="s">
        <v>564</v>
      </c>
      <c r="J38" s="9">
        <v>1</v>
      </c>
      <c r="K38" s="9"/>
    </row>
    <row r="39" spans="1:11" ht="15.75" thickBot="1">
      <c r="A39" s="1"/>
      <c r="B39" s="11">
        <f>ROW(B39) - ROW($B$2)</f>
        <v>37</v>
      </c>
      <c r="C39" s="12" t="s">
        <v>7</v>
      </c>
      <c r="D39" s="7" t="s">
        <v>68</v>
      </c>
      <c r="E39" s="8" t="s">
        <v>195</v>
      </c>
      <c r="F39" s="7" t="s">
        <v>302</v>
      </c>
      <c r="G39" s="8" t="s">
        <v>383</v>
      </c>
      <c r="H39" s="7" t="s">
        <v>7</v>
      </c>
      <c r="I39" s="8" t="s">
        <v>564</v>
      </c>
      <c r="J39" s="7">
        <v>1</v>
      </c>
      <c r="K39" s="7"/>
    </row>
    <row r="40" spans="1:11" ht="15.75" thickBot="1">
      <c r="A40" s="1"/>
      <c r="B40" s="11">
        <f t="shared" si="0"/>
        <v>38</v>
      </c>
      <c r="C40" s="13" t="s">
        <v>8</v>
      </c>
      <c r="D40" s="9" t="s">
        <v>69</v>
      </c>
      <c r="E40" s="10" t="s">
        <v>196</v>
      </c>
      <c r="F40" s="9" t="s">
        <v>303</v>
      </c>
      <c r="G40" s="10" t="s">
        <v>384</v>
      </c>
      <c r="H40" s="9" t="s">
        <v>473</v>
      </c>
      <c r="I40" s="8" t="s">
        <v>564</v>
      </c>
      <c r="J40" s="9">
        <v>1</v>
      </c>
      <c r="K40" s="9"/>
    </row>
    <row r="41" spans="1:11" ht="48.75" thickBot="1">
      <c r="A41" s="1"/>
      <c r="B41" s="11">
        <f>ROW(B41) - ROW($B$2)</f>
        <v>39</v>
      </c>
      <c r="C41" s="12" t="s">
        <v>9</v>
      </c>
      <c r="D41" s="7" t="s">
        <v>70</v>
      </c>
      <c r="E41" s="8" t="s">
        <v>197</v>
      </c>
      <c r="F41" s="7" t="s">
        <v>304</v>
      </c>
      <c r="G41" s="8" t="s">
        <v>304</v>
      </c>
      <c r="H41" s="7" t="s">
        <v>474</v>
      </c>
      <c r="I41" s="8" t="s">
        <v>564</v>
      </c>
      <c r="J41" s="7">
        <v>1</v>
      </c>
      <c r="K41" s="7"/>
    </row>
    <row r="42" spans="1:11" ht="15.75" thickBot="1">
      <c r="A42" s="1"/>
      <c r="B42" s="11">
        <f t="shared" si="0"/>
        <v>40</v>
      </c>
      <c r="C42" s="13" t="s">
        <v>10</v>
      </c>
      <c r="D42" s="9" t="s">
        <v>71</v>
      </c>
      <c r="E42" s="10" t="s">
        <v>198</v>
      </c>
      <c r="F42" s="9" t="s">
        <v>305</v>
      </c>
      <c r="G42" s="10" t="s">
        <v>305</v>
      </c>
      <c r="H42" s="9" t="s">
        <v>475</v>
      </c>
      <c r="I42" s="8" t="s">
        <v>564</v>
      </c>
      <c r="J42" s="9">
        <v>3</v>
      </c>
      <c r="K42" s="9"/>
    </row>
    <row r="43" spans="1:11" ht="15.75" thickBot="1">
      <c r="A43" s="1"/>
      <c r="B43" s="11">
        <f>ROW(B43) - ROW($B$2)</f>
        <v>41</v>
      </c>
      <c r="C43" s="12" t="s">
        <v>11</v>
      </c>
      <c r="D43" s="7" t="s">
        <v>72</v>
      </c>
      <c r="E43" s="8" t="s">
        <v>199</v>
      </c>
      <c r="F43" s="7">
        <v>22112032</v>
      </c>
      <c r="G43" s="8">
        <v>22112032</v>
      </c>
      <c r="H43" s="7" t="s">
        <v>476</v>
      </c>
      <c r="I43" s="8" t="s">
        <v>564</v>
      </c>
      <c r="J43" s="7">
        <v>1</v>
      </c>
      <c r="K43" s="7"/>
    </row>
    <row r="44" spans="1:11" ht="15.75" thickBot="1">
      <c r="A44" s="1"/>
      <c r="B44" s="11">
        <f t="shared" si="0"/>
        <v>42</v>
      </c>
      <c r="C44" s="13" t="s">
        <v>12</v>
      </c>
      <c r="D44" s="9" t="s">
        <v>73</v>
      </c>
      <c r="E44" s="10" t="s">
        <v>200</v>
      </c>
      <c r="F44" s="9" t="s">
        <v>306</v>
      </c>
      <c r="G44" s="10" t="s">
        <v>385</v>
      </c>
      <c r="H44" s="9" t="s">
        <v>473</v>
      </c>
      <c r="I44" s="8" t="s">
        <v>564</v>
      </c>
      <c r="J44" s="9">
        <v>1</v>
      </c>
      <c r="K44" s="9"/>
    </row>
    <row r="45" spans="1:11" ht="15.75" thickBot="1">
      <c r="A45" s="1"/>
      <c r="B45" s="11">
        <f>ROW(B45) - ROW($B$2)</f>
        <v>43</v>
      </c>
      <c r="C45" s="12" t="s">
        <v>10</v>
      </c>
      <c r="D45" s="7" t="s">
        <v>74</v>
      </c>
      <c r="E45" s="8" t="s">
        <v>198</v>
      </c>
      <c r="F45" s="7" t="s">
        <v>307</v>
      </c>
      <c r="G45" s="8" t="s">
        <v>307</v>
      </c>
      <c r="H45" s="7" t="s">
        <v>475</v>
      </c>
      <c r="I45" s="8" t="s">
        <v>564</v>
      </c>
      <c r="J45" s="7">
        <v>1</v>
      </c>
      <c r="K45" s="7"/>
    </row>
    <row r="46" spans="1:11" ht="15.75" thickBot="1">
      <c r="A46" s="1"/>
      <c r="B46" s="11">
        <f t="shared" si="0"/>
        <v>44</v>
      </c>
      <c r="C46" s="13" t="s">
        <v>11</v>
      </c>
      <c r="D46" s="9" t="s">
        <v>75</v>
      </c>
      <c r="E46" s="10" t="s">
        <v>201</v>
      </c>
      <c r="F46" s="9">
        <v>22112022</v>
      </c>
      <c r="G46" s="10">
        <v>22112022</v>
      </c>
      <c r="H46" s="9" t="s">
        <v>476</v>
      </c>
      <c r="I46" s="8" t="s">
        <v>564</v>
      </c>
      <c r="J46" s="9">
        <v>1</v>
      </c>
      <c r="K46" s="9"/>
    </row>
    <row r="47" spans="1:11" ht="60.75" thickBot="1">
      <c r="A47" s="1"/>
      <c r="B47" s="11">
        <f>ROW(B47) - ROW($B$2)</f>
        <v>45</v>
      </c>
      <c r="C47" s="12" t="s">
        <v>13</v>
      </c>
      <c r="D47" s="7" t="s">
        <v>76</v>
      </c>
      <c r="E47" s="8" t="s">
        <v>202</v>
      </c>
      <c r="F47" s="7" t="s">
        <v>308</v>
      </c>
      <c r="G47" s="8" t="s">
        <v>308</v>
      </c>
      <c r="H47" s="7" t="s">
        <v>477</v>
      </c>
      <c r="I47" s="8" t="s">
        <v>564</v>
      </c>
      <c r="J47" s="7">
        <v>2</v>
      </c>
      <c r="K47" s="7"/>
    </row>
    <row r="48" spans="1:11" ht="48.75" thickBot="1">
      <c r="A48" s="1"/>
      <c r="B48" s="11">
        <f t="shared" si="0"/>
        <v>46</v>
      </c>
      <c r="C48" s="13" t="s">
        <v>14</v>
      </c>
      <c r="D48" s="9" t="s">
        <v>77</v>
      </c>
      <c r="E48" s="10" t="s">
        <v>203</v>
      </c>
      <c r="F48" s="9" t="s">
        <v>309</v>
      </c>
      <c r="G48" s="10" t="s">
        <v>386</v>
      </c>
      <c r="H48" s="9" t="s">
        <v>478</v>
      </c>
      <c r="I48" s="8" t="s">
        <v>564</v>
      </c>
      <c r="J48" s="9">
        <v>2</v>
      </c>
      <c r="K48" s="9"/>
    </row>
    <row r="49" spans="1:11" ht="15.75" thickBot="1">
      <c r="A49" s="1"/>
      <c r="B49" s="11">
        <f>ROW(B49) - ROW($B$2)</f>
        <v>47</v>
      </c>
      <c r="C49" s="12" t="s">
        <v>10</v>
      </c>
      <c r="D49" s="7" t="s">
        <v>78</v>
      </c>
      <c r="E49" s="8" t="s">
        <v>198</v>
      </c>
      <c r="F49" s="7" t="s">
        <v>310</v>
      </c>
      <c r="G49" s="8" t="s">
        <v>310</v>
      </c>
      <c r="H49" s="7" t="s">
        <v>475</v>
      </c>
      <c r="I49" s="8" t="s">
        <v>564</v>
      </c>
      <c r="J49" s="7">
        <v>1</v>
      </c>
      <c r="K49" s="7"/>
    </row>
    <row r="50" spans="1:11" ht="24.75" thickBot="1">
      <c r="A50" s="1"/>
      <c r="B50" s="11">
        <f t="shared" si="0"/>
        <v>48</v>
      </c>
      <c r="C50" s="13" t="s">
        <v>15</v>
      </c>
      <c r="D50" s="9" t="s">
        <v>79</v>
      </c>
      <c r="E50" s="10" t="s">
        <v>204</v>
      </c>
      <c r="F50" s="9" t="s">
        <v>311</v>
      </c>
      <c r="G50" s="10" t="s">
        <v>311</v>
      </c>
      <c r="H50" s="9" t="s">
        <v>479</v>
      </c>
      <c r="I50" s="8" t="s">
        <v>564</v>
      </c>
      <c r="J50" s="9">
        <v>1</v>
      </c>
      <c r="K50" s="9"/>
    </row>
    <row r="51" spans="1:11" ht="15.75" thickBot="1">
      <c r="A51" s="1"/>
      <c r="B51" s="11">
        <f>ROW(B51) - ROW($B$2)</f>
        <v>49</v>
      </c>
      <c r="C51" s="12" t="s">
        <v>16</v>
      </c>
      <c r="D51" s="7" t="s">
        <v>80</v>
      </c>
      <c r="E51" s="8" t="s">
        <v>205</v>
      </c>
      <c r="F51" s="7" t="s">
        <v>312</v>
      </c>
      <c r="G51" s="8" t="s">
        <v>387</v>
      </c>
      <c r="H51" s="7" t="s">
        <v>480</v>
      </c>
      <c r="I51" s="8" t="s">
        <v>523</v>
      </c>
      <c r="J51" s="7">
        <v>1</v>
      </c>
      <c r="K51" s="7"/>
    </row>
    <row r="52" spans="1:11" ht="36.75" thickBot="1">
      <c r="A52" s="1"/>
      <c r="B52" s="11">
        <f t="shared" si="0"/>
        <v>50</v>
      </c>
      <c r="C52" s="13" t="s">
        <v>16</v>
      </c>
      <c r="D52" s="9" t="s">
        <v>81</v>
      </c>
      <c r="E52" s="10" t="s">
        <v>206</v>
      </c>
      <c r="F52" s="9" t="s">
        <v>313</v>
      </c>
      <c r="G52" s="10" t="s">
        <v>313</v>
      </c>
      <c r="H52" s="9" t="s">
        <v>459</v>
      </c>
      <c r="I52" s="10" t="s">
        <v>524</v>
      </c>
      <c r="J52" s="9">
        <v>1</v>
      </c>
      <c r="K52" s="9"/>
    </row>
    <row r="53" spans="1:11" ht="24.75" thickBot="1">
      <c r="A53" s="1"/>
      <c r="B53" s="11">
        <f>ROW(B53) - ROW($B$2)</f>
        <v>51</v>
      </c>
      <c r="C53" s="12" t="s">
        <v>16</v>
      </c>
      <c r="D53" s="7" t="s">
        <v>82</v>
      </c>
      <c r="E53" s="8" t="s">
        <v>207</v>
      </c>
      <c r="F53" s="7" t="s">
        <v>314</v>
      </c>
      <c r="G53" s="8" t="s">
        <v>314</v>
      </c>
      <c r="H53" s="7" t="s">
        <v>481</v>
      </c>
      <c r="I53" s="8" t="s">
        <v>525</v>
      </c>
      <c r="J53" s="7">
        <v>1</v>
      </c>
      <c r="K53" s="7"/>
    </row>
    <row r="54" spans="1:11" ht="15.75" thickBot="1">
      <c r="A54" s="1"/>
      <c r="B54" s="11">
        <f t="shared" si="0"/>
        <v>52</v>
      </c>
      <c r="C54" s="13" t="s">
        <v>16</v>
      </c>
      <c r="D54" s="9" t="s">
        <v>83</v>
      </c>
      <c r="E54" s="10" t="s">
        <v>208</v>
      </c>
      <c r="F54" s="9" t="s">
        <v>315</v>
      </c>
      <c r="G54" s="10" t="s">
        <v>388</v>
      </c>
      <c r="H54" s="9" t="s">
        <v>462</v>
      </c>
      <c r="I54" s="10" t="s">
        <v>526</v>
      </c>
      <c r="J54" s="9">
        <v>1</v>
      </c>
      <c r="K54" s="9"/>
    </row>
    <row r="55" spans="1:11" ht="15.75" thickBot="1">
      <c r="A55" s="1"/>
      <c r="B55" s="11">
        <f>ROW(B55) - ROW($B$2)</f>
        <v>53</v>
      </c>
      <c r="C55" s="12" t="s">
        <v>17</v>
      </c>
      <c r="D55" s="7" t="s">
        <v>84</v>
      </c>
      <c r="E55" s="8" t="s">
        <v>209</v>
      </c>
      <c r="F55" s="7" t="s">
        <v>316</v>
      </c>
      <c r="G55" s="8" t="s">
        <v>389</v>
      </c>
      <c r="H55" s="7" t="s">
        <v>482</v>
      </c>
      <c r="I55" s="8" t="s">
        <v>564</v>
      </c>
      <c r="J55" s="7">
        <v>3</v>
      </c>
      <c r="K55" s="7"/>
    </row>
    <row r="56" spans="1:11" ht="15.75" thickBot="1">
      <c r="A56" s="1"/>
      <c r="B56" s="11">
        <f t="shared" si="0"/>
        <v>54</v>
      </c>
      <c r="C56" s="13" t="s">
        <v>18</v>
      </c>
      <c r="D56" s="9" t="s">
        <v>85</v>
      </c>
      <c r="E56" s="10" t="s">
        <v>210</v>
      </c>
      <c r="F56" s="9" t="s">
        <v>317</v>
      </c>
      <c r="G56" s="10" t="s">
        <v>390</v>
      </c>
      <c r="H56" s="9" t="s">
        <v>483</v>
      </c>
      <c r="I56" s="8" t="s">
        <v>564</v>
      </c>
      <c r="J56" s="9">
        <v>1</v>
      </c>
      <c r="K56" s="9"/>
    </row>
    <row r="57" spans="1:11" ht="24.75" thickBot="1">
      <c r="A57" s="1"/>
      <c r="B57" s="11">
        <f>ROW(B57) - ROW($B$2)</f>
        <v>55</v>
      </c>
      <c r="C57" s="12" t="s">
        <v>17</v>
      </c>
      <c r="D57" s="7" t="s">
        <v>86</v>
      </c>
      <c r="E57" s="8" t="s">
        <v>211</v>
      </c>
      <c r="F57" s="7" t="s">
        <v>318</v>
      </c>
      <c r="G57" s="8" t="s">
        <v>391</v>
      </c>
      <c r="H57" s="7" t="s">
        <v>484</v>
      </c>
      <c r="I57" s="8" t="s">
        <v>564</v>
      </c>
      <c r="J57" s="7">
        <v>1</v>
      </c>
      <c r="K57" s="7"/>
    </row>
    <row r="58" spans="1:11" ht="24.75" thickBot="1">
      <c r="A58" s="1"/>
      <c r="B58" s="11">
        <f t="shared" si="0"/>
        <v>56</v>
      </c>
      <c r="C58" s="13" t="s">
        <v>19</v>
      </c>
      <c r="D58" s="9" t="s">
        <v>87</v>
      </c>
      <c r="E58" s="10" t="s">
        <v>212</v>
      </c>
      <c r="F58" s="9" t="s">
        <v>319</v>
      </c>
      <c r="G58" s="10" t="s">
        <v>392</v>
      </c>
      <c r="H58" s="9" t="s">
        <v>485</v>
      </c>
      <c r="I58" s="8" t="s">
        <v>564</v>
      </c>
      <c r="J58" s="9">
        <v>1</v>
      </c>
      <c r="K58" s="9"/>
    </row>
    <row r="59" spans="1:11" ht="15.75" thickBot="1">
      <c r="A59" s="1"/>
      <c r="B59" s="11">
        <f>ROW(B59) - ROW($B$2)</f>
        <v>57</v>
      </c>
      <c r="C59" s="12" t="s">
        <v>20</v>
      </c>
      <c r="D59" s="15" t="s">
        <v>88</v>
      </c>
      <c r="E59" s="16" t="s">
        <v>213</v>
      </c>
      <c r="F59" s="15" t="s">
        <v>563</v>
      </c>
      <c r="G59" s="15" t="s">
        <v>20</v>
      </c>
      <c r="H59" s="15" t="s">
        <v>564</v>
      </c>
      <c r="I59" s="16" t="s">
        <v>564</v>
      </c>
      <c r="J59" s="15">
        <v>6</v>
      </c>
      <c r="K59" s="19" t="s">
        <v>565</v>
      </c>
    </row>
    <row r="60" spans="1:11" ht="15.75" thickBot="1">
      <c r="A60" s="1"/>
      <c r="B60" s="11">
        <f t="shared" si="0"/>
        <v>58</v>
      </c>
      <c r="C60" s="13" t="s">
        <v>21</v>
      </c>
      <c r="D60" s="9" t="s">
        <v>89</v>
      </c>
      <c r="E60" s="10" t="s">
        <v>214</v>
      </c>
      <c r="F60" s="9" t="s">
        <v>320</v>
      </c>
      <c r="G60" s="10" t="s">
        <v>393</v>
      </c>
      <c r="H60" s="9" t="s">
        <v>486</v>
      </c>
      <c r="I60" s="10" t="s">
        <v>564</v>
      </c>
      <c r="J60" s="9">
        <v>3</v>
      </c>
      <c r="K60" s="9"/>
    </row>
    <row r="61" spans="1:11" ht="15.75" thickBot="1">
      <c r="A61" s="1"/>
      <c r="B61" s="11">
        <f>ROW(B61) - ROW($B$2)</f>
        <v>59</v>
      </c>
      <c r="C61" s="12" t="s">
        <v>22</v>
      </c>
      <c r="D61" s="7" t="s">
        <v>90</v>
      </c>
      <c r="E61" s="8" t="s">
        <v>215</v>
      </c>
      <c r="F61" s="7" t="s">
        <v>320</v>
      </c>
      <c r="G61" s="8" t="s">
        <v>394</v>
      </c>
      <c r="H61" s="7" t="s">
        <v>487</v>
      </c>
      <c r="I61" s="10" t="s">
        <v>564</v>
      </c>
      <c r="J61" s="7">
        <v>1</v>
      </c>
      <c r="K61" s="7"/>
    </row>
    <row r="62" spans="1:11" ht="15.75" thickBot="1">
      <c r="A62" s="1"/>
      <c r="B62" s="11">
        <f t="shared" si="0"/>
        <v>60</v>
      </c>
      <c r="C62" s="13" t="s">
        <v>22</v>
      </c>
      <c r="D62" s="9" t="s">
        <v>91</v>
      </c>
      <c r="E62" s="10" t="s">
        <v>216</v>
      </c>
      <c r="F62" s="9" t="s">
        <v>321</v>
      </c>
      <c r="G62" s="10" t="s">
        <v>395</v>
      </c>
      <c r="H62" s="9" t="s">
        <v>488</v>
      </c>
      <c r="I62" s="10" t="s">
        <v>564</v>
      </c>
      <c r="J62" s="9">
        <v>2</v>
      </c>
      <c r="K62" s="9"/>
    </row>
    <row r="63" spans="1:11" ht="15.75" thickBot="1">
      <c r="A63" s="1"/>
      <c r="B63" s="11">
        <f>ROW(B63) - ROW($B$2)</f>
        <v>61</v>
      </c>
      <c r="C63" s="12" t="s">
        <v>22</v>
      </c>
      <c r="D63" s="7" t="s">
        <v>92</v>
      </c>
      <c r="E63" s="8" t="s">
        <v>217</v>
      </c>
      <c r="F63" s="7" t="s">
        <v>320</v>
      </c>
      <c r="G63" s="8" t="s">
        <v>396</v>
      </c>
      <c r="H63" s="7" t="s">
        <v>489</v>
      </c>
      <c r="I63" s="10" t="s">
        <v>564</v>
      </c>
      <c r="J63" s="7">
        <v>1</v>
      </c>
      <c r="K63" s="7"/>
    </row>
    <row r="64" spans="1:11" ht="15.75" thickBot="1">
      <c r="A64" s="1"/>
      <c r="B64" s="11">
        <f t="shared" si="0"/>
        <v>62</v>
      </c>
      <c r="C64" s="13" t="s">
        <v>22</v>
      </c>
      <c r="D64" s="9" t="s">
        <v>93</v>
      </c>
      <c r="E64" s="10" t="s">
        <v>218</v>
      </c>
      <c r="F64" s="9" t="s">
        <v>320</v>
      </c>
      <c r="G64" s="10" t="s">
        <v>397</v>
      </c>
      <c r="H64" s="9" t="s">
        <v>7</v>
      </c>
      <c r="I64" s="10" t="s">
        <v>564</v>
      </c>
      <c r="J64" s="9">
        <v>1</v>
      </c>
      <c r="K64" s="9"/>
    </row>
    <row r="65" spans="1:11" ht="15.75" thickBot="1">
      <c r="A65" s="1"/>
      <c r="B65" s="11">
        <f>ROW(B65) - ROW($B$2)</f>
        <v>63</v>
      </c>
      <c r="C65" s="12" t="s">
        <v>23</v>
      </c>
      <c r="D65" s="7" t="s">
        <v>94</v>
      </c>
      <c r="E65" s="8" t="s">
        <v>219</v>
      </c>
      <c r="F65" s="7" t="s">
        <v>322</v>
      </c>
      <c r="G65" s="8" t="s">
        <v>398</v>
      </c>
      <c r="H65" s="7" t="s">
        <v>490</v>
      </c>
      <c r="I65" s="10" t="s">
        <v>564</v>
      </c>
      <c r="J65" s="7">
        <v>1</v>
      </c>
      <c r="K65" s="7"/>
    </row>
    <row r="66" spans="1:11" ht="15.75" thickBot="1">
      <c r="A66" s="1"/>
      <c r="B66" s="11">
        <f t="shared" si="0"/>
        <v>64</v>
      </c>
      <c r="C66" s="13" t="s">
        <v>22</v>
      </c>
      <c r="D66" s="9" t="s">
        <v>95</v>
      </c>
      <c r="E66" s="10" t="s">
        <v>220</v>
      </c>
      <c r="F66" s="9" t="s">
        <v>296</v>
      </c>
      <c r="G66" s="10" t="s">
        <v>399</v>
      </c>
      <c r="H66" s="9" t="s">
        <v>491</v>
      </c>
      <c r="I66" s="10" t="s">
        <v>564</v>
      </c>
      <c r="J66" s="9">
        <v>1</v>
      </c>
      <c r="K66" s="9"/>
    </row>
    <row r="67" spans="1:11" ht="36.75" thickBot="1">
      <c r="A67" s="1"/>
      <c r="B67" s="11">
        <f>ROW(B67) - ROW($B$2)</f>
        <v>65</v>
      </c>
      <c r="C67" s="12" t="s">
        <v>22</v>
      </c>
      <c r="D67" s="7" t="s">
        <v>96</v>
      </c>
      <c r="E67" s="8" t="s">
        <v>221</v>
      </c>
      <c r="F67" s="7" t="s">
        <v>320</v>
      </c>
      <c r="G67" s="8" t="s">
        <v>400</v>
      </c>
      <c r="H67" s="7" t="s">
        <v>465</v>
      </c>
      <c r="I67" s="10" t="s">
        <v>564</v>
      </c>
      <c r="J67" s="7">
        <v>1</v>
      </c>
      <c r="K67" s="7"/>
    </row>
    <row r="68" spans="1:11" ht="36.75" thickBot="1">
      <c r="A68" s="1"/>
      <c r="B68" s="11">
        <f t="shared" si="0"/>
        <v>66</v>
      </c>
      <c r="C68" s="13" t="s">
        <v>24</v>
      </c>
      <c r="D68" s="9" t="s">
        <v>97</v>
      </c>
      <c r="E68" s="10" t="s">
        <v>222</v>
      </c>
      <c r="F68" s="9" t="s">
        <v>323</v>
      </c>
      <c r="G68" s="10" t="s">
        <v>401</v>
      </c>
      <c r="H68" s="9" t="s">
        <v>492</v>
      </c>
      <c r="I68" s="10" t="s">
        <v>527</v>
      </c>
      <c r="J68" s="9">
        <v>1</v>
      </c>
      <c r="K68" s="9"/>
    </row>
    <row r="69" spans="1:11" ht="36.75" thickBot="1">
      <c r="A69" s="1"/>
      <c r="B69" s="11">
        <f>ROW(B69) - ROW($B$2)</f>
        <v>67</v>
      </c>
      <c r="C69" s="12" t="s">
        <v>24</v>
      </c>
      <c r="D69" s="7" t="s">
        <v>98</v>
      </c>
      <c r="E69" s="8" t="s">
        <v>223</v>
      </c>
      <c r="F69" s="7" t="s">
        <v>323</v>
      </c>
      <c r="G69" s="8" t="s">
        <v>402</v>
      </c>
      <c r="H69" s="7" t="s">
        <v>493</v>
      </c>
      <c r="I69" s="8" t="s">
        <v>528</v>
      </c>
      <c r="J69" s="7">
        <v>1</v>
      </c>
      <c r="K69" s="7"/>
    </row>
    <row r="70" spans="1:11" ht="15.75" thickBot="1">
      <c r="A70" s="1"/>
      <c r="B70" s="11">
        <f t="shared" si="0"/>
        <v>68</v>
      </c>
      <c r="C70" s="13" t="s">
        <v>24</v>
      </c>
      <c r="D70" s="9" t="s">
        <v>99</v>
      </c>
      <c r="E70" s="10" t="s">
        <v>224</v>
      </c>
      <c r="F70" s="9" t="s">
        <v>323</v>
      </c>
      <c r="G70" s="10" t="s">
        <v>403</v>
      </c>
      <c r="H70" s="9" t="s">
        <v>457</v>
      </c>
      <c r="I70" s="10" t="s">
        <v>529</v>
      </c>
      <c r="J70" s="9">
        <v>1</v>
      </c>
      <c r="K70" s="9"/>
    </row>
    <row r="71" spans="1:11" ht="15.75" thickBot="1">
      <c r="A71" s="1"/>
      <c r="B71" s="11">
        <f>ROW(B71) - ROW($B$2)</f>
        <v>69</v>
      </c>
      <c r="C71" s="12" t="s">
        <v>24</v>
      </c>
      <c r="D71" s="7" t="s">
        <v>100</v>
      </c>
      <c r="E71" s="8" t="s">
        <v>225</v>
      </c>
      <c r="F71" s="7" t="s">
        <v>323</v>
      </c>
      <c r="G71" s="8" t="s">
        <v>404</v>
      </c>
      <c r="H71" s="7" t="s">
        <v>457</v>
      </c>
      <c r="I71" s="8" t="s">
        <v>530</v>
      </c>
      <c r="J71" s="7">
        <v>2</v>
      </c>
      <c r="K71" s="7"/>
    </row>
    <row r="72" spans="1:11" ht="15.75" thickBot="1">
      <c r="A72" s="1"/>
      <c r="B72" s="11">
        <f t="shared" si="0"/>
        <v>70</v>
      </c>
      <c r="C72" s="13" t="s">
        <v>24</v>
      </c>
      <c r="D72" s="9" t="s">
        <v>101</v>
      </c>
      <c r="E72" s="10" t="s">
        <v>226</v>
      </c>
      <c r="F72" s="9" t="s">
        <v>323</v>
      </c>
      <c r="G72" s="10" t="s">
        <v>405</v>
      </c>
      <c r="H72" s="9" t="s">
        <v>457</v>
      </c>
      <c r="I72" s="10" t="s">
        <v>530</v>
      </c>
      <c r="J72" s="9">
        <v>2</v>
      </c>
      <c r="K72" s="9"/>
    </row>
    <row r="73" spans="1:11" ht="15.75" thickBot="1">
      <c r="A73" s="1"/>
      <c r="B73" s="11">
        <f>ROW(B73) - ROW($B$2)</f>
        <v>71</v>
      </c>
      <c r="C73" s="12" t="s">
        <v>24</v>
      </c>
      <c r="D73" s="7" t="s">
        <v>102</v>
      </c>
      <c r="E73" s="8" t="s">
        <v>227</v>
      </c>
      <c r="F73" s="7" t="s">
        <v>323</v>
      </c>
      <c r="G73" s="8" t="s">
        <v>406</v>
      </c>
      <c r="H73" s="7" t="s">
        <v>457</v>
      </c>
      <c r="I73" s="8" t="s">
        <v>531</v>
      </c>
      <c r="J73" s="7">
        <v>2</v>
      </c>
      <c r="K73" s="7"/>
    </row>
    <row r="74" spans="1:11" ht="15.75" thickBot="1">
      <c r="A74" s="1"/>
      <c r="B74" s="11">
        <f t="shared" si="0"/>
        <v>72</v>
      </c>
      <c r="C74" s="13" t="s">
        <v>24</v>
      </c>
      <c r="D74" s="9" t="s">
        <v>103</v>
      </c>
      <c r="E74" s="10" t="s">
        <v>228</v>
      </c>
      <c r="F74" s="9" t="s">
        <v>323</v>
      </c>
      <c r="G74" s="10" t="s">
        <v>407</v>
      </c>
      <c r="H74" s="9" t="s">
        <v>457</v>
      </c>
      <c r="I74" s="10" t="s">
        <v>532</v>
      </c>
      <c r="J74" s="9">
        <v>2</v>
      </c>
      <c r="K74" s="9"/>
    </row>
    <row r="75" spans="1:11" ht="48.75" thickBot="1">
      <c r="A75" s="1"/>
      <c r="B75" s="11">
        <f>ROW(B75) - ROW($B$2)</f>
        <v>73</v>
      </c>
      <c r="C75" s="12" t="s">
        <v>24</v>
      </c>
      <c r="D75" s="7" t="s">
        <v>104</v>
      </c>
      <c r="E75" s="8" t="s">
        <v>229</v>
      </c>
      <c r="F75" s="7" t="s">
        <v>324</v>
      </c>
      <c r="G75" s="8" t="s">
        <v>408</v>
      </c>
      <c r="H75" s="7" t="s">
        <v>492</v>
      </c>
      <c r="I75" s="8" t="s">
        <v>533</v>
      </c>
      <c r="J75" s="7">
        <v>1</v>
      </c>
      <c r="K75" s="7"/>
    </row>
    <row r="76" spans="1:11" ht="15.75" thickBot="1">
      <c r="A76" s="1"/>
      <c r="B76" s="11">
        <f t="shared" si="0"/>
        <v>74</v>
      </c>
      <c r="C76" s="13" t="s">
        <v>24</v>
      </c>
      <c r="D76" s="9" t="s">
        <v>105</v>
      </c>
      <c r="E76" s="10" t="s">
        <v>230</v>
      </c>
      <c r="F76" s="9" t="s">
        <v>323</v>
      </c>
      <c r="G76" s="10" t="s">
        <v>409</v>
      </c>
      <c r="H76" s="9" t="s">
        <v>457</v>
      </c>
      <c r="I76" s="10" t="s">
        <v>534</v>
      </c>
      <c r="J76" s="9">
        <v>1</v>
      </c>
      <c r="K76" s="9"/>
    </row>
    <row r="77" spans="1:11" ht="15.75" thickBot="1">
      <c r="A77" s="1"/>
      <c r="B77" s="11">
        <f>ROW(B77) - ROW($B$2)</f>
        <v>75</v>
      </c>
      <c r="C77" s="12" t="s">
        <v>24</v>
      </c>
      <c r="D77" s="7" t="s">
        <v>106</v>
      </c>
      <c r="E77" s="8" t="s">
        <v>231</v>
      </c>
      <c r="F77" s="7" t="s">
        <v>323</v>
      </c>
      <c r="G77" s="8" t="s">
        <v>410</v>
      </c>
      <c r="H77" s="7" t="s">
        <v>457</v>
      </c>
      <c r="I77" s="8" t="s">
        <v>535</v>
      </c>
      <c r="J77" s="7">
        <v>2</v>
      </c>
      <c r="K77" s="7"/>
    </row>
    <row r="78" spans="1:11" ht="15.75" thickBot="1">
      <c r="A78" s="1"/>
      <c r="B78" s="11">
        <f t="shared" si="0"/>
        <v>76</v>
      </c>
      <c r="C78" s="13" t="s">
        <v>24</v>
      </c>
      <c r="D78" s="9" t="s">
        <v>107</v>
      </c>
      <c r="E78" s="10" t="s">
        <v>232</v>
      </c>
      <c r="F78" s="9" t="s">
        <v>323</v>
      </c>
      <c r="G78" s="10" t="s">
        <v>411</v>
      </c>
      <c r="H78" s="9" t="s">
        <v>457</v>
      </c>
      <c r="I78" s="10" t="s">
        <v>536</v>
      </c>
      <c r="J78" s="9">
        <v>3</v>
      </c>
      <c r="K78" s="9"/>
    </row>
    <row r="79" spans="1:11" ht="15.75" thickBot="1">
      <c r="A79" s="1"/>
      <c r="B79" s="11">
        <f>ROW(B79) - ROW($B$2)</f>
        <v>77</v>
      </c>
      <c r="C79" s="12" t="s">
        <v>24</v>
      </c>
      <c r="D79" s="7" t="s">
        <v>108</v>
      </c>
      <c r="E79" s="8" t="s">
        <v>233</v>
      </c>
      <c r="F79" s="7" t="s">
        <v>325</v>
      </c>
      <c r="G79" s="8" t="s">
        <v>412</v>
      </c>
      <c r="H79" s="7" t="s">
        <v>457</v>
      </c>
      <c r="I79" s="8" t="s">
        <v>530</v>
      </c>
      <c r="J79" s="7">
        <v>3</v>
      </c>
      <c r="K79" s="7"/>
    </row>
    <row r="80" spans="1:11" ht="24.75" thickBot="1">
      <c r="A80" s="1"/>
      <c r="B80" s="11">
        <f t="shared" si="0"/>
        <v>78</v>
      </c>
      <c r="C80" s="13" t="s">
        <v>24</v>
      </c>
      <c r="D80" s="9" t="s">
        <v>109</v>
      </c>
      <c r="E80" s="10" t="s">
        <v>234</v>
      </c>
      <c r="F80" s="9" t="s">
        <v>323</v>
      </c>
      <c r="G80" s="10" t="s">
        <v>566</v>
      </c>
      <c r="H80" s="9" t="s">
        <v>567</v>
      </c>
      <c r="I80" s="10" t="s">
        <v>537</v>
      </c>
      <c r="J80" s="9">
        <v>4</v>
      </c>
      <c r="K80" s="9"/>
    </row>
    <row r="81" spans="1:11" ht="15.75" thickBot="1">
      <c r="A81" s="1"/>
      <c r="B81" s="11">
        <f>ROW(B81) - ROW($B$2)</f>
        <v>79</v>
      </c>
      <c r="C81" s="12" t="s">
        <v>24</v>
      </c>
      <c r="D81" s="7" t="s">
        <v>110</v>
      </c>
      <c r="E81" s="8" t="s">
        <v>235</v>
      </c>
      <c r="F81" s="7" t="s">
        <v>323</v>
      </c>
      <c r="G81" s="8" t="s">
        <v>413</v>
      </c>
      <c r="H81" s="7" t="s">
        <v>457</v>
      </c>
      <c r="I81" s="8" t="s">
        <v>538</v>
      </c>
      <c r="J81" s="7">
        <v>1</v>
      </c>
      <c r="K81" s="7"/>
    </row>
    <row r="82" spans="1:11" ht="15.75" thickBot="1">
      <c r="A82" s="1"/>
      <c r="B82" s="11">
        <f t="shared" si="0"/>
        <v>80</v>
      </c>
      <c r="C82" s="13" t="s">
        <v>24</v>
      </c>
      <c r="D82" s="9" t="s">
        <v>111</v>
      </c>
      <c r="E82" s="10" t="s">
        <v>236</v>
      </c>
      <c r="F82" s="9" t="s">
        <v>323</v>
      </c>
      <c r="G82" s="10" t="s">
        <v>414</v>
      </c>
      <c r="H82" s="9" t="s">
        <v>457</v>
      </c>
      <c r="I82" s="10" t="s">
        <v>539</v>
      </c>
      <c r="J82" s="9">
        <v>3</v>
      </c>
      <c r="K82" s="9"/>
    </row>
    <row r="83" spans="1:11" ht="15.75" thickBot="1">
      <c r="A83" s="1"/>
      <c r="B83" s="11">
        <f>ROW(B83) - ROW($B$2)</f>
        <v>81</v>
      </c>
      <c r="C83" s="12" t="s">
        <v>24</v>
      </c>
      <c r="D83" s="7" t="s">
        <v>112</v>
      </c>
      <c r="E83" s="8" t="s">
        <v>237</v>
      </c>
      <c r="F83" s="7" t="s">
        <v>323</v>
      </c>
      <c r="G83" s="8" t="s">
        <v>415</v>
      </c>
      <c r="H83" s="7" t="s">
        <v>457</v>
      </c>
      <c r="I83" s="8" t="s">
        <v>537</v>
      </c>
      <c r="J83" s="7">
        <v>4</v>
      </c>
      <c r="K83" s="7"/>
    </row>
    <row r="84" spans="1:11" ht="15.75" thickBot="1">
      <c r="A84" s="1"/>
      <c r="B84" s="11">
        <f t="shared" si="0"/>
        <v>82</v>
      </c>
      <c r="C84" s="12" t="s">
        <v>24</v>
      </c>
      <c r="D84" s="9" t="s">
        <v>113</v>
      </c>
      <c r="E84" s="10" t="s">
        <v>238</v>
      </c>
      <c r="F84" s="9" t="s">
        <v>323</v>
      </c>
      <c r="G84" s="10" t="s">
        <v>416</v>
      </c>
      <c r="H84" s="9" t="s">
        <v>457</v>
      </c>
      <c r="I84" s="10" t="s">
        <v>540</v>
      </c>
      <c r="J84" s="9">
        <v>2</v>
      </c>
      <c r="K84" s="9"/>
    </row>
    <row r="85" spans="1:11" ht="15.75" thickBot="1">
      <c r="A85" s="1"/>
      <c r="B85" s="11">
        <f>ROW(B85) - ROW($B$2)</f>
        <v>83</v>
      </c>
      <c r="C85" s="12" t="s">
        <v>24</v>
      </c>
      <c r="D85" s="7" t="s">
        <v>114</v>
      </c>
      <c r="E85" s="8" t="s">
        <v>239</v>
      </c>
      <c r="F85" s="7" t="s">
        <v>323</v>
      </c>
      <c r="G85" s="8" t="s">
        <v>417</v>
      </c>
      <c r="H85" s="7" t="s">
        <v>457</v>
      </c>
      <c r="I85" s="8" t="s">
        <v>541</v>
      </c>
      <c r="J85" s="7">
        <v>1</v>
      </c>
      <c r="K85" s="7"/>
    </row>
    <row r="86" spans="1:11" ht="15.75" thickBot="1">
      <c r="A86" s="1"/>
      <c r="B86" s="11">
        <f t="shared" si="0"/>
        <v>84</v>
      </c>
      <c r="C86" s="13" t="s">
        <v>24</v>
      </c>
      <c r="D86" s="9" t="s">
        <v>115</v>
      </c>
      <c r="E86" s="10" t="s">
        <v>240</v>
      </c>
      <c r="F86" s="9" t="s">
        <v>323</v>
      </c>
      <c r="G86" s="10" t="s">
        <v>418</v>
      </c>
      <c r="H86" s="9" t="s">
        <v>457</v>
      </c>
      <c r="I86" s="10" t="s">
        <v>532</v>
      </c>
      <c r="J86" s="9">
        <v>1</v>
      </c>
      <c r="K86" s="9"/>
    </row>
    <row r="87" spans="1:11" ht="15.75" thickBot="1">
      <c r="A87" s="1"/>
      <c r="B87" s="11">
        <f>ROW(B87) - ROW($B$2)</f>
        <v>85</v>
      </c>
      <c r="C87" s="12" t="s">
        <v>24</v>
      </c>
      <c r="D87" s="7" t="s">
        <v>116</v>
      </c>
      <c r="E87" s="8" t="s">
        <v>241</v>
      </c>
      <c r="F87" s="7" t="s">
        <v>326</v>
      </c>
      <c r="G87" s="8" t="s">
        <v>419</v>
      </c>
      <c r="H87" s="7" t="s">
        <v>457</v>
      </c>
      <c r="I87" s="8" t="s">
        <v>542</v>
      </c>
      <c r="J87" s="7">
        <v>1</v>
      </c>
      <c r="K87" s="7"/>
    </row>
    <row r="88" spans="1:11" ht="15.75" thickBot="1">
      <c r="A88" s="1"/>
      <c r="B88" s="11">
        <f t="shared" si="0"/>
        <v>86</v>
      </c>
      <c r="C88" s="13" t="s">
        <v>24</v>
      </c>
      <c r="D88" s="9" t="s">
        <v>117</v>
      </c>
      <c r="E88" s="10" t="s">
        <v>242</v>
      </c>
      <c r="F88" s="9" t="s">
        <v>323</v>
      </c>
      <c r="G88" s="10" t="s">
        <v>420</v>
      </c>
      <c r="H88" s="9" t="s">
        <v>457</v>
      </c>
      <c r="I88" s="10" t="s">
        <v>543</v>
      </c>
      <c r="J88" s="9">
        <v>4</v>
      </c>
      <c r="K88" s="9"/>
    </row>
    <row r="89" spans="1:11" ht="15.75" thickBot="1">
      <c r="A89" s="1"/>
      <c r="B89" s="11">
        <f>ROW(B89) - ROW($B$2)</f>
        <v>87</v>
      </c>
      <c r="C89" s="12" t="s">
        <v>24</v>
      </c>
      <c r="D89" s="7" t="s">
        <v>118</v>
      </c>
      <c r="E89" s="8" t="s">
        <v>243</v>
      </c>
      <c r="F89" s="7" t="s">
        <v>323</v>
      </c>
      <c r="G89" s="8" t="s">
        <v>421</v>
      </c>
      <c r="H89" s="7" t="s">
        <v>457</v>
      </c>
      <c r="I89" s="8" t="s">
        <v>544</v>
      </c>
      <c r="J89" s="7">
        <v>2</v>
      </c>
      <c r="K89" s="7"/>
    </row>
    <row r="90" spans="1:11" ht="15.75" thickBot="1">
      <c r="A90" s="1"/>
      <c r="B90" s="11">
        <f t="shared" si="0"/>
        <v>88</v>
      </c>
      <c r="C90" s="12" t="s">
        <v>24</v>
      </c>
      <c r="D90" s="9" t="s">
        <v>119</v>
      </c>
      <c r="E90" s="10" t="s">
        <v>244</v>
      </c>
      <c r="F90" s="9" t="s">
        <v>325</v>
      </c>
      <c r="G90" s="10" t="s">
        <v>422</v>
      </c>
      <c r="H90" s="9" t="s">
        <v>457</v>
      </c>
      <c r="I90" s="10" t="s">
        <v>545</v>
      </c>
      <c r="J90" s="9">
        <v>2</v>
      </c>
      <c r="K90" s="9"/>
    </row>
    <row r="91" spans="1:11" ht="15.75" thickBot="1">
      <c r="A91" s="1"/>
      <c r="B91" s="11">
        <f>ROW(B91) - ROW($B$2)</f>
        <v>89</v>
      </c>
      <c r="C91" s="12" t="s">
        <v>24</v>
      </c>
      <c r="D91" s="7" t="s">
        <v>120</v>
      </c>
      <c r="E91" s="8" t="s">
        <v>245</v>
      </c>
      <c r="F91" s="7" t="s">
        <v>327</v>
      </c>
      <c r="G91" s="8" t="s">
        <v>423</v>
      </c>
      <c r="H91" s="7" t="s">
        <v>457</v>
      </c>
      <c r="I91" s="8" t="s">
        <v>542</v>
      </c>
      <c r="J91" s="7">
        <v>1</v>
      </c>
      <c r="K91" s="7"/>
    </row>
    <row r="92" spans="1:11" ht="15.75" thickBot="1">
      <c r="A92" s="1"/>
      <c r="B92" s="11">
        <f t="shared" si="0"/>
        <v>90</v>
      </c>
      <c r="C92" s="13" t="s">
        <v>24</v>
      </c>
      <c r="D92" s="9" t="s">
        <v>121</v>
      </c>
      <c r="E92" s="10" t="s">
        <v>246</v>
      </c>
      <c r="F92" s="9" t="s">
        <v>325</v>
      </c>
      <c r="G92" s="10" t="s">
        <v>424</v>
      </c>
      <c r="H92" s="9" t="s">
        <v>457</v>
      </c>
      <c r="I92" s="10" t="s">
        <v>546</v>
      </c>
      <c r="J92" s="9">
        <v>1</v>
      </c>
      <c r="K92" s="9"/>
    </row>
    <row r="93" spans="1:11" ht="15.75" thickBot="1">
      <c r="A93" s="1"/>
      <c r="B93" s="11">
        <f>ROW(B93) - ROW($B$2)</f>
        <v>91</v>
      </c>
      <c r="C93" s="12" t="s">
        <v>24</v>
      </c>
      <c r="D93" s="7" t="s">
        <v>122</v>
      </c>
      <c r="E93" s="8" t="s">
        <v>247</v>
      </c>
      <c r="F93" s="7" t="s">
        <v>328</v>
      </c>
      <c r="G93" s="8" t="s">
        <v>425</v>
      </c>
      <c r="H93" s="7" t="s">
        <v>457</v>
      </c>
      <c r="I93" s="8" t="s">
        <v>543</v>
      </c>
      <c r="J93" s="7">
        <v>1</v>
      </c>
      <c r="K93" s="7"/>
    </row>
    <row r="94" spans="1:11" ht="15.75" thickBot="1">
      <c r="A94" s="1"/>
      <c r="B94" s="11">
        <f t="shared" si="0"/>
        <v>92</v>
      </c>
      <c r="C94" s="13" t="s">
        <v>24</v>
      </c>
      <c r="D94" s="9" t="s">
        <v>123</v>
      </c>
      <c r="E94" s="10" t="s">
        <v>248</v>
      </c>
      <c r="F94" s="9" t="s">
        <v>323</v>
      </c>
      <c r="G94" s="10" t="s">
        <v>426</v>
      </c>
      <c r="H94" s="9" t="s">
        <v>457</v>
      </c>
      <c r="I94" s="10" t="s">
        <v>547</v>
      </c>
      <c r="J94" s="9">
        <v>1</v>
      </c>
      <c r="K94" s="9"/>
    </row>
    <row r="95" spans="1:11" ht="24.75" thickBot="1">
      <c r="A95" s="1"/>
      <c r="B95" s="11">
        <f>ROW(B95) - ROW($B$2)</f>
        <v>93</v>
      </c>
      <c r="C95" s="12" t="s">
        <v>24</v>
      </c>
      <c r="D95" s="7" t="s">
        <v>124</v>
      </c>
      <c r="E95" s="8" t="s">
        <v>249</v>
      </c>
      <c r="F95" s="7" t="s">
        <v>323</v>
      </c>
      <c r="G95" s="8" t="s">
        <v>427</v>
      </c>
      <c r="H95" s="7" t="s">
        <v>457</v>
      </c>
      <c r="I95" s="8" t="s">
        <v>545</v>
      </c>
      <c r="J95" s="7">
        <v>11</v>
      </c>
      <c r="K95" s="7"/>
    </row>
    <row r="96" spans="1:11" ht="15.75" thickBot="1">
      <c r="A96" s="1"/>
      <c r="B96" s="11">
        <f t="shared" si="0"/>
        <v>94</v>
      </c>
      <c r="C96" s="12" t="s">
        <v>24</v>
      </c>
      <c r="D96" s="9" t="s">
        <v>125</v>
      </c>
      <c r="E96" s="10" t="s">
        <v>250</v>
      </c>
      <c r="F96" s="9" t="s">
        <v>323</v>
      </c>
      <c r="G96" s="10" t="s">
        <v>428</v>
      </c>
      <c r="H96" s="9" t="s">
        <v>457</v>
      </c>
      <c r="I96" s="10" t="s">
        <v>548</v>
      </c>
      <c r="J96" s="9">
        <v>3</v>
      </c>
      <c r="K96" s="9"/>
    </row>
    <row r="97" spans="1:11" ht="15.75" thickBot="1">
      <c r="A97" s="1"/>
      <c r="B97" s="11">
        <f>ROW(B97) - ROW($B$2)</f>
        <v>95</v>
      </c>
      <c r="C97" s="12" t="s">
        <v>24</v>
      </c>
      <c r="D97" s="7" t="s">
        <v>126</v>
      </c>
      <c r="E97" s="8" t="s">
        <v>251</v>
      </c>
      <c r="F97" s="7" t="s">
        <v>325</v>
      </c>
      <c r="G97" s="8" t="s">
        <v>429</v>
      </c>
      <c r="H97" s="7" t="s">
        <v>457</v>
      </c>
      <c r="I97" s="8" t="s">
        <v>537</v>
      </c>
      <c r="J97" s="7">
        <v>3</v>
      </c>
      <c r="K97" s="7"/>
    </row>
    <row r="98" spans="1:11" ht="15.75" thickBot="1">
      <c r="A98" s="1"/>
      <c r="B98" s="11">
        <f t="shared" si="0"/>
        <v>96</v>
      </c>
      <c r="C98" s="13" t="s">
        <v>24</v>
      </c>
      <c r="D98" s="9" t="s">
        <v>127</v>
      </c>
      <c r="E98" s="10" t="s">
        <v>252</v>
      </c>
      <c r="F98" s="9" t="s">
        <v>323</v>
      </c>
      <c r="G98" s="10" t="s">
        <v>430</v>
      </c>
      <c r="H98" s="9" t="s">
        <v>494</v>
      </c>
      <c r="I98" s="10" t="s">
        <v>549</v>
      </c>
      <c r="J98" s="9">
        <v>2</v>
      </c>
      <c r="K98" s="9"/>
    </row>
    <row r="99" spans="1:11" ht="15.75" thickBot="1">
      <c r="A99" s="1"/>
      <c r="B99" s="11">
        <f>ROW(B99) - ROW($B$2)</f>
        <v>97</v>
      </c>
      <c r="C99" s="12" t="s">
        <v>24</v>
      </c>
      <c r="D99" s="7" t="s">
        <v>128</v>
      </c>
      <c r="E99" s="8" t="s">
        <v>253</v>
      </c>
      <c r="F99" s="7" t="s">
        <v>323</v>
      </c>
      <c r="G99" s="8" t="s">
        <v>431</v>
      </c>
      <c r="H99" s="7" t="s">
        <v>457</v>
      </c>
      <c r="I99" s="8" t="s">
        <v>550</v>
      </c>
      <c r="J99" s="7">
        <v>1</v>
      </c>
      <c r="K99" s="7"/>
    </row>
    <row r="100" spans="1:11" ht="15.75" thickBot="1">
      <c r="A100" s="1"/>
      <c r="B100" s="11">
        <f t="shared" si="0"/>
        <v>98</v>
      </c>
      <c r="C100" s="13" t="s">
        <v>24</v>
      </c>
      <c r="D100" s="9" t="s">
        <v>129</v>
      </c>
      <c r="E100" s="10" t="s">
        <v>254</v>
      </c>
      <c r="F100" s="9" t="s">
        <v>323</v>
      </c>
      <c r="G100" s="10" t="s">
        <v>432</v>
      </c>
      <c r="H100" s="9" t="s">
        <v>457</v>
      </c>
      <c r="I100" s="10" t="s">
        <v>537</v>
      </c>
      <c r="J100" s="9">
        <v>2</v>
      </c>
      <c r="K100" s="9"/>
    </row>
    <row r="101" spans="1:11" ht="15.75" thickBot="1">
      <c r="A101" s="1"/>
      <c r="B101" s="11">
        <f>ROW(B101) - ROW($B$2)</f>
        <v>99</v>
      </c>
      <c r="C101" s="12" t="s">
        <v>24</v>
      </c>
      <c r="D101" s="7" t="s">
        <v>130</v>
      </c>
      <c r="E101" s="8" t="s">
        <v>255</v>
      </c>
      <c r="F101" s="7" t="s">
        <v>323</v>
      </c>
      <c r="G101" s="8" t="s">
        <v>433</v>
      </c>
      <c r="H101" s="7" t="s">
        <v>457</v>
      </c>
      <c r="I101" s="8" t="s">
        <v>551</v>
      </c>
      <c r="J101" s="7">
        <v>2</v>
      </c>
      <c r="K101" s="7"/>
    </row>
    <row r="102" spans="1:11" ht="15.75" thickBot="1">
      <c r="A102" s="1"/>
      <c r="B102" s="11">
        <f t="shared" si="0"/>
        <v>100</v>
      </c>
      <c r="C102" s="13" t="s">
        <v>24</v>
      </c>
      <c r="D102" s="17" t="s">
        <v>131</v>
      </c>
      <c r="E102" s="18" t="s">
        <v>249</v>
      </c>
      <c r="F102" s="17" t="s">
        <v>323</v>
      </c>
      <c r="G102" s="18" t="s">
        <v>427</v>
      </c>
      <c r="H102" s="17" t="s">
        <v>457</v>
      </c>
      <c r="I102" s="18" t="s">
        <v>552</v>
      </c>
      <c r="J102" s="17">
        <v>2</v>
      </c>
      <c r="K102" s="19" t="s">
        <v>565</v>
      </c>
    </row>
    <row r="103" spans="1:11" ht="15.75" thickBot="1">
      <c r="A103" s="1"/>
      <c r="B103" s="11">
        <f>ROW(B103) - ROW($B$2)</f>
        <v>101</v>
      </c>
      <c r="C103" s="12" t="s">
        <v>24</v>
      </c>
      <c r="D103" s="15" t="s">
        <v>132</v>
      </c>
      <c r="E103" s="16" t="s">
        <v>254</v>
      </c>
      <c r="F103" s="15" t="s">
        <v>323</v>
      </c>
      <c r="G103" s="16" t="s">
        <v>432</v>
      </c>
      <c r="H103" s="15" t="s">
        <v>457</v>
      </c>
      <c r="I103" s="16" t="s">
        <v>552</v>
      </c>
      <c r="J103" s="15">
        <v>2</v>
      </c>
      <c r="K103" s="19" t="s">
        <v>565</v>
      </c>
    </row>
    <row r="104" spans="1:11" ht="36.75" thickBot="1">
      <c r="A104" s="1"/>
      <c r="B104" s="11">
        <f t="shared" si="0"/>
        <v>102</v>
      </c>
      <c r="C104" s="13" t="s">
        <v>24</v>
      </c>
      <c r="D104" s="9" t="s">
        <v>133</v>
      </c>
      <c r="E104" s="10" t="s">
        <v>256</v>
      </c>
      <c r="F104" s="9" t="s">
        <v>329</v>
      </c>
      <c r="G104" s="10" t="s">
        <v>434</v>
      </c>
      <c r="H104" s="9" t="s">
        <v>495</v>
      </c>
      <c r="I104" s="10" t="s">
        <v>545</v>
      </c>
      <c r="J104" s="9">
        <v>1</v>
      </c>
      <c r="K104" s="9"/>
    </row>
    <row r="105" spans="1:11" ht="15.75" thickBot="1">
      <c r="A105" s="1"/>
      <c r="B105" s="11">
        <f>ROW(B105) - ROW($B$2)</f>
        <v>103</v>
      </c>
      <c r="C105" s="12" t="s">
        <v>24</v>
      </c>
      <c r="D105" s="7" t="s">
        <v>134</v>
      </c>
      <c r="E105" s="8" t="s">
        <v>257</v>
      </c>
      <c r="F105" s="7" t="s">
        <v>327</v>
      </c>
      <c r="G105" s="8" t="s">
        <v>435</v>
      </c>
      <c r="H105" s="7" t="s">
        <v>457</v>
      </c>
      <c r="I105" s="8" t="s">
        <v>537</v>
      </c>
      <c r="J105" s="7">
        <v>5</v>
      </c>
      <c r="K105" s="7"/>
    </row>
    <row r="106" spans="1:11" ht="15.75" thickBot="1">
      <c r="A106" s="1"/>
      <c r="B106" s="11">
        <f t="shared" si="0"/>
        <v>104</v>
      </c>
      <c r="C106" s="13" t="s">
        <v>24</v>
      </c>
      <c r="D106" s="9" t="s">
        <v>135</v>
      </c>
      <c r="E106" s="10" t="s">
        <v>258</v>
      </c>
      <c r="F106" s="9" t="s">
        <v>323</v>
      </c>
      <c r="G106" s="10" t="s">
        <v>436</v>
      </c>
      <c r="H106" s="9" t="s">
        <v>457</v>
      </c>
      <c r="I106" s="10" t="s">
        <v>553</v>
      </c>
      <c r="J106" s="9">
        <v>2</v>
      </c>
      <c r="K106" s="9"/>
    </row>
    <row r="107" spans="1:11" ht="15.75" thickBot="1">
      <c r="A107" s="1"/>
      <c r="B107" s="11">
        <f>ROW(B107) - ROW($B$2)</f>
        <v>105</v>
      </c>
      <c r="C107" s="12" t="s">
        <v>24</v>
      </c>
      <c r="D107" s="7" t="s">
        <v>136</v>
      </c>
      <c r="E107" s="8" t="s">
        <v>259</v>
      </c>
      <c r="F107" s="7" t="s">
        <v>323</v>
      </c>
      <c r="G107" s="8" t="s">
        <v>437</v>
      </c>
      <c r="H107" s="7" t="s">
        <v>494</v>
      </c>
      <c r="I107" s="8" t="s">
        <v>554</v>
      </c>
      <c r="J107" s="7">
        <v>1</v>
      </c>
      <c r="K107" s="7"/>
    </row>
    <row r="108" spans="1:11" ht="15.75" thickBot="1">
      <c r="A108" s="1"/>
      <c r="B108" s="11">
        <f t="shared" si="0"/>
        <v>106</v>
      </c>
      <c r="C108" s="13" t="s">
        <v>24</v>
      </c>
      <c r="D108" s="9" t="s">
        <v>137</v>
      </c>
      <c r="E108" s="10" t="s">
        <v>260</v>
      </c>
      <c r="F108" s="9" t="s">
        <v>323</v>
      </c>
      <c r="G108" s="10" t="s">
        <v>438</v>
      </c>
      <c r="H108" s="9" t="s">
        <v>457</v>
      </c>
      <c r="I108" s="10" t="s">
        <v>555</v>
      </c>
      <c r="J108" s="9">
        <v>1</v>
      </c>
      <c r="K108" s="9"/>
    </row>
    <row r="109" spans="1:11" ht="15.75" thickBot="1">
      <c r="A109" s="1"/>
      <c r="B109" s="11">
        <f>ROW(B109) - ROW($B$2)</f>
        <v>107</v>
      </c>
      <c r="C109" s="12" t="s">
        <v>24</v>
      </c>
      <c r="D109" s="7" t="s">
        <v>138</v>
      </c>
      <c r="E109" s="8" t="s">
        <v>261</v>
      </c>
      <c r="F109" s="7" t="s">
        <v>323</v>
      </c>
      <c r="G109" s="8" t="s">
        <v>439</v>
      </c>
      <c r="H109" s="7" t="s">
        <v>457</v>
      </c>
      <c r="I109" s="8" t="s">
        <v>556</v>
      </c>
      <c r="J109" s="7">
        <v>1</v>
      </c>
      <c r="K109" s="7"/>
    </row>
    <row r="110" spans="1:11" ht="15.75" thickBot="1">
      <c r="A110" s="1"/>
      <c r="B110" s="11">
        <f t="shared" si="0"/>
        <v>108</v>
      </c>
      <c r="C110" s="13" t="s">
        <v>24</v>
      </c>
      <c r="D110" s="9" t="s">
        <v>139</v>
      </c>
      <c r="E110" s="10" t="s">
        <v>262</v>
      </c>
      <c r="F110" s="9" t="s">
        <v>323</v>
      </c>
      <c r="G110" s="10"/>
      <c r="H110" s="9"/>
      <c r="I110" s="10" t="s">
        <v>557</v>
      </c>
      <c r="J110" s="9">
        <v>1</v>
      </c>
      <c r="K110" s="9"/>
    </row>
    <row r="111" spans="1:11" ht="15.75" thickBot="1">
      <c r="A111" s="1"/>
      <c r="B111" s="11">
        <f>ROW(B111) - ROW($B$2)</f>
        <v>109</v>
      </c>
      <c r="C111" s="12" t="s">
        <v>25</v>
      </c>
      <c r="D111" s="7" t="s">
        <v>140</v>
      </c>
      <c r="E111" s="8" t="s">
        <v>263</v>
      </c>
      <c r="F111" s="7" t="s">
        <v>330</v>
      </c>
      <c r="G111" s="8" t="s">
        <v>440</v>
      </c>
      <c r="H111" s="7" t="s">
        <v>496</v>
      </c>
      <c r="I111" s="8" t="s">
        <v>564</v>
      </c>
      <c r="J111" s="7">
        <v>1</v>
      </c>
      <c r="K111" s="7"/>
    </row>
    <row r="112" spans="1:11" ht="48.75" thickBot="1">
      <c r="A112" s="1"/>
      <c r="B112" s="11">
        <f t="shared" si="0"/>
        <v>110</v>
      </c>
      <c r="C112" s="13" t="s">
        <v>26</v>
      </c>
      <c r="D112" s="9" t="s">
        <v>141</v>
      </c>
      <c r="E112" s="10" t="s">
        <v>264</v>
      </c>
      <c r="F112" s="9" t="s">
        <v>331</v>
      </c>
      <c r="G112" s="10" t="s">
        <v>331</v>
      </c>
      <c r="H112" s="9" t="s">
        <v>497</v>
      </c>
      <c r="I112" s="8" t="s">
        <v>564</v>
      </c>
      <c r="J112" s="9">
        <v>1</v>
      </c>
      <c r="K112" s="9"/>
    </row>
    <row r="113" spans="1:11" ht="15.75" thickBot="1">
      <c r="A113" s="1"/>
      <c r="B113" s="11">
        <f>ROW(B113) - ROW($B$2)</f>
        <v>111</v>
      </c>
      <c r="C113" s="12" t="s">
        <v>27</v>
      </c>
      <c r="D113" s="7" t="s">
        <v>142</v>
      </c>
      <c r="E113" s="8" t="s">
        <v>265</v>
      </c>
      <c r="F113" s="7" t="s">
        <v>332</v>
      </c>
      <c r="G113" s="8" t="s">
        <v>441</v>
      </c>
      <c r="H113" s="7" t="s">
        <v>498</v>
      </c>
      <c r="I113" s="8" t="s">
        <v>564</v>
      </c>
      <c r="J113" s="7">
        <v>2</v>
      </c>
      <c r="K113" s="7"/>
    </row>
    <row r="114" spans="1:11" ht="15.75" thickBot="1">
      <c r="A114" s="1"/>
      <c r="B114" s="11">
        <f t="shared" si="0"/>
        <v>112</v>
      </c>
      <c r="C114" s="13" t="s">
        <v>28</v>
      </c>
      <c r="D114" s="9" t="s">
        <v>143</v>
      </c>
      <c r="E114" s="10" t="s">
        <v>266</v>
      </c>
      <c r="F114" s="9" t="s">
        <v>333</v>
      </c>
      <c r="G114" s="10" t="s">
        <v>442</v>
      </c>
      <c r="H114" s="9" t="s">
        <v>499</v>
      </c>
      <c r="I114" s="8" t="s">
        <v>564</v>
      </c>
      <c r="J114" s="9">
        <v>1</v>
      </c>
      <c r="K114" s="9"/>
    </row>
    <row r="115" spans="1:11" ht="15.75" thickBot="1">
      <c r="A115" s="1"/>
      <c r="B115" s="11">
        <f>ROW(B115) - ROW($B$2)</f>
        <v>113</v>
      </c>
      <c r="C115" s="12" t="s">
        <v>28</v>
      </c>
      <c r="D115" s="7" t="s">
        <v>144</v>
      </c>
      <c r="E115" s="8" t="s">
        <v>267</v>
      </c>
      <c r="F115" s="7" t="s">
        <v>334</v>
      </c>
      <c r="G115" s="8" t="s">
        <v>443</v>
      </c>
      <c r="H115" s="7" t="s">
        <v>499</v>
      </c>
      <c r="I115" s="8" t="s">
        <v>564</v>
      </c>
      <c r="J115" s="7">
        <v>1</v>
      </c>
      <c r="K115" s="7"/>
    </row>
    <row r="116" spans="1:11" ht="15.75" thickBot="1">
      <c r="A116" s="1"/>
      <c r="B116" s="11">
        <f t="shared" si="0"/>
        <v>114</v>
      </c>
      <c r="C116" s="13" t="s">
        <v>28</v>
      </c>
      <c r="D116" s="9" t="s">
        <v>145</v>
      </c>
      <c r="E116" s="10" t="s">
        <v>268</v>
      </c>
      <c r="F116" s="9" t="s">
        <v>335</v>
      </c>
      <c r="G116" s="10" t="s">
        <v>444</v>
      </c>
      <c r="H116" s="9" t="s">
        <v>500</v>
      </c>
      <c r="I116" s="8" t="s">
        <v>564</v>
      </c>
      <c r="J116" s="9">
        <v>1</v>
      </c>
      <c r="K116" s="9"/>
    </row>
    <row r="117" spans="1:11" ht="15.75" thickBot="1">
      <c r="A117" s="1"/>
      <c r="B117" s="11">
        <f>ROW(B117) - ROW($B$2)</f>
        <v>115</v>
      </c>
      <c r="C117" s="12" t="s">
        <v>28</v>
      </c>
      <c r="D117" s="7" t="s">
        <v>146</v>
      </c>
      <c r="E117" s="8" t="s">
        <v>269</v>
      </c>
      <c r="F117" s="7" t="s">
        <v>333</v>
      </c>
      <c r="G117" s="8" t="s">
        <v>445</v>
      </c>
      <c r="H117" s="7" t="s">
        <v>486</v>
      </c>
      <c r="I117" s="8" t="s">
        <v>564</v>
      </c>
      <c r="J117" s="7">
        <v>1</v>
      </c>
      <c r="K117" s="7"/>
    </row>
    <row r="118" spans="1:11" ht="24.75" thickBot="1">
      <c r="A118" s="1"/>
      <c r="B118" s="11">
        <f t="shared" si="0"/>
        <v>116</v>
      </c>
      <c r="C118" s="13" t="s">
        <v>28</v>
      </c>
      <c r="D118" s="9" t="s">
        <v>147</v>
      </c>
      <c r="E118" s="10" t="s">
        <v>270</v>
      </c>
      <c r="F118" s="9" t="s">
        <v>336</v>
      </c>
      <c r="G118" s="10" t="s">
        <v>446</v>
      </c>
      <c r="H118" s="9" t="s">
        <v>501</v>
      </c>
      <c r="I118" s="8" t="s">
        <v>564</v>
      </c>
      <c r="J118" s="9">
        <v>1</v>
      </c>
      <c r="K118" s="9"/>
    </row>
    <row r="119" spans="1:11" ht="15.75" thickBot="1">
      <c r="A119" s="1"/>
      <c r="B119" s="11">
        <f>ROW(B119) - ROW($B$2)</f>
        <v>117</v>
      </c>
      <c r="C119" s="12" t="s">
        <v>28</v>
      </c>
      <c r="D119" s="7" t="s">
        <v>148</v>
      </c>
      <c r="E119" s="8" t="s">
        <v>271</v>
      </c>
      <c r="F119" s="7" t="s">
        <v>337</v>
      </c>
      <c r="G119" s="8" t="s">
        <v>447</v>
      </c>
      <c r="H119" s="7" t="s">
        <v>499</v>
      </c>
      <c r="I119" s="8" t="s">
        <v>564</v>
      </c>
      <c r="J119" s="7">
        <v>3</v>
      </c>
      <c r="K119" s="7"/>
    </row>
    <row r="120" spans="1:11" ht="24.75" thickBot="1">
      <c r="A120" s="1"/>
      <c r="B120" s="11">
        <f t="shared" si="0"/>
        <v>118</v>
      </c>
      <c r="C120" s="13" t="s">
        <v>28</v>
      </c>
      <c r="D120" s="9" t="s">
        <v>149</v>
      </c>
      <c r="E120" s="10" t="s">
        <v>272</v>
      </c>
      <c r="F120" s="9" t="s">
        <v>338</v>
      </c>
      <c r="G120" s="10" t="s">
        <v>448</v>
      </c>
      <c r="H120" s="9" t="s">
        <v>499</v>
      </c>
      <c r="I120" s="8" t="s">
        <v>564</v>
      </c>
      <c r="J120" s="9">
        <v>1</v>
      </c>
      <c r="K120" s="9"/>
    </row>
    <row r="121" spans="1:11" ht="15.75" thickBot="1">
      <c r="A121" s="1"/>
      <c r="B121" s="11">
        <f>ROW(B121) - ROW($B$2)</f>
        <v>119</v>
      </c>
      <c r="C121" s="12" t="s">
        <v>28</v>
      </c>
      <c r="D121" s="7" t="s">
        <v>150</v>
      </c>
      <c r="E121" s="8" t="s">
        <v>273</v>
      </c>
      <c r="F121" s="7" t="s">
        <v>339</v>
      </c>
      <c r="G121" s="8" t="s">
        <v>449</v>
      </c>
      <c r="H121" s="7" t="s">
        <v>502</v>
      </c>
      <c r="I121" s="8" t="s">
        <v>564</v>
      </c>
      <c r="J121" s="7">
        <v>1</v>
      </c>
      <c r="K121" s="7"/>
    </row>
    <row r="122" spans="1:11" ht="24.75" thickBot="1">
      <c r="A122" s="1"/>
      <c r="B122" s="11">
        <f t="shared" si="0"/>
        <v>120</v>
      </c>
      <c r="C122" s="13" t="s">
        <v>29</v>
      </c>
      <c r="D122" s="9" t="s">
        <v>151</v>
      </c>
      <c r="E122" s="10" t="s">
        <v>274</v>
      </c>
      <c r="F122" s="9" t="s">
        <v>340</v>
      </c>
      <c r="G122" s="10" t="s">
        <v>340</v>
      </c>
      <c r="H122" s="9" t="s">
        <v>503</v>
      </c>
      <c r="I122" s="8" t="s">
        <v>564</v>
      </c>
      <c r="J122" s="9">
        <v>1</v>
      </c>
      <c r="K122" s="9"/>
    </row>
    <row r="123" spans="1:11" ht="15.75" thickBot="1">
      <c r="A123" s="1"/>
      <c r="B123" s="11">
        <f>ROW(B123) - ROW($B$2)</f>
        <v>121</v>
      </c>
      <c r="C123" s="12" t="s">
        <v>28</v>
      </c>
      <c r="D123" s="7" t="s">
        <v>152</v>
      </c>
      <c r="E123" s="8" t="s">
        <v>275</v>
      </c>
      <c r="F123" s="7" t="s">
        <v>341</v>
      </c>
      <c r="G123" s="8" t="s">
        <v>450</v>
      </c>
      <c r="H123" s="7" t="s">
        <v>499</v>
      </c>
      <c r="I123" s="8" t="s">
        <v>564</v>
      </c>
      <c r="J123" s="7">
        <v>2</v>
      </c>
      <c r="K123" s="7"/>
    </row>
    <row r="124" spans="1:11" ht="15.75" thickBot="1">
      <c r="A124" s="1"/>
      <c r="B124" s="11">
        <f t="shared" si="0"/>
        <v>122</v>
      </c>
      <c r="C124" s="13" t="s">
        <v>28</v>
      </c>
      <c r="D124" s="9" t="s">
        <v>153</v>
      </c>
      <c r="E124" s="10" t="s">
        <v>276</v>
      </c>
      <c r="F124" s="9" t="s">
        <v>342</v>
      </c>
      <c r="G124" s="10" t="s">
        <v>451</v>
      </c>
      <c r="H124" s="9" t="s">
        <v>504</v>
      </c>
      <c r="I124" s="8" t="s">
        <v>564</v>
      </c>
      <c r="J124" s="9">
        <v>1</v>
      </c>
      <c r="K124" s="9"/>
    </row>
    <row r="125" spans="1:11" ht="15.75" thickBot="1">
      <c r="A125" s="1"/>
      <c r="B125" s="11">
        <f>ROW(B125) - ROW($B$2)</f>
        <v>123</v>
      </c>
      <c r="C125" s="12" t="s">
        <v>28</v>
      </c>
      <c r="D125" s="7" t="s">
        <v>154</v>
      </c>
      <c r="E125" s="8" t="s">
        <v>277</v>
      </c>
      <c r="F125" s="7" t="s">
        <v>343</v>
      </c>
      <c r="G125" s="8" t="s">
        <v>452</v>
      </c>
      <c r="H125" s="7" t="s">
        <v>504</v>
      </c>
      <c r="I125" s="8" t="s">
        <v>564</v>
      </c>
      <c r="J125" s="7">
        <v>1</v>
      </c>
      <c r="K125" s="7"/>
    </row>
    <row r="126" spans="1:11" ht="15.75" thickBot="1">
      <c r="A126" s="1"/>
      <c r="B126" s="11">
        <f t="shared" si="0"/>
        <v>124</v>
      </c>
      <c r="C126" s="13" t="s">
        <v>28</v>
      </c>
      <c r="D126" s="9" t="s">
        <v>155</v>
      </c>
      <c r="E126" s="10" t="s">
        <v>278</v>
      </c>
      <c r="F126" s="9" t="s">
        <v>344</v>
      </c>
      <c r="G126" s="10" t="s">
        <v>453</v>
      </c>
      <c r="H126" s="9" t="s">
        <v>7</v>
      </c>
      <c r="I126" s="8" t="s">
        <v>564</v>
      </c>
      <c r="J126" s="9">
        <v>1</v>
      </c>
      <c r="K126" s="9"/>
    </row>
    <row r="127" spans="1:11" ht="15.75" thickBot="1">
      <c r="A127" s="1"/>
      <c r="B127" s="11">
        <f>ROW(B127) - ROW($B$2)</f>
        <v>125</v>
      </c>
      <c r="C127" s="12" t="s">
        <v>30</v>
      </c>
      <c r="D127" s="7" t="s">
        <v>156</v>
      </c>
      <c r="E127" s="8" t="s">
        <v>279</v>
      </c>
      <c r="F127" s="7" t="s">
        <v>345</v>
      </c>
      <c r="G127" s="8" t="s">
        <v>345</v>
      </c>
      <c r="H127" s="7" t="s">
        <v>505</v>
      </c>
      <c r="I127" s="8" t="s">
        <v>558</v>
      </c>
      <c r="J127" s="7">
        <v>1</v>
      </c>
      <c r="K127" s="7"/>
    </row>
    <row r="128" spans="1:11" ht="15.75" thickBot="1">
      <c r="A128" s="1"/>
      <c r="B128" s="11">
        <f t="shared" si="0"/>
        <v>126</v>
      </c>
      <c r="C128" s="14" t="s">
        <v>30</v>
      </c>
      <c r="D128" s="9" t="s">
        <v>157</v>
      </c>
      <c r="E128" s="10" t="s">
        <v>280</v>
      </c>
      <c r="F128" s="9" t="s">
        <v>346</v>
      </c>
      <c r="G128" s="10" t="s">
        <v>454</v>
      </c>
      <c r="H128" s="9" t="s">
        <v>506</v>
      </c>
      <c r="I128" s="10" t="s">
        <v>559</v>
      </c>
      <c r="J128" s="9">
        <v>1</v>
      </c>
      <c r="K128" s="9"/>
    </row>
    <row r="129" spans="2:11" ht="48.75" thickBot="1">
      <c r="B129" s="11">
        <f t="shared" si="0"/>
        <v>127</v>
      </c>
      <c r="C129" s="12" t="s">
        <v>603</v>
      </c>
      <c r="D129" s="23" t="s">
        <v>568</v>
      </c>
      <c r="E129" s="23" t="s">
        <v>587</v>
      </c>
      <c r="F129" s="21" t="s">
        <v>564</v>
      </c>
      <c r="G129" s="21" t="s">
        <v>576</v>
      </c>
      <c r="H129" s="21"/>
      <c r="I129" s="21" t="s">
        <v>564</v>
      </c>
      <c r="J129" s="21">
        <v>2</v>
      </c>
      <c r="K129" s="25" t="s">
        <v>599</v>
      </c>
    </row>
    <row r="130" spans="2:11" ht="15.75" thickBot="1">
      <c r="B130" s="11">
        <f t="shared" ref="B130:B141" si="1">ROW(B130) - ROW($B$2)</f>
        <v>128</v>
      </c>
      <c r="C130" s="12" t="s">
        <v>603</v>
      </c>
      <c r="D130" s="23" t="s">
        <v>569</v>
      </c>
      <c r="E130" s="23"/>
      <c r="F130" s="21" t="s">
        <v>564</v>
      </c>
      <c r="G130" s="21" t="s">
        <v>577</v>
      </c>
      <c r="H130" s="21"/>
      <c r="I130" s="21" t="s">
        <v>564</v>
      </c>
      <c r="J130" s="21">
        <v>1</v>
      </c>
      <c r="K130" s="25" t="s">
        <v>600</v>
      </c>
    </row>
    <row r="131" spans="2:11" ht="24.75" thickBot="1">
      <c r="B131" s="11">
        <f t="shared" si="1"/>
        <v>129</v>
      </c>
      <c r="C131" s="12" t="s">
        <v>603</v>
      </c>
      <c r="D131" s="23" t="s">
        <v>570</v>
      </c>
      <c r="E131" s="23" t="s">
        <v>588</v>
      </c>
      <c r="F131" s="21" t="s">
        <v>564</v>
      </c>
      <c r="G131" s="21" t="s">
        <v>578</v>
      </c>
      <c r="H131" s="21" t="s">
        <v>597</v>
      </c>
      <c r="I131" s="21" t="s">
        <v>564</v>
      </c>
      <c r="J131" s="21">
        <v>3</v>
      </c>
      <c r="K131" s="25" t="s">
        <v>601</v>
      </c>
    </row>
    <row r="132" spans="2:11" ht="24.75" thickBot="1">
      <c r="B132" s="11">
        <f t="shared" si="1"/>
        <v>130</v>
      </c>
      <c r="C132" s="12" t="s">
        <v>603</v>
      </c>
      <c r="D132" s="23" t="s">
        <v>571</v>
      </c>
      <c r="E132" s="23" t="s">
        <v>589</v>
      </c>
      <c r="F132" s="21" t="s">
        <v>564</v>
      </c>
      <c r="G132" s="21" t="s">
        <v>579</v>
      </c>
      <c r="H132" s="21" t="s">
        <v>597</v>
      </c>
      <c r="I132" s="21" t="s">
        <v>564</v>
      </c>
      <c r="J132" s="21">
        <v>1</v>
      </c>
      <c r="K132" s="25" t="s">
        <v>601</v>
      </c>
    </row>
    <row r="133" spans="2:11" ht="24.75" thickBot="1">
      <c r="B133" s="11">
        <f t="shared" si="1"/>
        <v>131</v>
      </c>
      <c r="C133" s="12" t="s">
        <v>603</v>
      </c>
      <c r="D133" s="23" t="s">
        <v>571</v>
      </c>
      <c r="E133" s="23" t="s">
        <v>590</v>
      </c>
      <c r="F133" s="21" t="s">
        <v>564</v>
      </c>
      <c r="G133" s="21" t="s">
        <v>580</v>
      </c>
      <c r="H133" s="21" t="s">
        <v>597</v>
      </c>
      <c r="I133" s="21" t="s">
        <v>564</v>
      </c>
      <c r="J133" s="21">
        <v>1</v>
      </c>
      <c r="K133" s="25" t="s">
        <v>601</v>
      </c>
    </row>
    <row r="134" spans="2:11" ht="24.75" thickBot="1">
      <c r="B134" s="11">
        <f t="shared" si="1"/>
        <v>132</v>
      </c>
      <c r="C134" s="12" t="s">
        <v>603</v>
      </c>
      <c r="D134" s="23" t="s">
        <v>571</v>
      </c>
      <c r="E134" s="23" t="s">
        <v>591</v>
      </c>
      <c r="F134" s="21" t="s">
        <v>564</v>
      </c>
      <c r="G134" s="21" t="s">
        <v>581</v>
      </c>
      <c r="H134" s="21" t="s">
        <v>597</v>
      </c>
      <c r="I134" s="21" t="s">
        <v>564</v>
      </c>
      <c r="J134" s="21">
        <v>1</v>
      </c>
      <c r="K134" s="25" t="s">
        <v>601</v>
      </c>
    </row>
    <row r="135" spans="2:11" ht="24.75" thickBot="1">
      <c r="B135" s="11">
        <f t="shared" si="1"/>
        <v>133</v>
      </c>
      <c r="C135" s="12" t="s">
        <v>603</v>
      </c>
      <c r="D135" s="23" t="s">
        <v>572</v>
      </c>
      <c r="E135" s="23" t="s">
        <v>592</v>
      </c>
      <c r="F135" s="21" t="s">
        <v>564</v>
      </c>
      <c r="G135" s="21" t="s">
        <v>582</v>
      </c>
      <c r="H135" s="21" t="s">
        <v>597</v>
      </c>
      <c r="I135" s="21" t="s">
        <v>564</v>
      </c>
      <c r="J135" s="21">
        <v>2</v>
      </c>
      <c r="K135" s="25" t="s">
        <v>601</v>
      </c>
    </row>
    <row r="136" spans="2:11" ht="24.75" thickBot="1">
      <c r="B136" s="11">
        <f t="shared" si="1"/>
        <v>134</v>
      </c>
      <c r="C136" s="12" t="s">
        <v>603</v>
      </c>
      <c r="D136" s="23" t="s">
        <v>572</v>
      </c>
      <c r="E136" s="23" t="s">
        <v>593</v>
      </c>
      <c r="F136" s="21" t="s">
        <v>564</v>
      </c>
      <c r="G136" s="21" t="s">
        <v>583</v>
      </c>
      <c r="H136" s="21" t="s">
        <v>597</v>
      </c>
      <c r="I136" s="21" t="s">
        <v>564</v>
      </c>
      <c r="J136" s="21">
        <v>1</v>
      </c>
      <c r="K136" s="25" t="s">
        <v>601</v>
      </c>
    </row>
    <row r="137" spans="2:11" ht="24.75" thickBot="1">
      <c r="B137" s="11">
        <f t="shared" si="1"/>
        <v>135</v>
      </c>
      <c r="C137" s="12" t="s">
        <v>603</v>
      </c>
      <c r="D137" s="23" t="s">
        <v>572</v>
      </c>
      <c r="E137" s="23" t="s">
        <v>594</v>
      </c>
      <c r="F137" s="21" t="s">
        <v>564</v>
      </c>
      <c r="G137" s="21" t="s">
        <v>584</v>
      </c>
      <c r="H137" s="21" t="s">
        <v>597</v>
      </c>
      <c r="I137" s="21" t="s">
        <v>564</v>
      </c>
      <c r="J137" s="21">
        <v>2</v>
      </c>
      <c r="K137" s="25" t="s">
        <v>601</v>
      </c>
    </row>
    <row r="138" spans="2:11" ht="36.75" thickBot="1">
      <c r="B138" s="11">
        <f t="shared" si="1"/>
        <v>136</v>
      </c>
      <c r="C138" s="12" t="s">
        <v>603</v>
      </c>
      <c r="D138" s="23" t="s">
        <v>573</v>
      </c>
      <c r="E138" s="23" t="s">
        <v>595</v>
      </c>
      <c r="F138" s="21" t="s">
        <v>564</v>
      </c>
      <c r="G138" s="21">
        <v>1312004</v>
      </c>
      <c r="H138" s="21" t="s">
        <v>598</v>
      </c>
      <c r="I138" s="21" t="s">
        <v>564</v>
      </c>
      <c r="J138" s="21">
        <v>1</v>
      </c>
      <c r="K138" s="25" t="s">
        <v>602</v>
      </c>
    </row>
    <row r="139" spans="2:11" ht="24.75" thickBot="1">
      <c r="B139" s="11">
        <f t="shared" si="1"/>
        <v>137</v>
      </c>
      <c r="C139" s="12" t="s">
        <v>603</v>
      </c>
      <c r="D139" s="23" t="s">
        <v>574</v>
      </c>
      <c r="E139" s="23" t="s">
        <v>596</v>
      </c>
      <c r="F139" s="21" t="s">
        <v>564</v>
      </c>
      <c r="G139" s="21">
        <v>34608</v>
      </c>
      <c r="H139" s="21" t="s">
        <v>598</v>
      </c>
      <c r="I139" s="21" t="s">
        <v>564</v>
      </c>
      <c r="J139" s="21">
        <v>2</v>
      </c>
      <c r="K139" s="25" t="s">
        <v>602</v>
      </c>
    </row>
    <row r="140" spans="2:11" ht="15.75" thickBot="1">
      <c r="B140" s="11">
        <f t="shared" si="1"/>
        <v>138</v>
      </c>
      <c r="C140" s="12" t="s">
        <v>603</v>
      </c>
      <c r="D140" s="23" t="s">
        <v>575</v>
      </c>
      <c r="E140" s="23"/>
      <c r="F140" s="21" t="s">
        <v>564</v>
      </c>
      <c r="G140" s="21" t="s">
        <v>585</v>
      </c>
      <c r="H140" s="21"/>
      <c r="I140" s="21" t="s">
        <v>564</v>
      </c>
      <c r="J140" s="21">
        <v>2</v>
      </c>
      <c r="K140" s="25" t="s">
        <v>599</v>
      </c>
    </row>
    <row r="141" spans="2:11" ht="15.75" thickBot="1">
      <c r="B141" s="11">
        <f t="shared" si="1"/>
        <v>139</v>
      </c>
      <c r="C141" s="12" t="s">
        <v>603</v>
      </c>
      <c r="D141" s="23" t="s">
        <v>575</v>
      </c>
      <c r="E141" s="24"/>
      <c r="F141" s="22" t="s">
        <v>564</v>
      </c>
      <c r="G141" s="22" t="s">
        <v>586</v>
      </c>
      <c r="H141" s="22"/>
      <c r="I141" s="22" t="s">
        <v>564</v>
      </c>
      <c r="J141" s="22">
        <v>1</v>
      </c>
      <c r="K141" s="26" t="s">
        <v>599</v>
      </c>
    </row>
  </sheetData>
  <mergeCells count="1">
    <mergeCell ref="I1:K1"/>
  </mergeCells>
  <hyperlinks>
    <hyperlink ref="K129" r:id="rId1"/>
    <hyperlink ref="K131" r:id="rId2"/>
    <hyperlink ref="K140" r:id="rId3"/>
    <hyperlink ref="K141" r:id="rId4"/>
    <hyperlink ref="K130" r:id="rId5"/>
    <hyperlink ref="K132" r:id="rId6"/>
    <hyperlink ref="K134" r:id="rId7"/>
    <hyperlink ref="K135" r:id="rId8"/>
    <hyperlink ref="K137" r:id="rId9"/>
    <hyperlink ref="K138" r:id="rId10"/>
    <hyperlink ref="K139" r:id="rId11"/>
    <hyperlink ref="K133" r:id="rId12"/>
    <hyperlink ref="K136" r:id="rId13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2025-11-05T12:22:00Z</dcterms:modified>
</cp:coreProperties>
</file>