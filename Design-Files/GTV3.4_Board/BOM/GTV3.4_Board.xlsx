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Design-Files\GTV3.4_Board\BOM\"/>
    </mc:Choice>
  </mc:AlternateContent>
  <xr:revisionPtr revIDLastSave="0" documentId="13_ncr:1_{1CA65FB7-1B22-48CB-9DEF-63EC45CB719F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85" i="1" l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<sst xmlns="http://schemas.openxmlformats.org/spreadsheetml/2006/main" count="1174" uniqueCount="792">
  <si>
    <t>#</t>
  </si>
  <si>
    <t>Item Type</t>
  </si>
  <si>
    <t>Antenna</t>
  </si>
  <si>
    <t>Capacitor</t>
  </si>
  <si>
    <t>Capacitor, [NoParam]</t>
  </si>
  <si>
    <t>[NoParam], Capacitor</t>
  </si>
  <si>
    <t>Supercapacitor</t>
  </si>
  <si>
    <t>[NoParam], Zener diode</t>
  </si>
  <si>
    <t>Diode</t>
  </si>
  <si>
    <t>ESD Diode</t>
  </si>
  <si>
    <t>Protection Device</t>
  </si>
  <si>
    <t>C693487</t>
  </si>
  <si>
    <t>Fuse</t>
  </si>
  <si>
    <t>Ferrite Bead</t>
  </si>
  <si>
    <t>Jtag Header</t>
  </si>
  <si>
    <t>SMA</t>
  </si>
  <si>
    <t>USB Connector</t>
  </si>
  <si>
    <t>Wire To Wire Connector</t>
  </si>
  <si>
    <t>Header</t>
  </si>
  <si>
    <t>Male Header</t>
  </si>
  <si>
    <t>SIM Card Connectors</t>
  </si>
  <si>
    <t>Pogo Connector</t>
  </si>
  <si>
    <t>SD Card Connector</t>
  </si>
  <si>
    <t>Inductor</t>
  </si>
  <si>
    <t>LED</t>
  </si>
  <si>
    <t>Test Point</t>
  </si>
  <si>
    <t>TEST POINT</t>
  </si>
  <si>
    <t>Mosfet</t>
  </si>
  <si>
    <t>Mosfet, [NoParam]</t>
  </si>
  <si>
    <t>[NoParam], Resistor</t>
  </si>
  <si>
    <t>Resistor, [NoParam]</t>
  </si>
  <si>
    <t>Resistor</t>
  </si>
  <si>
    <t>Switch</t>
  </si>
  <si>
    <t>IC</t>
  </si>
  <si>
    <t>IC Module</t>
  </si>
  <si>
    <t>Module</t>
  </si>
  <si>
    <t>Designator</t>
  </si>
  <si>
    <t>ANT1</t>
  </si>
  <si>
    <t>C1, C4, C17, C21, C23, C24, C43, C58, C61, C63, C65, C67</t>
  </si>
  <si>
    <t>C2</t>
  </si>
  <si>
    <t>C3, C40, C45, C59</t>
  </si>
  <si>
    <t>C5, C12, C29, C30, C31, C32, C33, C36, C73, C88, C90, C92, C93, C95, C97, C102, C109, C110, C111, C113, C114</t>
  </si>
  <si>
    <t>C6, C18, C22, C25, C26, C37, C38, C39, C44, C46, C47, C48, C49, C51, C52, C55, C60, C62, C64, C66, C68, C69, C76, C82, C87</t>
  </si>
  <si>
    <t>C7, C15, C71</t>
  </si>
  <si>
    <t>C8, C28</t>
  </si>
  <si>
    <t>C9</t>
  </si>
  <si>
    <t>C10, C27, C101, C103, C104, C108</t>
  </si>
  <si>
    <t>C11, C19</t>
  </si>
  <si>
    <t>C13</t>
  </si>
  <si>
    <t>C14, C96</t>
  </si>
  <si>
    <t>C16</t>
  </si>
  <si>
    <t>C20</t>
  </si>
  <si>
    <t>C34, C35</t>
  </si>
  <si>
    <t>C41, C80, C81, C83, C86</t>
  </si>
  <si>
    <t>C42, C79, C117</t>
  </si>
  <si>
    <t>C50, C54, C74</t>
  </si>
  <si>
    <t>C53, C78</t>
  </si>
  <si>
    <t>C56</t>
  </si>
  <si>
    <t>C57</t>
  </si>
  <si>
    <t>C70</t>
  </si>
  <si>
    <t>C72</t>
  </si>
  <si>
    <t>C84, C85, C116, C118, C119</t>
  </si>
  <si>
    <t>C89</t>
  </si>
  <si>
    <t>C91</t>
  </si>
  <si>
    <t>C94</t>
  </si>
  <si>
    <t>C98, C99, C100</t>
  </si>
  <si>
    <t>C105, C106</t>
  </si>
  <si>
    <t>C107, C112</t>
  </si>
  <si>
    <t>C115</t>
  </si>
  <si>
    <t>C120, C121</t>
  </si>
  <si>
    <t>C122</t>
  </si>
  <si>
    <t>C123</t>
  </si>
  <si>
    <t>C124, C126</t>
  </si>
  <si>
    <t>C125, C127</t>
  </si>
  <si>
    <t>D1, D28, D29</t>
  </si>
  <si>
    <t>D2, D30</t>
  </si>
  <si>
    <t>D3</t>
  </si>
  <si>
    <t>D4, D18</t>
  </si>
  <si>
    <t>D5, D8</t>
  </si>
  <si>
    <t>D6</t>
  </si>
  <si>
    <t>D7</t>
  </si>
  <si>
    <t>D9, D13</t>
  </si>
  <si>
    <t>D10, D16, D19</t>
  </si>
  <si>
    <t>D11</t>
  </si>
  <si>
    <t>D12</t>
  </si>
  <si>
    <t>D14</t>
  </si>
  <si>
    <t>D15</t>
  </si>
  <si>
    <t>D17</t>
  </si>
  <si>
    <t>D20, D21, D22, D23, D24</t>
  </si>
  <si>
    <t>D25, D26</t>
  </si>
  <si>
    <t>D27</t>
  </si>
  <si>
    <t>D31</t>
  </si>
  <si>
    <t>F1</t>
  </si>
  <si>
    <t>F2, F3</t>
  </si>
  <si>
    <t>FB1</t>
  </si>
  <si>
    <t>J1</t>
  </si>
  <si>
    <t>J2, J3, J4, J5, J6, J7, J8, J9, J11, J21</t>
  </si>
  <si>
    <t>J10, J12, J13, J16, J17</t>
  </si>
  <si>
    <t>J14, J20, J29</t>
  </si>
  <si>
    <t>J15</t>
  </si>
  <si>
    <t>J19</t>
  </si>
  <si>
    <t>J22</t>
  </si>
  <si>
    <t>J23</t>
  </si>
  <si>
    <t>J24</t>
  </si>
  <si>
    <t>J25, J26</t>
  </si>
  <si>
    <t>J27</t>
  </si>
  <si>
    <t>J28</t>
  </si>
  <si>
    <t>J30</t>
  </si>
  <si>
    <t>L1</t>
  </si>
  <si>
    <t>L2</t>
  </si>
  <si>
    <t>L5</t>
  </si>
  <si>
    <t>L6</t>
  </si>
  <si>
    <t>L7</t>
  </si>
  <si>
    <t>LED1, LED2, LED3, LED4, LED5, LED6, LED7</t>
  </si>
  <si>
    <t>LED8</t>
  </si>
  <si>
    <t>LED9, LED11, LED13</t>
  </si>
  <si>
    <t>LED10</t>
  </si>
  <si>
    <t>LED12</t>
  </si>
  <si>
    <t>LS1</t>
  </si>
  <si>
    <t>P1, P7, P9, P10, P11</t>
  </si>
  <si>
    <t>P2, P12, P13, P14, P15</t>
  </si>
  <si>
    <t>P3, P4, P5, P8</t>
  </si>
  <si>
    <t>P6</t>
  </si>
  <si>
    <t>P19, P27, P28</t>
  </si>
  <si>
    <t>P20</t>
  </si>
  <si>
    <t>Q1, Q2, Q3, Q4, Q8</t>
  </si>
  <si>
    <t>Q5, Q6</t>
  </si>
  <si>
    <t>Q7, Q21</t>
  </si>
  <si>
    <t>Q9, Q10, Q11, Q12, Q13, Q14, Q15, Q16, Q29, Q30</t>
  </si>
  <si>
    <t>Q17, Q24</t>
  </si>
  <si>
    <t>Q18, Q19, Q31, Q38</t>
  </si>
  <si>
    <t>Q20</t>
  </si>
  <si>
    <t>Q22, Q23, Q33, Q40, Q43</t>
  </si>
  <si>
    <t>Q25, Q26, Q27, Q28</t>
  </si>
  <si>
    <t>Q32</t>
  </si>
  <si>
    <t>Q39</t>
  </si>
  <si>
    <t>R1</t>
  </si>
  <si>
    <t>R2</t>
  </si>
  <si>
    <t>R3</t>
  </si>
  <si>
    <t>R4, R6, R9, R20, R21, R27, R66, R68, R69, R70, R72, R73, R74, R75, R82, R101, R102, R110, R114, R126, R128, R168</t>
  </si>
  <si>
    <t>R5, R8, R28, R33, R42, R43, R44, R45, R46, R47, R48, R49, R52, R53, R56, R62, R86, R88</t>
  </si>
  <si>
    <t>R7, R10</t>
  </si>
  <si>
    <t>R11</t>
  </si>
  <si>
    <t>R12, R134, R170</t>
  </si>
  <si>
    <t>R13</t>
  </si>
  <si>
    <t>R14, R15, R17</t>
  </si>
  <si>
    <t>R16</t>
  </si>
  <si>
    <t>R18, R19, R22, R37, R39, R78, R80, R111, R115</t>
  </si>
  <si>
    <t>R23, R35, R36, R38, R76, R77, R79, R113</t>
  </si>
  <si>
    <t>R24, R25</t>
  </si>
  <si>
    <t>R26, R29, R34, R40, R41, R50, R51, R67, R71, R85, R107</t>
  </si>
  <si>
    <t>R30, R116, R163</t>
  </si>
  <si>
    <t>R31, R57, R58, R59, R60, R61, R106, R138, R141, R146, R154</t>
  </si>
  <si>
    <t>R32</t>
  </si>
  <si>
    <t>R54</t>
  </si>
  <si>
    <t>R55, R104, R105, R169</t>
  </si>
  <si>
    <t>R63, R87</t>
  </si>
  <si>
    <t>R64</t>
  </si>
  <si>
    <t>R65</t>
  </si>
  <si>
    <t>R81, R131</t>
  </si>
  <si>
    <t>R83, R84</t>
  </si>
  <si>
    <t>R89, R90, R99, R100</t>
  </si>
  <si>
    <t>R91, R92, R161, R162</t>
  </si>
  <si>
    <t>R93, R94</t>
  </si>
  <si>
    <t>R95, R96</t>
  </si>
  <si>
    <t>R97, R98</t>
  </si>
  <si>
    <t>R103</t>
  </si>
  <si>
    <t>R108</t>
  </si>
  <si>
    <t>R109, R136</t>
  </si>
  <si>
    <t>R112</t>
  </si>
  <si>
    <t>R117, R118</t>
  </si>
  <si>
    <t>R119</t>
  </si>
  <si>
    <t>R120</t>
  </si>
  <si>
    <t>R121</t>
  </si>
  <si>
    <t>R122</t>
  </si>
  <si>
    <t>R123</t>
  </si>
  <si>
    <t>R124</t>
  </si>
  <si>
    <t>R125</t>
  </si>
  <si>
    <t>R127, R166</t>
  </si>
  <si>
    <t>R129</t>
  </si>
  <si>
    <t>R130</t>
  </si>
  <si>
    <t>R132</t>
  </si>
  <si>
    <t>R133, R139, R142, R144, R147, R155</t>
  </si>
  <si>
    <t>R135, R140</t>
  </si>
  <si>
    <t>R137, R145</t>
  </si>
  <si>
    <t>R143</t>
  </si>
  <si>
    <t>R148, R149</t>
  </si>
  <si>
    <t>R150, R151, R152, R153</t>
  </si>
  <si>
    <t>R156, R157, R158, R159, R160</t>
  </si>
  <si>
    <t>R164</t>
  </si>
  <si>
    <t>R165</t>
  </si>
  <si>
    <t>R167</t>
  </si>
  <si>
    <t>SB2, SB3, SB5, SB7, SB8, SB9, SB35, SB36, SB37, SB38, SB39, SB40, SB43, SB44</t>
  </si>
  <si>
    <t>SW1, SW2</t>
  </si>
  <si>
    <t>SW3</t>
  </si>
  <si>
    <t>SW4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</si>
  <si>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</si>
  <si>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</si>
  <si>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</si>
  <si>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</si>
  <si>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</si>
  <si>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</si>
  <si>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</si>
  <si>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</si>
  <si>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</si>
  <si>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</si>
  <si>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</si>
  <si>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U18</t>
  </si>
  <si>
    <t>U19</t>
  </si>
  <si>
    <t>U20</t>
  </si>
  <si>
    <t>U21</t>
  </si>
  <si>
    <t>U22</t>
  </si>
  <si>
    <t>U23, U26</t>
  </si>
  <si>
    <t>U24</t>
  </si>
  <si>
    <t>U25</t>
  </si>
  <si>
    <t>U27</t>
  </si>
  <si>
    <t>U28</t>
  </si>
  <si>
    <t>U29</t>
  </si>
  <si>
    <t>X1</t>
  </si>
  <si>
    <t>X3</t>
  </si>
  <si>
    <t>Description</t>
  </si>
  <si>
    <t>5.05dBi Chip antenna Linear 160MHz 2.45GHz 1W 1206 Antennas ROHS</t>
  </si>
  <si>
    <t>CAP ALUM 10uF 25V SMD</t>
  </si>
  <si>
    <t>CAP CER 0.1UF 100V X7R 1206</t>
  </si>
  <si>
    <t>CAP CER 1UF 25V X5R 0603</t>
  </si>
  <si>
    <t>CAP CER 0.1UF 100V X5R 0402, CAP CER 0.1UF 50V X5R 0402</t>
  </si>
  <si>
    <t>CAP CER 0.1UF 50V Y5V 0603</t>
  </si>
  <si>
    <t>CAP CER 1UF 16V X5R 0402</t>
  </si>
  <si>
    <t>CAP CER, X5R, 10 V, 1206 [3216 Metric]</t>
  </si>
  <si>
    <t>CAP ALUM 100UF 20% 25V SMD</t>
  </si>
  <si>
    <t>CAP CER 0.1UF 25V X6S 0201</t>
  </si>
  <si>
    <t>CAP CER 1000PF 25V C0G 0402</t>
  </si>
  <si>
    <t>CAP CER 10PF 50V C0G/NP0 0402</t>
  </si>
  <si>
    <t>CAP CER 33PF 25V C0G/NP0 0402</t>
  </si>
  <si>
    <t>470uF ±20% 50V 12.5mm 13.5mm 1000hrs 105℃ -40℃~+105℃ SMD,12.5x13.5mm Aluminum Electrolytic Capacitors - SMD RoHS</t>
  </si>
  <si>
    <t>CAP CER 470pF 10% X7R 50V 0603 SMD</t>
  </si>
  <si>
    <t>CAP 30pF NP0 0603 50 V ±5 % SMD</t>
  </si>
  <si>
    <t>CAP CER 1UF 50V X5R 0402</t>
  </si>
  <si>
    <t>CAP CER 0.1UF 16V X5R 0402</t>
  </si>
  <si>
    <t>CAP CER 20PF 50V C0G/NPO 0603</t>
  </si>
  <si>
    <t>CAP CER 0.047UF 100V X7R 1206</t>
  </si>
  <si>
    <t>CAP CER 10UF 35V X5R 0603</t>
  </si>
  <si>
    <t>CAP ALUM 1000UF 20% 10V SMD</t>
  </si>
  <si>
    <t>CAP CER 10UF 16V X5R 0603</t>
  </si>
  <si>
    <t>CAP CER 22UF 35V X5R 0805</t>
  </si>
  <si>
    <t>CAP TANT 330UF 20% 16V 2917</t>
  </si>
  <si>
    <t>CAP TANT 100UF 20% 10V 1411</t>
  </si>
  <si>
    <t>CAP CER 2.2UF 25V X5R 0402</t>
  </si>
  <si>
    <t>CAP CER 22PF 50V C0G/NP0 0201</t>
  </si>
  <si>
    <t>CAP CER 10UF 10V X5R 0402</t>
  </si>
  <si>
    <t>CAP 25F -10% +30% 2.7V T/H</t>
  </si>
  <si>
    <t>CAP CER 47UF 25V X5R 1206</t>
  </si>
  <si>
    <t>CAP CER 0.47UF 50V X5R 0603</t>
  </si>
  <si>
    <t>CAP CER 2200PF 50V X7R 0603</t>
  </si>
  <si>
    <t>40V 500mV@2A 2A SMA(DO-214AC) Schottky Barrier Diodes (SBD) ROHS</t>
  </si>
  <si>
    <t>DIODE ZENER 16V 1.5W SMA</t>
  </si>
  <si>
    <t>800uA 43.5A 9.2V 6.4V 5V 7V Bi-Directional SMA TVS ROHS</t>
  </si>
  <si>
    <t>16A 20V 7V 5V@Max Unidirectional SOT-23 TVS ROHS</t>
  </si>
  <si>
    <t>SMB(DO-214AA) TVS ROHS</t>
  </si>
  <si>
    <t>1uA 5.3A 113V 77.8V 70V 86V Unidirectional SMB(DO-214AA) TVS ROHS</t>
  </si>
  <si>
    <t>SCHOTTKY DIODE SMB 100V 5A</t>
  </si>
  <si>
    <t>0402 ESD Protection Devices ROHS</t>
  </si>
  <si>
    <t>SOD-523 ESD Protection Devices ROHS</t>
  </si>
  <si>
    <t>20V 500mV@3A 3A SMA(DO-214AC) Schottky Barrier Diodes (SBD) ROHS</t>
  </si>
  <si>
    <t>TVS DIODE 5VWM 9.2VC SMA</t>
  </si>
  <si>
    <t>DIODE SCHOTTKY 40V 10A POWERDI5</t>
  </si>
  <si>
    <t>DIODE SCHOTTKY 40V 380MA SOD523</t>
  </si>
  <si>
    <t>TVS DIODE 5VWM 6.3VC DSN0603-2</t>
  </si>
  <si>
    <t>5V 10V 3.3V Bi-Directional SOD-882 ESD Protection Devices ROHS</t>
  </si>
  <si>
    <t>DIODE GEN PURP 100V 300MA SOD123</t>
  </si>
  <si>
    <t>35A@8/20us 15V 4.5V@Max Unidirectional DFN1006 TVS ROHS</t>
  </si>
  <si>
    <t>1A Single 1kV 1.1V@1A SMA(DO-214AC) Diodes - General Purpose ROHS</t>
  </si>
  <si>
    <t>6V 500mA 40A 1A 0603 Resettable Fuses ROHS</t>
  </si>
  <si>
    <t>9V 200mA 100A 500mA 0805 Resettable Fuses ROHS</t>
  </si>
  <si>
    <t>FERRITE BEAD 220 OHM 0805 1LN</t>
  </si>
  <si>
    <t>CONN HEADER SMD 10POS 1.27MM</t>
  </si>
  <si>
    <t>TERMINAL BLOCK, PLUGGABLE, 5.08,</t>
  </si>
  <si>
    <t>1 Inner bore SMA Board Edge Bend -55℃~+155℃ 50Ω Plugin RF Connectors / Coaxial Connectors ROHS</t>
  </si>
  <si>
    <t>CONN RCPT USB2.0 MICRO B SMD R/A</t>
  </si>
  <si>
    <t>1x8P PH 1 2mm 8 Brass SMD,P=2mm Wire To Board / Wire To Wire Connector ROHS</t>
  </si>
  <si>
    <t>Straight 2.54mm Black Brass 1x4P Plugin,P=2.54mm Pin Headers ROHS</t>
  </si>
  <si>
    <t>Straight Square Pins 2.5mm 7P 6mm -40℃~+105℃ 3mm 2.54mm Plugin Black Brass 1x7P Plugin,P=2.54mm Pin Headers ROHS</t>
  </si>
  <si>
    <t>CONN U.FL RCPT STR 50 OHM SMD</t>
  </si>
  <si>
    <t>Copper Alloy Self bomb Gold plating 1.25mm Deck -40℃~+85℃ 260℃ NanoSIM SMD SIM Card Connectors ROHS</t>
  </si>
  <si>
    <t>Pogo Pad 2.5mm 4 Pin</t>
  </si>
  <si>
    <t>CONN MICRO SD CARD PUSH-PUSH R/A</t>
  </si>
  <si>
    <t>IND SMD 10uH 500mA 0805</t>
  </si>
  <si>
    <t>Inductor Power Shielded Wirewound 220uH 20% 1KHz Ferrite 1.3A 310mOhm DCR Blister T/R</t>
  </si>
  <si>
    <t>IND SMD 3.3UH 20A</t>
  </si>
  <si>
    <t>Ind Chip Wirewound 68nH 5% 200MHz 37Q-Factor Ceramic 600mA 0603</t>
  </si>
  <si>
    <t>FIXED IND 470NH 4.9A 0.023OHM SM</t>
  </si>
  <si>
    <t>LED RED CLEAR CHIP SMD</t>
  </si>
  <si>
    <t>SENSOR PHOTO 630NM 2SMD</t>
  </si>
  <si>
    <t>RED LED 0603 Light Emitting Diodes, Red 632nm LED Indication - Discrete 2.05V 0603 (1608 Metric)</t>
  </si>
  <si>
    <t>Green 520~535nm 0402 Light Emitting Diodes (LED) RoHS</t>
  </si>
  <si>
    <t>Yellow-Green 572nm LED Indication - Discrete 2.05V 0603 (1608 Metric)</t>
  </si>
  <si>
    <t>NO 2700Hz 85dB @ 3V, 10cm 3V Φ9mm SMD,9x3.2mm Buzzers RoHS</t>
  </si>
  <si>
    <t>Test Point ON</t>
  </si>
  <si>
    <t>CONN HEADER VERT 6POS 2.54MM</t>
  </si>
  <si>
    <t>CONN HEADER VERT 3POS 2.54MM</t>
  </si>
  <si>
    <t>CONN HEADER VERT 2POS 2.54MM</t>
  </si>
  <si>
    <t>CONN HEADER VERT 4POS 2.54MM</t>
  </si>
  <si>
    <t>Single N-Channel, 20V, 4.7A, Power MOSFET</t>
  </si>
  <si>
    <t>MOSFET N-CH 55V 110A D2PAK</t>
  </si>
  <si>
    <t>MOSFET P-CH 20V 3.7A SOT23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</si>
  <si>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</si>
  <si>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</si>
  <si>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</si>
  <si>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</si>
  <si>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TRANS NPN 40V 0.6A SMD SOT23-3</t>
  </si>
  <si>
    <t>MOSFET N-CH 130V 1A SOT23</t>
  </si>
  <si>
    <t>30V 4.1A 60mΩ@10V,4.1A 350mW 3V@250uA P Channel SOT-23 MOSFETs ROHS</t>
  </si>
  <si>
    <t>MOSFET N-CH 60V 115MA SOT23-3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</si>
  <si>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</si>
  <si>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</si>
  <si>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</si>
  <si>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10K Ohm 1% 1/10W 0603, RES SMD 10K OHM 5% 1/10W 0603</t>
  </si>
  <si>
    <t>RES SMD 4.7K OHM 0.1% 1/10W 0603, RES SMD 4.7K OHM 1% 1/10W 0603</t>
  </si>
  <si>
    <t>RES SMD 6.8K OHM 0.1% 1/10W 0603</t>
  </si>
  <si>
    <t>100mW Thick Film Resistors 75V ±1% ±100ppm/℃ -55℃~+155℃ 2.21MΩ 0603 Chip Resistor - Surface Mount ROHS</t>
  </si>
  <si>
    <t>RES 10K OHM 1% 1/16W 0402</t>
  </si>
  <si>
    <t>RES 2.7K OHM 1% 1/16W 0402</t>
  </si>
  <si>
    <t>RES SMD 680 OHM 1% 1/10W 0603</t>
  </si>
  <si>
    <t>RES SMD 2.2K OHM 1% 1/16W 0402</t>
  </si>
  <si>
    <t>RES SMD 2.2K OHM 1% 1/10W 0603, RES 2.2K OHM 1% 1/10W 0603</t>
  </si>
  <si>
    <t>RES SMD 3.3K OHM 1% 1/10W 0603, RES 3.3K OHM 0.5% 1/10W 0603</t>
  </si>
  <si>
    <t>RES SMD 47OHM 0.1W 0603</t>
  </si>
  <si>
    <t>RES SMD 1K OHM 1% 1/10W 0603, RES SMD 1K 0.1W 0603  75 V, Thick Film</t>
  </si>
  <si>
    <t>RES SMD 20K OHM 0.1% 1/10W 0603, RES 20K OHM 1% 1/10W 0603</t>
  </si>
  <si>
    <t>RES 4.7K OHM 1% 1/16W 0402</t>
  </si>
  <si>
    <t>RES SMD 63.4KOHM 0.1% 1/10W 0603</t>
  </si>
  <si>
    <t>RES SMD 13.7KOHM 0.1% 1/10W 0603</t>
  </si>
  <si>
    <t>RES 100K OHM 1% 1/16W 0402</t>
  </si>
  <si>
    <t>RES SMD 22 OHM 1% 1/5W 0402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</si>
  <si>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</si>
  <si>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</si>
  <si>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</si>
  <si>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</si>
  <si>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</si>
  <si>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SMD 0603 1M Ohm 1% 1/10W ±100ppm/°C Molded SMD Paper T/R, RES SMD 1M OHM 1% 1/10W 0603</t>
  </si>
  <si>
    <t>RES  SMD 330R 100 mW 0603</t>
  </si>
  <si>
    <t>RES SMD 50K ±0.5% ±25ppm/℃ 0805</t>
  </si>
  <si>
    <t>Res SMD 0603 150K Ohm 1% 0.1W(1/10W) ±100ppm/C Pad SMD T/R</t>
  </si>
  <si>
    <t>RES 150 OHM 0.5% 1/10W 0603</t>
  </si>
  <si>
    <t>RES 120 OHM 1% 1/10W 0603</t>
  </si>
  <si>
    <t>RES SMD 1.82M OHM 1% 1/10W 0603</t>
  </si>
  <si>
    <t>RES SMD 7.5K OHM 0.1% 1/10W 0603</t>
  </si>
  <si>
    <t>RES 0 OHM JUMPER 1/10W 0603</t>
  </si>
  <si>
    <t>RES 10 OHM 1% 1/8W 0805</t>
  </si>
  <si>
    <t>RES 0.004 OHM 1% 3W 2512</t>
  </si>
  <si>
    <t>RES 2.2 OHM 1% 1/16W 0402</t>
  </si>
  <si>
    <t>100mW 75V  5.23kΩ 0603</t>
  </si>
  <si>
    <t>RES 499K OHM 0.1% 1/16W 0402</t>
  </si>
  <si>
    <t>100mW 75V 30.1kΩ 0603</t>
  </si>
  <si>
    <t>RES SMD 36K OHM 0.1% 1/16W 0402</t>
  </si>
  <si>
    <t>±0.1% 100mW Thin Film Resistor 75V 499kΩ 0603 Chip Resistor - Surface Mount ROHS, RES 499K OHM 1% 1/10W 0603</t>
  </si>
  <si>
    <t>RES SMD 86.6KOHM 0.1% 1/16W 0402</t>
  </si>
  <si>
    <t>RES SMD 100K OHM 5% 1/20W 0201</t>
  </si>
  <si>
    <t>RES 470 OHM 5% 1/20W 0201</t>
  </si>
  <si>
    <t>RES 47K OHM 1% 1/16W 0402</t>
  </si>
  <si>
    <t>RES 1K OHM 1% 1/20W 0201</t>
  </si>
  <si>
    <t>RES SMD 220 OHM 1% 1/10W 0603</t>
  </si>
  <si>
    <t>RES SMD 10 OHM 1% 1/5W 0402</t>
  </si>
  <si>
    <t>1W Thick Film Resistors ±5% ±800ppm/℃ 0Ω 2512 Chip Resistor - Surface Mount ROHS</t>
  </si>
  <si>
    <t>RES 22 OHM 1% 1/20W 0201</t>
  </si>
  <si>
    <t>RES SMD 10K OHM 1% 1/20W 0201</t>
  </si>
  <si>
    <t>RES SMD 402K OHM 1% 1/10W 0603</t>
  </si>
  <si>
    <t>RES 845K OHM 1% 1/10W 0603</t>
  </si>
  <si>
    <t>RES SMD 33K OHM 5% 1/10W 0603</t>
  </si>
  <si>
    <t>Solder Bridge ON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</si>
  <si>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</si>
  <si>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</si>
  <si>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</si>
  <si>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1.5-A boost, buck, inverting switching regulator, operation from 0°C to 70°C 8-SOIC 0 to 70</t>
  </si>
  <si>
    <t>IC REG LINEAR 3.3V 1A SOT223</t>
  </si>
  <si>
    <t>IC REG BUCK-BOOST ADJ 3A 16TQFN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</si>
  <si>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</si>
  <si>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</si>
  <si>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</si>
  <si>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</si>
  <si>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</si>
  <si>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IC SWITCH SP4T X 2 75OHM 16SOIC</t>
  </si>
  <si>
    <t>Through Hole Biometric Sensors ROHS</t>
  </si>
  <si>
    <t>40V 20A 17mΩ@10V,10A 21W 1.6V@250uA 72pF@20V 2 N-Channel 1.05nF@20V 11nC@10V +150℃@(Tj) PDFN3x3</t>
  </si>
  <si>
    <t>IC BATT CHG MULTI-CHEM 16VQFN</t>
  </si>
  <si>
    <t>IC REG LDO ADJ 3A TO263-5</t>
  </si>
  <si>
    <t>IC MCU 32BIT 1MB FLASH 144LQFP</t>
  </si>
  <si>
    <t>15V 5 Unidirectional 5V SOT-363 ESD Protection Devices ROHS</t>
  </si>
  <si>
    <t>IC TRNSLTR BIDIRECTIONAL US8</t>
  </si>
  <si>
    <t>SOP-8 RS-485/RS-422 ICs ROHS</t>
  </si>
  <si>
    <t>RF TXRX MODULE CELLULAR SMD</t>
  </si>
  <si>
    <t>HC12 Si4463 433MHZ RF Wireless Serial Module</t>
  </si>
  <si>
    <t>SOT-23-5 Power Distribution Switches ROHS</t>
  </si>
  <si>
    <t>8MHz SMD Crystal Resonator 18pF 200Ω ±20ppm ±30ppm -40℃~+85℃ SMD3225-4P Crystals ROHS</t>
  </si>
  <si>
    <t>32.768kHz SMD Crystal Resonator 12.5pF ±20ppm -40℃~+85℃ SMD3215-2P Crystals ROHS</t>
  </si>
  <si>
    <t>Footprint</t>
  </si>
  <si>
    <t>ANT3216LL00R2400A</t>
  </si>
  <si>
    <t>RVT1E100M0405.</t>
  </si>
  <si>
    <t>Cap-1206</t>
  </si>
  <si>
    <t>Cap0603</t>
  </si>
  <si>
    <t>Cap-0402</t>
  </si>
  <si>
    <t>UWX1E101MCL1GB</t>
  </si>
  <si>
    <t>CAP-0201</t>
  </si>
  <si>
    <t>VT1H471MI135000CE0</t>
  </si>
  <si>
    <t>Cap0402</t>
  </si>
  <si>
    <t>Cap-0603</t>
  </si>
  <si>
    <t>UUD1A102MNL1GS</t>
  </si>
  <si>
    <t>Cap-0805</t>
  </si>
  <si>
    <t>Case-E</t>
  </si>
  <si>
    <t>Case-B</t>
  </si>
  <si>
    <t>SCCU25B256SRB</t>
  </si>
  <si>
    <t>RVT1E100M0405_</t>
  </si>
  <si>
    <t>SMAJ5.0CA</t>
  </si>
  <si>
    <t>Sot-23</t>
  </si>
  <si>
    <t>SMB_</t>
  </si>
  <si>
    <t>SMB</t>
  </si>
  <si>
    <t>SS510B</t>
  </si>
  <si>
    <t>TPESD0402G03V</t>
  </si>
  <si>
    <t>SOD-523</t>
  </si>
  <si>
    <t>PowerDI™ 5</t>
  </si>
  <si>
    <t>DSN0603-2</t>
  </si>
  <si>
    <t>SOD-882</t>
  </si>
  <si>
    <t>SOD-123</t>
  </si>
  <si>
    <t>DFN1006-2L_</t>
  </si>
  <si>
    <t>SMA(DO-214AC)</t>
  </si>
  <si>
    <t>Fuse-0603</t>
  </si>
  <si>
    <t>Fuse-0805</t>
  </si>
  <si>
    <t>Ind-0805</t>
  </si>
  <si>
    <t>20021121-00010C4LF_</t>
  </si>
  <si>
    <t>TBP01R1-508-02BE</t>
  </si>
  <si>
    <t>TBP01R1-508-03BE</t>
  </si>
  <si>
    <t>TBP01R1-508-04BE</t>
  </si>
  <si>
    <t>HJ-SMA508_</t>
  </si>
  <si>
    <t>10118194-0001LF_</t>
  </si>
  <si>
    <t>A2008WR-S-8P</t>
  </si>
  <si>
    <t>HDR1X4_</t>
  </si>
  <si>
    <t>HDR1X7</t>
  </si>
  <si>
    <t>U.FL-R-SMT-1(80)_</t>
  </si>
  <si>
    <t>XKNANO-113</t>
  </si>
  <si>
    <t>Pogo 4 Pin</t>
  </si>
  <si>
    <t>DM3BT-DSF-PEJS</t>
  </si>
  <si>
    <t>SLF12575T-221M1R3-PF</t>
  </si>
  <si>
    <t>SRP1245CC-3R3M</t>
  </si>
  <si>
    <t>IND-0603 (1608 Metric)</t>
  </si>
  <si>
    <t>Inductor 1008</t>
  </si>
  <si>
    <t>LED 0402</t>
  </si>
  <si>
    <t>ALS-PT19-315C/L177/TR</t>
  </si>
  <si>
    <t>LED-0603</t>
  </si>
  <si>
    <t>LED-0402</t>
  </si>
  <si>
    <t>YS-SBZ9032C03R16</t>
  </si>
  <si>
    <t>Test-point - 0.5mm</t>
  </si>
  <si>
    <t>Test-point</t>
  </si>
  <si>
    <t>HDR1X6</t>
  </si>
  <si>
    <t>HDR1X3</t>
  </si>
  <si>
    <t>HDR1X2</t>
  </si>
  <si>
    <t>HDR1X4</t>
  </si>
  <si>
    <t>sot-23</t>
  </si>
  <si>
    <t>D2Pak.</t>
  </si>
  <si>
    <t>SOT-23</t>
  </si>
  <si>
    <t>RU6085H</t>
  </si>
  <si>
    <t>SOT23-3</t>
  </si>
  <si>
    <t>RES-0603</t>
  </si>
  <si>
    <t>Res-0402</t>
  </si>
  <si>
    <t>RES-0805</t>
  </si>
  <si>
    <t>Res-1206</t>
  </si>
  <si>
    <t>RES 0805</t>
  </si>
  <si>
    <t>Res-0603</t>
  </si>
  <si>
    <t>RES 2512</t>
  </si>
  <si>
    <t>Res-0201</t>
  </si>
  <si>
    <t>RES-2512</t>
  </si>
  <si>
    <t>Solder Bridge</t>
  </si>
  <si>
    <t>TL3300CF160Q</t>
  </si>
  <si>
    <t>SS-12D02-G040</t>
  </si>
  <si>
    <t>SOIC-8</t>
  </si>
  <si>
    <t>SOT-223</t>
  </si>
  <si>
    <t>16-QFN (3x3).</t>
  </si>
  <si>
    <t>LTC4359CMS8#PBF</t>
  </si>
  <si>
    <t>PS2801C-1-F3-A</t>
  </si>
  <si>
    <t>SOT-23-5</t>
  </si>
  <si>
    <t>SOT-23-6</t>
  </si>
  <si>
    <t>SOIC-16</t>
  </si>
  <si>
    <t>AS312</t>
  </si>
  <si>
    <t>PDFN3x3</t>
  </si>
  <si>
    <t>QFN-16-EP(3.6x3.6)</t>
  </si>
  <si>
    <t>TO-263-5 (D2PAK)</t>
  </si>
  <si>
    <t>LQFP-144(20x20)</t>
  </si>
  <si>
    <t>SOT-363</t>
  </si>
  <si>
    <t>TXB0102DCUT</t>
  </si>
  <si>
    <t>SOP-8</t>
  </si>
  <si>
    <t>A7672E (FASE)</t>
  </si>
  <si>
    <t>SOT- 223</t>
  </si>
  <si>
    <t>HC-12 Module SMD</t>
  </si>
  <si>
    <t>XC32M4-8.000-F18LJDT</t>
  </si>
  <si>
    <t>X321532768KGD2SI</t>
  </si>
  <si>
    <t>Manufacturer Part Number</t>
  </si>
  <si>
    <t>CC1206KKX7R0BB104</t>
  </si>
  <si>
    <t>CC0603KRX5R8BB105</t>
  </si>
  <si>
    <t>GRM155R62A104KE14D, C1005X5R1H104K050BB</t>
  </si>
  <si>
    <t>CC0603ZRY5V9BB104</t>
  </si>
  <si>
    <t>CC0402KRX5R7BB105</t>
  </si>
  <si>
    <t>C3216X5R1A107M160AC</t>
  </si>
  <si>
    <t>GRM033C81E104KE14D</t>
  </si>
  <si>
    <t>C1005C0G1E102JT000F</t>
  </si>
  <si>
    <t>GRM1555C1H100JA01D</t>
  </si>
  <si>
    <t>GRM1555C1E330JA01D</t>
  </si>
  <si>
    <t>CC0603KRX7R9BB471</t>
  </si>
  <si>
    <t>CC0603JRNPO9BN300</t>
  </si>
  <si>
    <t>UMK105CBJ105MV-F</t>
  </si>
  <si>
    <t>CC0402KRX5R7BB104</t>
  </si>
  <si>
    <t>CC0603JRNPO9BN200</t>
  </si>
  <si>
    <t>CC1206JRX7R0BB473</t>
  </si>
  <si>
    <t>GRM188R6YA106MA73D</t>
  </si>
  <si>
    <t>CC0603KRX5R7BB106</t>
  </si>
  <si>
    <t>C2012X5R1V226MT000E</t>
  </si>
  <si>
    <t>TAJE337M016RNJ</t>
  </si>
  <si>
    <t>TAJB107M010RNJ</t>
  </si>
  <si>
    <t>GRM155R61E225KE11D</t>
  </si>
  <si>
    <t>GRM0335C1H220JA01D</t>
  </si>
  <si>
    <t>CC0402MRX5R6BB106</t>
  </si>
  <si>
    <t>C3216X5R1E476M160AC</t>
  </si>
  <si>
    <t>CC0603KRX5R9BB474</t>
  </si>
  <si>
    <t>CC0603KRX7R9BB222</t>
  </si>
  <si>
    <t>RVT1E100M0405</t>
  </si>
  <si>
    <t>SS24A</t>
  </si>
  <si>
    <t>1SMA5930BT3G</t>
  </si>
  <si>
    <t>ESD5302F-3/TR</t>
  </si>
  <si>
    <t>SMBJ26CA</t>
  </si>
  <si>
    <t>SMBJ70A/TR13</t>
  </si>
  <si>
    <t>LESD5D5.0CT1G</t>
  </si>
  <si>
    <t>SS32</t>
  </si>
  <si>
    <t>PDS1040-13</t>
  </si>
  <si>
    <t>ZLLS350TA</t>
  </si>
  <si>
    <t>PESD5V0H1BSFYL</t>
  </si>
  <si>
    <t>LESD8D3.3CAT5G</t>
  </si>
  <si>
    <t>1N4148W-7-F</t>
  </si>
  <si>
    <t>ESD5651N-2/TR</t>
  </si>
  <si>
    <t>1N4007</t>
  </si>
  <si>
    <t>SMD0603-050</t>
  </si>
  <si>
    <t>SMD0805P020TF</t>
  </si>
  <si>
    <t>MPZ2012S221ATD25</t>
  </si>
  <si>
    <t>20021121-00010C4LF</t>
  </si>
  <si>
    <t>HJ-SMA508</t>
  </si>
  <si>
    <t>10118194-0001LF</t>
  </si>
  <si>
    <t>B-2100S04P-A110</t>
  </si>
  <si>
    <t>PZ254V-11-07P</t>
  </si>
  <si>
    <t>U.FL-R-SMT-1(80)</t>
  </si>
  <si>
    <t>POGO Connector 4 Pin</t>
  </si>
  <si>
    <t>MGFL2012F100MT-LF</t>
  </si>
  <si>
    <t>0603CS-68NXJLW</t>
  </si>
  <si>
    <t>DFE252012F-R47M=P2</t>
  </si>
  <si>
    <t>XZMDK68W-2</t>
  </si>
  <si>
    <t>ALS-PT19-315C/L177/TR8</t>
  </si>
  <si>
    <t>NCD0603R3, 19-21/R7C-AK1L2BY/3T</t>
  </si>
  <si>
    <t>16-213/GHC-YR1S1/3T</t>
  </si>
  <si>
    <t>19-21/G6C-FM1N2B/3T</t>
  </si>
  <si>
    <t>WNM2016A-3/TR</t>
  </si>
  <si>
    <t>IRF3205STRLPBF</t>
  </si>
  <si>
    <t>IRLML6402TRPBF</t>
  </si>
  <si>
    <t>BC847B,215</t>
  </si>
  <si>
    <t>BC857C,215</t>
  </si>
  <si>
    <t>MMBT5551LT1G</t>
  </si>
  <si>
    <t>MMBT2222A-7-F</t>
  </si>
  <si>
    <t>DMN13H750S-7</t>
  </si>
  <si>
    <t>AO3407</t>
  </si>
  <si>
    <t>2N7002-7-F</t>
  </si>
  <si>
    <t>AC0603FR-073K6L</t>
  </si>
  <si>
    <t>RC0603FR-071K2L</t>
  </si>
  <si>
    <t>RC0603FR-0710KL, AC0603JR-0710KL</t>
  </si>
  <si>
    <t>AT0603BRD074K7L, RC0603FR-074K7L</t>
  </si>
  <si>
    <t>RT0603BRE076K8L</t>
  </si>
  <si>
    <t>0603WAF2214T5E</t>
  </si>
  <si>
    <t>RC0402FR-0710KL</t>
  </si>
  <si>
    <t>RC0603FR-07680RL</t>
  </si>
  <si>
    <t>RC0402FR-072K2L</t>
  </si>
  <si>
    <t>RC0603FR-072K2L</t>
  </si>
  <si>
    <t>RC0603FR-073K3L, RC0603DR-073K3L</t>
  </si>
  <si>
    <t>RC0603FR-0747RL</t>
  </si>
  <si>
    <t>RC0603FR-071KL, RC0603JR-071KL</t>
  </si>
  <si>
    <t>RT0603BRD0720KL, RC0603FR-0720KL</t>
  </si>
  <si>
    <t>RC0402FR-074K7L</t>
  </si>
  <si>
    <t>RT0603BRE0763K4L</t>
  </si>
  <si>
    <t>AT0603BRD0713K7L</t>
  </si>
  <si>
    <t>RC0402FR-07100KL</t>
  </si>
  <si>
    <t>RCS040222R0FKED</t>
  </si>
  <si>
    <t>RC0805FR-07100KL</t>
  </si>
  <si>
    <t>RC1206FR-7W1KL</t>
  </si>
  <si>
    <t>RC0603FR-07470RL</t>
  </si>
  <si>
    <t>RC0603FR-07200KL</t>
  </si>
  <si>
    <t>RC0603FR-07100KL</t>
  </si>
  <si>
    <t>RC0603FR-071ML</t>
  </si>
  <si>
    <t>RC0603JR-07330RL</t>
  </si>
  <si>
    <t>RC0603FR-07150KL</t>
  </si>
  <si>
    <t>RC0603DR-07150RL</t>
  </si>
  <si>
    <t>RC0603FR-07120RL</t>
  </si>
  <si>
    <t>CRCW06031M82FKEA</t>
  </si>
  <si>
    <t>RT0603BRD077K5L</t>
  </si>
  <si>
    <t>RC0603JR-070RL</t>
  </si>
  <si>
    <t>TNPW080510R0FEEA</t>
  </si>
  <si>
    <t>PA2512FKE7T0R004E</t>
  </si>
  <si>
    <t>RC0402FR-072R2L</t>
  </si>
  <si>
    <t>RTT035231FTP</t>
  </si>
  <si>
    <t>RC0402BR-07499KL</t>
  </si>
  <si>
    <t>0603WAF3012T5E</t>
  </si>
  <si>
    <t>RT0402BRD0736KL</t>
  </si>
  <si>
    <t>TR0603B499KP0525Z, RC0603FR-07499KL</t>
  </si>
  <si>
    <t>RT0402BRD0786K6L</t>
  </si>
  <si>
    <t>RC0201JR-07100KL</t>
  </si>
  <si>
    <t>RC0201JR-07470RL</t>
  </si>
  <si>
    <t>RC0402FR-0747KL</t>
  </si>
  <si>
    <t>RC0201FR-071KP</t>
  </si>
  <si>
    <t>CRCW040210R0FKEDHP</t>
  </si>
  <si>
    <t>25121WJ0000T4E</t>
  </si>
  <si>
    <t>RC0201FR-0722RL</t>
  </si>
  <si>
    <t>RC0201FR-0710KL</t>
  </si>
  <si>
    <t>CRCW0603402KFKEA</t>
  </si>
  <si>
    <t>RC0603FR-07845KL</t>
  </si>
  <si>
    <t>ACS723LLCTR-20AU-T</t>
  </si>
  <si>
    <t>MC34063ADR</t>
  </si>
  <si>
    <t>LMS8117AMP-3.3/NOPB</t>
  </si>
  <si>
    <t>MAX38889AATE+</t>
  </si>
  <si>
    <t>NCP81071ADR2G</t>
  </si>
  <si>
    <t>SN74LV1T34DBVR</t>
  </si>
  <si>
    <t>TPS3700DDCR</t>
  </si>
  <si>
    <t>SN74LV4052ADR</t>
  </si>
  <si>
    <t>AP4008QD</t>
  </si>
  <si>
    <t>BQ24650RVAR</t>
  </si>
  <si>
    <t>MIC29302WU-TR</t>
  </si>
  <si>
    <t>SMF05CT1G-ES</t>
  </si>
  <si>
    <t>SP3485EIM/TR</t>
  </si>
  <si>
    <t>HC-12</t>
  </si>
  <si>
    <t>SY6280AAC</t>
  </si>
  <si>
    <t>Manufacturer</t>
  </si>
  <si>
    <t>YAGEO</t>
  </si>
  <si>
    <t>ROQANG</t>
  </si>
  <si>
    <t>Yageo</t>
  </si>
  <si>
    <t>Murata, TDK</t>
  </si>
  <si>
    <t>TDK</t>
  </si>
  <si>
    <t>Nichicon</t>
  </si>
  <si>
    <t>Murata</t>
  </si>
  <si>
    <t>Changzhou Huawei Elec</t>
  </si>
  <si>
    <t>Taiyo Yuden</t>
  </si>
  <si>
    <t>TDK Corporation</t>
  </si>
  <si>
    <t>Kyocera AVX</t>
  </si>
  <si>
    <t>Yangzhou, Guangdong Hottech</t>
  </si>
  <si>
    <t>ON Semiconductor, onsemi</t>
  </si>
  <si>
    <t>Shandong Jingdao Microelectronics</t>
  </si>
  <si>
    <t>WILLSEMI</t>
  </si>
  <si>
    <t>MSKSEMI</t>
  </si>
  <si>
    <t>Brightking</t>
  </si>
  <si>
    <t>MDD</t>
  </si>
  <si>
    <t>TECH PUBLIC</t>
  </si>
  <si>
    <t>UMW</t>
  </si>
  <si>
    <t>FTR</t>
  </si>
  <si>
    <t>Diodes</t>
  </si>
  <si>
    <t>Diodes Zetex</t>
  </si>
  <si>
    <t>Nexperia</t>
  </si>
  <si>
    <t>LRC</t>
  </si>
  <si>
    <t>WILLSEMI(Will Semicon)</t>
  </si>
  <si>
    <t>TWGMC</t>
  </si>
  <si>
    <t>TECHFUSE</t>
  </si>
  <si>
    <t>RUILON</t>
  </si>
  <si>
    <t>Amphenol FCI</t>
  </si>
  <si>
    <t>CUI Devices</t>
  </si>
  <si>
    <t>HJ Tech</t>
  </si>
  <si>
    <t>CJT</t>
  </si>
  <si>
    <t>Ckmtw</t>
  </si>
  <si>
    <t>XFCN</t>
  </si>
  <si>
    <t>Hirose</t>
  </si>
  <si>
    <t>XKB Connectivity</t>
  </si>
  <si>
    <t>microgate</t>
  </si>
  <si>
    <t>Bourns</t>
  </si>
  <si>
    <t>Coilcraft</t>
  </si>
  <si>
    <t>SunLED</t>
  </si>
  <si>
    <t>Everlight</t>
  </si>
  <si>
    <t>Foshan NationStar Optoelectronics, Everlight Elec</t>
  </si>
  <si>
    <t>Everlight Elec</t>
  </si>
  <si>
    <t>Fengming</t>
  </si>
  <si>
    <t>Wurth Electronics</t>
  </si>
  <si>
    <t>Infineon Technologies</t>
  </si>
  <si>
    <t>International Rectifier</t>
  </si>
  <si>
    <t>ON Semiconductor</t>
  </si>
  <si>
    <t>Shenzhen</t>
  </si>
  <si>
    <t>Guangdong Hottech</t>
  </si>
  <si>
    <t>RALEC</t>
  </si>
  <si>
    <t>UNI-ROYAL</t>
  </si>
  <si>
    <t>Yageo Phycomp, Yageo</t>
  </si>
  <si>
    <t>Vishay Dale</t>
  </si>
  <si>
    <t>Viking Tech</t>
  </si>
  <si>
    <t>Vishay</t>
  </si>
  <si>
    <t>Ever Ohms Tech, Yageo</t>
  </si>
  <si>
    <t>E-Switch</t>
  </si>
  <si>
    <t>G-Switch</t>
  </si>
  <si>
    <t>Allegro MicroSystems</t>
  </si>
  <si>
    <t>Texas Instruments</t>
  </si>
  <si>
    <t>Analog Devices</t>
  </si>
  <si>
    <t>Analog Devices / Linear Technology</t>
  </si>
  <si>
    <t>CEL</t>
  </si>
  <si>
    <t>Senba</t>
  </si>
  <si>
    <t>ALLPOWER(ShenZhen Quan Li Semiconductor)</t>
  </si>
  <si>
    <t>Microchip</t>
  </si>
  <si>
    <t>ElecSuper</t>
  </si>
  <si>
    <t>HGSEMI</t>
  </si>
  <si>
    <t>SIMCom Wireless Solutions Limited</t>
  </si>
  <si>
    <t>Silergy</t>
  </si>
  <si>
    <t>HCI</t>
  </si>
  <si>
    <t>Yangxing Tech</t>
  </si>
  <si>
    <t>Comment</t>
  </si>
  <si>
    <t>10uF</t>
  </si>
  <si>
    <t>0.1uF</t>
  </si>
  <si>
    <t>1uF</t>
  </si>
  <si>
    <t>0.1uf</t>
  </si>
  <si>
    <t>100uF</t>
  </si>
  <si>
    <t>1nF</t>
  </si>
  <si>
    <t>10pF</t>
  </si>
  <si>
    <t>33pF</t>
  </si>
  <si>
    <t>470uF</t>
  </si>
  <si>
    <t>470pF</t>
  </si>
  <si>
    <t>30pF</t>
  </si>
  <si>
    <t>100nF</t>
  </si>
  <si>
    <t>20pF</t>
  </si>
  <si>
    <t>0.047uF</t>
  </si>
  <si>
    <t>1000uF</t>
  </si>
  <si>
    <t>22uF</t>
  </si>
  <si>
    <t>330uF</t>
  </si>
  <si>
    <t>2.2uF</t>
  </si>
  <si>
    <t>22PF</t>
  </si>
  <si>
    <t>25F</t>
  </si>
  <si>
    <t>47uF</t>
  </si>
  <si>
    <t>0.47uF</t>
  </si>
  <si>
    <t>2.2nF</t>
  </si>
  <si>
    <t>SS32 /SMA(DO-214AC)</t>
  </si>
  <si>
    <t>1N4007- SMD</t>
  </si>
  <si>
    <t>100MHz</t>
  </si>
  <si>
    <t>10uH</t>
  </si>
  <si>
    <t>220uH</t>
  </si>
  <si>
    <t>3.3uH</t>
  </si>
  <si>
    <t>68nH</t>
  </si>
  <si>
    <t>470nH</t>
  </si>
  <si>
    <t>RED</t>
  </si>
  <si>
    <t>Green</t>
  </si>
  <si>
    <t>Yellow</t>
  </si>
  <si>
    <t>TEST POINT 0.5mm Dia</t>
  </si>
  <si>
    <t>MMBT5551</t>
  </si>
  <si>
    <t>3.6K</t>
  </si>
  <si>
    <t>1.2k</t>
  </si>
  <si>
    <t>0.33R</t>
  </si>
  <si>
    <t>10K</t>
  </si>
  <si>
    <t>4.7K</t>
  </si>
  <si>
    <t>6.8K</t>
  </si>
  <si>
    <t>2.21M</t>
  </si>
  <si>
    <t>2.7K</t>
  </si>
  <si>
    <t>680R</t>
  </si>
  <si>
    <t>2.2K</t>
  </si>
  <si>
    <t>3.3K</t>
  </si>
  <si>
    <t>47R</t>
  </si>
  <si>
    <t>1K</t>
  </si>
  <si>
    <t>20K</t>
  </si>
  <si>
    <t>63.4K</t>
  </si>
  <si>
    <t>13.7K</t>
  </si>
  <si>
    <t>DNP</t>
  </si>
  <si>
    <t>22R</t>
  </si>
  <si>
    <t>100K</t>
  </si>
  <si>
    <t>470R</t>
  </si>
  <si>
    <t>200K</t>
  </si>
  <si>
    <t>1M</t>
  </si>
  <si>
    <t>330R</t>
  </si>
  <si>
    <t>50K</t>
  </si>
  <si>
    <t>150K</t>
  </si>
  <si>
    <t>150R</t>
  </si>
  <si>
    <t>120R</t>
  </si>
  <si>
    <t>1.82M</t>
  </si>
  <si>
    <t>7.5K</t>
  </si>
  <si>
    <t>0R</t>
  </si>
  <si>
    <t>10R</t>
  </si>
  <si>
    <t>4mR</t>
  </si>
  <si>
    <t>2.2R</t>
  </si>
  <si>
    <t>5.23K</t>
  </si>
  <si>
    <t>499K</t>
  </si>
  <si>
    <t>30.1K</t>
  </si>
  <si>
    <t>36K</t>
  </si>
  <si>
    <t>86.6K</t>
  </si>
  <si>
    <t>47K</t>
  </si>
  <si>
    <t>220R</t>
  </si>
  <si>
    <t>402K</t>
  </si>
  <si>
    <t>845K</t>
  </si>
  <si>
    <t>33K</t>
  </si>
  <si>
    <t>Tactile Switch</t>
  </si>
  <si>
    <t>STM32F103ZGT6</t>
  </si>
  <si>
    <t>HC-12 SMD</t>
  </si>
  <si>
    <t>8MHz</t>
  </si>
  <si>
    <t>32.768kHz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</si>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</sst>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85"/>
  <sheetViews>
    <sheetView tabSelected="1" workbookViewId="0">
      <selection activeCell="C5" sqref="C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36</v>
      </c>
      <c r="E2" s="6" t="s">
        <v>220</v>
      </c>
      <c r="F2" s="5" t="s">
        <v>395</v>
      </c>
      <c r="G2" s="6" t="s">
        <v>494</v>
      </c>
      <c r="H2" s="5" t="s">
        <v>631</v>
      </c>
      <c r="I2" s="6" t="s">
        <v>706</v>
      </c>
      <c r="J2" s="5" t="s">
        <v>791</v>
      </c>
    </row>
    <row r="3" spans="1:10" ht="24.75" thickBot="1" x14ac:dyDescent="0.3">
      <c r="A3" s="1"/>
      <c r="B3" s="11">
        <f>ROW(B3) - ROW($B$2)</f>
        <v>1</v>
      </c>
      <c r="C3" s="12" t="s">
        <v>2</v>
      </c>
      <c r="D3" s="7" t="s">
        <v>37</v>
      </c>
      <c r="E3" s="8" t="s">
        <v>221</v>
      </c>
      <c r="F3" s="7" t="s">
        <v>396</v>
      </c>
      <c r="G3" s="8" t="s">
        <v>396</v>
      </c>
      <c r="H3" s="7" t="s">
        <v>632</v>
      </c>
      <c r="I3" s="8" t="s">
        <v>396</v>
      </c>
      <c r="J3" s="7">
        <v>1</v>
      </c>
    </row>
    <row r="4" spans="1:10" ht="24.75" thickBot="1" x14ac:dyDescent="0.3">
      <c r="A4" s="1"/>
      <c r="B4" s="11">
        <f t="shared" ref="B4:B184" si="0">ROW(B4) - ROW($B$2)</f>
        <v>2</v>
      </c>
      <c r="C4" s="13"/>
      <c r="D4" s="9" t="s">
        <v>38</v>
      </c>
      <c r="E4" s="10" t="s">
        <v>222</v>
      </c>
      <c r="F4" s="9" t="s">
        <v>397</v>
      </c>
      <c r="G4" s="10"/>
      <c r="H4" s="9" t="s">
        <v>633</v>
      </c>
      <c r="I4" s="10" t="s">
        <v>707</v>
      </c>
      <c r="J4" s="9">
        <v>12</v>
      </c>
    </row>
    <row r="5" spans="1:10" ht="15.75" thickBot="1" x14ac:dyDescent="0.3">
      <c r="A5" s="1"/>
      <c r="B5" s="11">
        <f>ROW(B5) - ROW($B$2)</f>
        <v>3</v>
      </c>
      <c r="C5" s="12" t="s">
        <v>3</v>
      </c>
      <c r="D5" s="7" t="s">
        <v>39</v>
      </c>
      <c r="E5" s="8" t="s">
        <v>223</v>
      </c>
      <c r="F5" s="7" t="s">
        <v>398</v>
      </c>
      <c r="G5" s="8" t="s">
        <v>495</v>
      </c>
      <c r="H5" s="7" t="s">
        <v>634</v>
      </c>
      <c r="I5" s="8" t="s">
        <v>708</v>
      </c>
      <c r="J5" s="7">
        <v>1</v>
      </c>
    </row>
    <row r="6" spans="1:10" ht="15.75" thickBot="1" x14ac:dyDescent="0.3">
      <c r="A6" s="1"/>
      <c r="B6" s="11">
        <f t="shared" si="0"/>
        <v>4</v>
      </c>
      <c r="C6" s="13"/>
      <c r="D6" s="9" t="s">
        <v>40</v>
      </c>
      <c r="E6" s="10" t="s">
        <v>224</v>
      </c>
      <c r="F6" s="9" t="s">
        <v>399</v>
      </c>
      <c r="G6" s="10" t="s">
        <v>496</v>
      </c>
      <c r="H6" s="9" t="s">
        <v>634</v>
      </c>
      <c r="I6" s="10" t="s">
        <v>709</v>
      </c>
      <c r="J6" s="9">
        <v>4</v>
      </c>
    </row>
    <row r="7" spans="1:10" ht="36.75" thickBot="1" x14ac:dyDescent="0.3">
      <c r="A7" s="1"/>
      <c r="B7" s="11">
        <f>ROW(B7) - ROW($B$2)</f>
        <v>5</v>
      </c>
      <c r="C7" s="12" t="s">
        <v>3</v>
      </c>
      <c r="D7" s="7" t="s">
        <v>41</v>
      </c>
      <c r="E7" s="8" t="s">
        <v>225</v>
      </c>
      <c r="F7" s="7" t="s">
        <v>400</v>
      </c>
      <c r="G7" s="8" t="s">
        <v>497</v>
      </c>
      <c r="H7" s="7" t="s">
        <v>635</v>
      </c>
      <c r="I7" s="8" t="s">
        <v>710</v>
      </c>
      <c r="J7" s="7">
        <v>21</v>
      </c>
    </row>
    <row r="8" spans="1:10" ht="36.75" thickBot="1" x14ac:dyDescent="0.3">
      <c r="A8" s="1"/>
      <c r="B8" s="11">
        <f t="shared" si="0"/>
        <v>6</v>
      </c>
      <c r="C8" s="13"/>
      <c r="D8" s="9" t="s">
        <v>42</v>
      </c>
      <c r="E8" s="10" t="s">
        <v>226</v>
      </c>
      <c r="F8" s="9" t="s">
        <v>399</v>
      </c>
      <c r="G8" s="10" t="s">
        <v>498</v>
      </c>
      <c r="H8" s="9" t="s">
        <v>634</v>
      </c>
      <c r="I8" s="10" t="s">
        <v>708</v>
      </c>
      <c r="J8" s="9">
        <v>25</v>
      </c>
    </row>
    <row r="9" spans="1:10" ht="15.75" thickBot="1" x14ac:dyDescent="0.3">
      <c r="A9" s="1"/>
      <c r="B9" s="11">
        <f>ROW(B9) - ROW($B$2)</f>
        <v>7</v>
      </c>
      <c r="C9" s="12" t="s">
        <v>3</v>
      </c>
      <c r="D9" s="7" t="s">
        <v>43</v>
      </c>
      <c r="E9" s="8" t="s">
        <v>227</v>
      </c>
      <c r="F9" s="7" t="s">
        <v>400</v>
      </c>
      <c r="G9" s="8" t="s">
        <v>499</v>
      </c>
      <c r="H9" s="7" t="s">
        <v>634</v>
      </c>
      <c r="I9" s="8" t="s">
        <v>709</v>
      </c>
      <c r="J9" s="7">
        <v>3</v>
      </c>
    </row>
    <row r="10" spans="1:10" ht="15.75" thickBot="1" x14ac:dyDescent="0.3">
      <c r="A10" s="1"/>
      <c r="B10" s="11">
        <f t="shared" si="0"/>
        <v>8</v>
      </c>
      <c r="C10" s="13"/>
      <c r="D10" s="9" t="s">
        <v>44</v>
      </c>
      <c r="E10" s="10" t="s">
        <v>228</v>
      </c>
      <c r="F10" s="9" t="s">
        <v>398</v>
      </c>
      <c r="G10" s="10" t="s">
        <v>500</v>
      </c>
      <c r="H10" s="9" t="s">
        <v>636</v>
      </c>
      <c r="I10" s="10" t="s">
        <v>711</v>
      </c>
      <c r="J10" s="9">
        <v>2</v>
      </c>
    </row>
    <row r="11" spans="1:10" ht="15.75" thickBot="1" x14ac:dyDescent="0.3">
      <c r="A11" s="1"/>
      <c r="B11" s="11">
        <f>ROW(B11) - ROW($B$2)</f>
        <v>9</v>
      </c>
      <c r="C11" s="12"/>
      <c r="D11" s="7" t="s">
        <v>45</v>
      </c>
      <c r="E11" s="8" t="s">
        <v>229</v>
      </c>
      <c r="F11" s="7" t="s">
        <v>401</v>
      </c>
      <c r="G11" s="8" t="s">
        <v>401</v>
      </c>
      <c r="H11" s="7" t="s">
        <v>637</v>
      </c>
      <c r="I11" s="8" t="s">
        <v>711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/>
      <c r="D12" s="9" t="s">
        <v>46</v>
      </c>
      <c r="E12" s="10" t="s">
        <v>230</v>
      </c>
      <c r="F12" s="9" t="s">
        <v>402</v>
      </c>
      <c r="G12" s="10" t="s">
        <v>501</v>
      </c>
      <c r="H12" s="9" t="s">
        <v>638</v>
      </c>
      <c r="I12" s="10" t="s">
        <v>708</v>
      </c>
      <c r="J12" s="9">
        <v>6</v>
      </c>
    </row>
    <row r="13" spans="1:10" ht="15.75" thickBot="1" x14ac:dyDescent="0.3">
      <c r="A13" s="1"/>
      <c r="B13" s="11">
        <f>ROW(B13) - ROW($B$2)</f>
        <v>11</v>
      </c>
      <c r="C13" s="12" t="s">
        <v>3</v>
      </c>
      <c r="D13" s="7" t="s">
        <v>47</v>
      </c>
      <c r="E13" s="8" t="s">
        <v>231</v>
      </c>
      <c r="F13" s="7" t="s">
        <v>400</v>
      </c>
      <c r="G13" s="8" t="s">
        <v>502</v>
      </c>
      <c r="H13" s="7" t="s">
        <v>636</v>
      </c>
      <c r="I13" s="8" t="s">
        <v>712</v>
      </c>
      <c r="J13" s="7">
        <v>2</v>
      </c>
    </row>
    <row r="14" spans="1:10" ht="15.75" thickBot="1" x14ac:dyDescent="0.3">
      <c r="A14" s="1"/>
      <c r="B14" s="11">
        <f t="shared" si="0"/>
        <v>12</v>
      </c>
      <c r="C14" s="13" t="s">
        <v>3</v>
      </c>
      <c r="D14" s="9" t="s">
        <v>48</v>
      </c>
      <c r="E14" s="10" t="s">
        <v>232</v>
      </c>
      <c r="F14" s="9" t="s">
        <v>400</v>
      </c>
      <c r="G14" s="10" t="s">
        <v>503</v>
      </c>
      <c r="H14" s="9" t="s">
        <v>638</v>
      </c>
      <c r="I14" s="10" t="s">
        <v>713</v>
      </c>
      <c r="J14" s="9">
        <v>1</v>
      </c>
    </row>
    <row r="15" spans="1:10" ht="15.75" thickBot="1" x14ac:dyDescent="0.3">
      <c r="A15" s="1"/>
      <c r="B15" s="11">
        <f>ROW(B15) - ROW($B$2)</f>
        <v>13</v>
      </c>
      <c r="C15" s="12" t="s">
        <v>4</v>
      </c>
      <c r="D15" s="7" t="s">
        <v>49</v>
      </c>
      <c r="E15" s="8" t="s">
        <v>233</v>
      </c>
      <c r="F15" s="7" t="s">
        <v>400</v>
      </c>
      <c r="G15" s="8" t="s">
        <v>504</v>
      </c>
      <c r="H15" s="7" t="s">
        <v>638</v>
      </c>
      <c r="I15" s="8" t="s">
        <v>714</v>
      </c>
      <c r="J15" s="7">
        <v>2</v>
      </c>
    </row>
    <row r="16" spans="1:10" ht="48.75" thickBot="1" x14ac:dyDescent="0.3">
      <c r="A16" s="1"/>
      <c r="B16" s="11">
        <f t="shared" si="0"/>
        <v>14</v>
      </c>
      <c r="C16" s="13"/>
      <c r="D16" s="9" t="s">
        <v>50</v>
      </c>
      <c r="E16" s="10" t="s">
        <v>234</v>
      </c>
      <c r="F16" s="9" t="s">
        <v>403</v>
      </c>
      <c r="G16" s="10"/>
      <c r="H16" s="9" t="s">
        <v>639</v>
      </c>
      <c r="I16" s="10" t="s">
        <v>715</v>
      </c>
      <c r="J16" s="9">
        <v>1</v>
      </c>
    </row>
    <row r="17" spans="1:10" ht="15.75" thickBot="1" x14ac:dyDescent="0.3">
      <c r="A17" s="1"/>
      <c r="B17" s="11">
        <f>ROW(B17) - ROW($B$2)</f>
        <v>15</v>
      </c>
      <c r="C17" s="12"/>
      <c r="D17" s="7" t="s">
        <v>51</v>
      </c>
      <c r="E17" s="8" t="s">
        <v>235</v>
      </c>
      <c r="F17" s="7" t="s">
        <v>399</v>
      </c>
      <c r="G17" s="8" t="s">
        <v>505</v>
      </c>
      <c r="H17" s="7" t="s">
        <v>634</v>
      </c>
      <c r="I17" s="8" t="s">
        <v>716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/>
      <c r="D18" s="9" t="s">
        <v>52</v>
      </c>
      <c r="E18" s="10" t="s">
        <v>236</v>
      </c>
      <c r="F18" s="9" t="s">
        <v>399</v>
      </c>
      <c r="G18" s="10" t="s">
        <v>506</v>
      </c>
      <c r="H18" s="9" t="s">
        <v>634</v>
      </c>
      <c r="I18" s="10" t="s">
        <v>717</v>
      </c>
      <c r="J18" s="9">
        <v>2</v>
      </c>
    </row>
    <row r="19" spans="1:10" ht="15.75" thickBot="1" x14ac:dyDescent="0.3">
      <c r="A19" s="1"/>
      <c r="B19" s="11">
        <f>ROW(B19) - ROW($B$2)</f>
        <v>17</v>
      </c>
      <c r="C19" s="12"/>
      <c r="D19" s="7" t="s">
        <v>53</v>
      </c>
      <c r="E19" s="8" t="s">
        <v>237</v>
      </c>
      <c r="F19" s="7" t="s">
        <v>404</v>
      </c>
      <c r="G19" s="8" t="s">
        <v>507</v>
      </c>
      <c r="H19" s="7" t="s">
        <v>640</v>
      </c>
      <c r="I19" s="8" t="s">
        <v>709</v>
      </c>
      <c r="J19" s="7">
        <v>5</v>
      </c>
    </row>
    <row r="20" spans="1:10" ht="15.75" thickBot="1" x14ac:dyDescent="0.3">
      <c r="A20" s="1"/>
      <c r="B20" s="11">
        <f t="shared" si="0"/>
        <v>18</v>
      </c>
      <c r="C20" s="13" t="s">
        <v>5</v>
      </c>
      <c r="D20" s="9" t="s">
        <v>54</v>
      </c>
      <c r="E20" s="10" t="s">
        <v>224</v>
      </c>
      <c r="F20" s="9" t="s">
        <v>405</v>
      </c>
      <c r="G20" s="10" t="s">
        <v>496</v>
      </c>
      <c r="H20" s="9" t="s">
        <v>634</v>
      </c>
      <c r="I20" s="10" t="s">
        <v>709</v>
      </c>
      <c r="J20" s="9">
        <v>3</v>
      </c>
    </row>
    <row r="21" spans="1:10" ht="15.75" thickBot="1" x14ac:dyDescent="0.3">
      <c r="A21" s="1"/>
      <c r="B21" s="11">
        <f>ROW(B21) - ROW($B$2)</f>
        <v>19</v>
      </c>
      <c r="C21" s="12"/>
      <c r="D21" s="7" t="s">
        <v>55</v>
      </c>
      <c r="E21" s="8" t="s">
        <v>238</v>
      </c>
      <c r="F21" s="7" t="s">
        <v>400</v>
      </c>
      <c r="G21" s="8" t="s">
        <v>508</v>
      </c>
      <c r="H21" s="7" t="s">
        <v>634</v>
      </c>
      <c r="I21" s="8" t="s">
        <v>718</v>
      </c>
      <c r="J21" s="7">
        <v>3</v>
      </c>
    </row>
    <row r="22" spans="1:10" ht="15.75" thickBot="1" x14ac:dyDescent="0.3">
      <c r="A22" s="1"/>
      <c r="B22" s="11">
        <f t="shared" si="0"/>
        <v>20</v>
      </c>
      <c r="C22" s="13"/>
      <c r="D22" s="9" t="s">
        <v>56</v>
      </c>
      <c r="E22" s="10" t="s">
        <v>239</v>
      </c>
      <c r="F22" s="9" t="s">
        <v>399</v>
      </c>
      <c r="G22" s="10" t="s">
        <v>509</v>
      </c>
      <c r="H22" s="9" t="s">
        <v>634</v>
      </c>
      <c r="I22" s="10" t="s">
        <v>719</v>
      </c>
      <c r="J22" s="9">
        <v>2</v>
      </c>
    </row>
    <row r="23" spans="1:10" ht="15.75" thickBot="1" x14ac:dyDescent="0.3">
      <c r="A23" s="1"/>
      <c r="B23" s="11">
        <f>ROW(B23) - ROW($B$2)</f>
        <v>21</v>
      </c>
      <c r="C23" s="12" t="s">
        <v>3</v>
      </c>
      <c r="D23" s="7" t="s">
        <v>57</v>
      </c>
      <c r="E23" s="8" t="s">
        <v>240</v>
      </c>
      <c r="F23" s="7" t="s">
        <v>398</v>
      </c>
      <c r="G23" s="8" t="s">
        <v>510</v>
      </c>
      <c r="H23" s="7" t="s">
        <v>634</v>
      </c>
      <c r="I23" s="8" t="s">
        <v>720</v>
      </c>
      <c r="J23" s="7">
        <v>1</v>
      </c>
    </row>
    <row r="24" spans="1:10" ht="15.75" thickBot="1" x14ac:dyDescent="0.3">
      <c r="A24" s="1"/>
      <c r="B24" s="11">
        <f t="shared" si="0"/>
        <v>22</v>
      </c>
      <c r="C24" s="13"/>
      <c r="D24" s="9" t="s">
        <v>58</v>
      </c>
      <c r="E24" s="10" t="s">
        <v>241</v>
      </c>
      <c r="F24" s="9" t="s">
        <v>399</v>
      </c>
      <c r="G24" s="10" t="s">
        <v>511</v>
      </c>
      <c r="H24" s="9" t="s">
        <v>638</v>
      </c>
      <c r="I24" s="10" t="s">
        <v>707</v>
      </c>
      <c r="J24" s="9">
        <v>1</v>
      </c>
    </row>
    <row r="25" spans="1:10" ht="15.75" thickBot="1" x14ac:dyDescent="0.3">
      <c r="A25" s="1"/>
      <c r="B25" s="11">
        <f>ROW(B25) - ROW($B$2)</f>
        <v>23</v>
      </c>
      <c r="C25" s="12" t="s">
        <v>3</v>
      </c>
      <c r="D25" s="7" t="s">
        <v>59</v>
      </c>
      <c r="E25" s="8" t="s">
        <v>242</v>
      </c>
      <c r="F25" s="7" t="s">
        <v>406</v>
      </c>
      <c r="G25" s="8" t="s">
        <v>406</v>
      </c>
      <c r="H25" s="7" t="s">
        <v>637</v>
      </c>
      <c r="I25" s="8" t="s">
        <v>721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3" t="s">
        <v>3</v>
      </c>
      <c r="D26" s="9" t="s">
        <v>60</v>
      </c>
      <c r="E26" s="10" t="s">
        <v>243</v>
      </c>
      <c r="F26" s="9" t="s">
        <v>405</v>
      </c>
      <c r="G26" s="10" t="s">
        <v>512</v>
      </c>
      <c r="H26" s="9" t="s">
        <v>634</v>
      </c>
      <c r="I26" s="10" t="s">
        <v>707</v>
      </c>
      <c r="J26" s="9">
        <v>1</v>
      </c>
    </row>
    <row r="27" spans="1:10" ht="15.75" thickBot="1" x14ac:dyDescent="0.3">
      <c r="A27" s="1"/>
      <c r="B27" s="11">
        <f>ROW(B27) - ROW($B$2)</f>
        <v>25</v>
      </c>
      <c r="C27" s="12" t="s">
        <v>3</v>
      </c>
      <c r="D27" s="7" t="s">
        <v>61</v>
      </c>
      <c r="E27" s="8" t="s">
        <v>244</v>
      </c>
      <c r="F27" s="7" t="s">
        <v>407</v>
      </c>
      <c r="G27" s="8" t="s">
        <v>513</v>
      </c>
      <c r="H27" s="7" t="s">
        <v>641</v>
      </c>
      <c r="I27" s="8" t="s">
        <v>722</v>
      </c>
      <c r="J27" s="7">
        <v>5</v>
      </c>
    </row>
    <row r="28" spans="1:10" ht="15.75" thickBot="1" x14ac:dyDescent="0.3">
      <c r="A28" s="1"/>
      <c r="B28" s="11">
        <f t="shared" si="0"/>
        <v>26</v>
      </c>
      <c r="C28" s="13" t="s">
        <v>3</v>
      </c>
      <c r="D28" s="9" t="s">
        <v>62</v>
      </c>
      <c r="E28" s="10" t="s">
        <v>245</v>
      </c>
      <c r="F28" s="9" t="s">
        <v>408</v>
      </c>
      <c r="G28" s="10" t="s">
        <v>514</v>
      </c>
      <c r="H28" s="9" t="s">
        <v>642</v>
      </c>
      <c r="I28" s="10" t="s">
        <v>723</v>
      </c>
      <c r="J28" s="9">
        <v>1</v>
      </c>
    </row>
    <row r="29" spans="1:10" ht="15.75" thickBot="1" x14ac:dyDescent="0.3">
      <c r="A29" s="1"/>
      <c r="B29" s="11">
        <f>ROW(B29) - ROW($B$2)</f>
        <v>27</v>
      </c>
      <c r="C29" s="12" t="s">
        <v>3</v>
      </c>
      <c r="D29" s="7" t="s">
        <v>63</v>
      </c>
      <c r="E29" s="8" t="s">
        <v>246</v>
      </c>
      <c r="F29" s="7" t="s">
        <v>409</v>
      </c>
      <c r="G29" s="8" t="s">
        <v>515</v>
      </c>
      <c r="H29" s="7" t="s">
        <v>642</v>
      </c>
      <c r="I29" s="8" t="s">
        <v>711</v>
      </c>
      <c r="J29" s="7">
        <v>1</v>
      </c>
    </row>
    <row r="30" spans="1:10" ht="15.75" thickBot="1" x14ac:dyDescent="0.3">
      <c r="A30" s="1"/>
      <c r="B30" s="11">
        <f t="shared" si="0"/>
        <v>28</v>
      </c>
      <c r="C30" s="13" t="s">
        <v>3</v>
      </c>
      <c r="D30" s="9" t="s">
        <v>64</v>
      </c>
      <c r="E30" s="10" t="s">
        <v>247</v>
      </c>
      <c r="F30" s="9" t="s">
        <v>400</v>
      </c>
      <c r="G30" s="10" t="s">
        <v>516</v>
      </c>
      <c r="H30" s="9" t="s">
        <v>638</v>
      </c>
      <c r="I30" s="10" t="s">
        <v>724</v>
      </c>
      <c r="J30" s="9">
        <v>1</v>
      </c>
    </row>
    <row r="31" spans="1:10" ht="15.75" thickBot="1" x14ac:dyDescent="0.3">
      <c r="A31" s="1"/>
      <c r="B31" s="11">
        <f>ROW(B31) - ROW($B$2)</f>
        <v>29</v>
      </c>
      <c r="C31" s="12" t="s">
        <v>3</v>
      </c>
      <c r="D31" s="7" t="s">
        <v>65</v>
      </c>
      <c r="E31" s="8" t="s">
        <v>248</v>
      </c>
      <c r="F31" s="7" t="s">
        <v>402</v>
      </c>
      <c r="G31" s="8" t="s">
        <v>517</v>
      </c>
      <c r="H31" s="7" t="s">
        <v>638</v>
      </c>
      <c r="I31" s="8" t="s">
        <v>725</v>
      </c>
      <c r="J31" s="7">
        <v>3</v>
      </c>
    </row>
    <row r="32" spans="1:10" ht="15.75" thickBot="1" x14ac:dyDescent="0.3">
      <c r="A32" s="1"/>
      <c r="B32" s="11">
        <f t="shared" si="0"/>
        <v>30</v>
      </c>
      <c r="C32" s="13"/>
      <c r="D32" s="9" t="s">
        <v>66</v>
      </c>
      <c r="E32" s="10" t="s">
        <v>230</v>
      </c>
      <c r="F32" s="9" t="s">
        <v>402</v>
      </c>
      <c r="G32" s="10" t="s">
        <v>501</v>
      </c>
      <c r="H32" s="9" t="s">
        <v>638</v>
      </c>
      <c r="I32" s="10"/>
      <c r="J32" s="9">
        <v>2</v>
      </c>
    </row>
    <row r="33" spans="1:10" ht="15.75" thickBot="1" x14ac:dyDescent="0.3">
      <c r="A33" s="1"/>
      <c r="B33" s="11">
        <f>ROW(B33) - ROW($B$2)</f>
        <v>31</v>
      </c>
      <c r="C33" s="12" t="s">
        <v>3</v>
      </c>
      <c r="D33" s="7" t="s">
        <v>67</v>
      </c>
      <c r="E33" s="8" t="s">
        <v>249</v>
      </c>
      <c r="F33" s="7" t="s">
        <v>400</v>
      </c>
      <c r="G33" s="8" t="s">
        <v>518</v>
      </c>
      <c r="H33" s="7" t="s">
        <v>634</v>
      </c>
      <c r="I33" s="8" t="s">
        <v>707</v>
      </c>
      <c r="J33" s="7">
        <v>2</v>
      </c>
    </row>
    <row r="34" spans="1:10" ht="15.75" thickBot="1" x14ac:dyDescent="0.3">
      <c r="A34" s="1"/>
      <c r="B34" s="11">
        <f t="shared" si="0"/>
        <v>32</v>
      </c>
      <c r="C34" s="13" t="s">
        <v>6</v>
      </c>
      <c r="D34" s="9" t="s">
        <v>68</v>
      </c>
      <c r="E34" s="10" t="s">
        <v>250</v>
      </c>
      <c r="F34" s="9" t="s">
        <v>410</v>
      </c>
      <c r="G34" s="10" t="s">
        <v>410</v>
      </c>
      <c r="H34" s="9" t="s">
        <v>642</v>
      </c>
      <c r="I34" s="10" t="s">
        <v>726</v>
      </c>
      <c r="J34" s="9">
        <v>1</v>
      </c>
    </row>
    <row r="35" spans="1:10" ht="15.75" thickBot="1" x14ac:dyDescent="0.3">
      <c r="A35" s="1"/>
      <c r="B35" s="11">
        <f>ROW(B35) - ROW($B$2)</f>
        <v>33</v>
      </c>
      <c r="C35" s="12"/>
      <c r="D35" s="7" t="s">
        <v>69</v>
      </c>
      <c r="E35" s="8" t="s">
        <v>251</v>
      </c>
      <c r="F35" s="7" t="s">
        <v>398</v>
      </c>
      <c r="G35" s="8" t="s">
        <v>519</v>
      </c>
      <c r="H35" s="7" t="s">
        <v>636</v>
      </c>
      <c r="I35" s="8" t="s">
        <v>727</v>
      </c>
      <c r="J35" s="7">
        <v>2</v>
      </c>
    </row>
    <row r="36" spans="1:10" ht="15.75" thickBot="1" x14ac:dyDescent="0.3">
      <c r="A36" s="1"/>
      <c r="B36" s="11">
        <f t="shared" si="0"/>
        <v>34</v>
      </c>
      <c r="C36" s="13" t="s">
        <v>3</v>
      </c>
      <c r="D36" s="9" t="s">
        <v>70</v>
      </c>
      <c r="E36" s="10" t="s">
        <v>252</v>
      </c>
      <c r="F36" s="9" t="s">
        <v>405</v>
      </c>
      <c r="G36" s="10" t="s">
        <v>520</v>
      </c>
      <c r="H36" s="9" t="s">
        <v>634</v>
      </c>
      <c r="I36" s="10" t="s">
        <v>728</v>
      </c>
      <c r="J36" s="9">
        <v>1</v>
      </c>
    </row>
    <row r="37" spans="1:10" ht="15.75" thickBot="1" x14ac:dyDescent="0.3">
      <c r="A37" s="1"/>
      <c r="B37" s="11">
        <f>ROW(B37) - ROW($B$2)</f>
        <v>35</v>
      </c>
      <c r="C37" s="12" t="s">
        <v>3</v>
      </c>
      <c r="D37" s="7" t="s">
        <v>71</v>
      </c>
      <c r="E37" s="8" t="s">
        <v>253</v>
      </c>
      <c r="F37" s="7" t="s">
        <v>405</v>
      </c>
      <c r="G37" s="8" t="s">
        <v>521</v>
      </c>
      <c r="H37" s="7" t="s">
        <v>634</v>
      </c>
      <c r="I37" s="8" t="s">
        <v>729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 t="s">
        <v>3</v>
      </c>
      <c r="D38" s="9" t="s">
        <v>72</v>
      </c>
      <c r="E38" s="10" t="s">
        <v>222</v>
      </c>
      <c r="F38" s="9" t="s">
        <v>411</v>
      </c>
      <c r="G38" s="10" t="s">
        <v>522</v>
      </c>
      <c r="H38" s="9" t="s">
        <v>633</v>
      </c>
      <c r="I38" s="10" t="s">
        <v>707</v>
      </c>
      <c r="J38" s="9">
        <v>2</v>
      </c>
    </row>
    <row r="39" spans="1:10" ht="15.75" thickBot="1" x14ac:dyDescent="0.3">
      <c r="A39" s="1"/>
      <c r="B39" s="11">
        <f>ROW(B39) - ROW($B$2)</f>
        <v>37</v>
      </c>
      <c r="C39" s="12" t="s">
        <v>3</v>
      </c>
      <c r="D39" s="7" t="s">
        <v>73</v>
      </c>
      <c r="E39" s="8" t="s">
        <v>226</v>
      </c>
      <c r="F39" s="7" t="s">
        <v>405</v>
      </c>
      <c r="G39" s="8" t="s">
        <v>498</v>
      </c>
      <c r="H39" s="7" t="s">
        <v>634</v>
      </c>
      <c r="I39" s="8" t="s">
        <v>708</v>
      </c>
      <c r="J39" s="7">
        <v>2</v>
      </c>
    </row>
    <row r="40" spans="1:10" ht="24.75" thickBot="1" x14ac:dyDescent="0.3">
      <c r="A40" s="1"/>
      <c r="B40" s="11">
        <f t="shared" si="0"/>
        <v>38</v>
      </c>
      <c r="C40" s="13"/>
      <c r="D40" s="9" t="s">
        <v>74</v>
      </c>
      <c r="E40" s="10" t="s">
        <v>254</v>
      </c>
      <c r="F40" s="9" t="s">
        <v>15</v>
      </c>
      <c r="G40" s="10" t="s">
        <v>523</v>
      </c>
      <c r="H40" s="9" t="s">
        <v>643</v>
      </c>
      <c r="I40" s="10" t="s">
        <v>523</v>
      </c>
      <c r="J40" s="9">
        <v>3</v>
      </c>
    </row>
    <row r="41" spans="1:10" ht="26.25" thickBot="1" x14ac:dyDescent="0.3">
      <c r="A41" s="1"/>
      <c r="B41" s="11">
        <f>ROW(B41) - ROW($B$2)</f>
        <v>39</v>
      </c>
      <c r="C41" s="12" t="s">
        <v>7</v>
      </c>
      <c r="D41" s="7" t="s">
        <v>75</v>
      </c>
      <c r="E41" s="8" t="s">
        <v>255</v>
      </c>
      <c r="F41" s="7" t="s">
        <v>15</v>
      </c>
      <c r="G41" s="8" t="s">
        <v>524</v>
      </c>
      <c r="H41" s="7" t="s">
        <v>644</v>
      </c>
      <c r="I41" s="8" t="s">
        <v>524</v>
      </c>
      <c r="J41" s="7">
        <v>2</v>
      </c>
    </row>
    <row r="42" spans="1:10" ht="24.75" thickBot="1" x14ac:dyDescent="0.3">
      <c r="A42" s="1"/>
      <c r="B42" s="11">
        <f t="shared" si="0"/>
        <v>40</v>
      </c>
      <c r="C42" s="13"/>
      <c r="D42" s="9" t="s">
        <v>76</v>
      </c>
      <c r="E42" s="10" t="s">
        <v>256</v>
      </c>
      <c r="F42" s="9" t="s">
        <v>412</v>
      </c>
      <c r="G42" s="10" t="s">
        <v>412</v>
      </c>
      <c r="H42" s="9" t="s">
        <v>645</v>
      </c>
      <c r="I42" s="10" t="s">
        <v>412</v>
      </c>
      <c r="J42" s="9">
        <v>1</v>
      </c>
    </row>
    <row r="43" spans="1:10" ht="24.75" thickBot="1" x14ac:dyDescent="0.3">
      <c r="A43" s="1"/>
      <c r="B43" s="11">
        <f>ROW(B43) - ROW($B$2)</f>
        <v>41</v>
      </c>
      <c r="C43" s="12" t="s">
        <v>8</v>
      </c>
      <c r="D43" s="7" t="s">
        <v>77</v>
      </c>
      <c r="E43" s="8" t="s">
        <v>257</v>
      </c>
      <c r="F43" s="7" t="s">
        <v>413</v>
      </c>
      <c r="G43" s="8" t="s">
        <v>525</v>
      </c>
      <c r="H43" s="7" t="s">
        <v>646</v>
      </c>
      <c r="I43" s="8" t="s">
        <v>525</v>
      </c>
      <c r="J43" s="7">
        <v>2</v>
      </c>
    </row>
    <row r="44" spans="1:10" ht="15.75" thickBot="1" x14ac:dyDescent="0.3">
      <c r="A44" s="1"/>
      <c r="B44" s="11">
        <f t="shared" si="0"/>
        <v>42</v>
      </c>
      <c r="C44" s="13" t="s">
        <v>8</v>
      </c>
      <c r="D44" s="9" t="s">
        <v>78</v>
      </c>
      <c r="E44" s="10" t="s">
        <v>258</v>
      </c>
      <c r="F44" s="9" t="s">
        <v>414</v>
      </c>
      <c r="G44" s="10" t="s">
        <v>526</v>
      </c>
      <c r="H44" s="9" t="s">
        <v>647</v>
      </c>
      <c r="I44" s="10" t="s">
        <v>526</v>
      </c>
      <c r="J44" s="9">
        <v>2</v>
      </c>
    </row>
    <row r="45" spans="1:10" ht="36.75" thickBot="1" x14ac:dyDescent="0.3">
      <c r="A45" s="1"/>
      <c r="B45" s="11">
        <f>ROW(B45) - ROW($B$2)</f>
        <v>43</v>
      </c>
      <c r="C45" s="12"/>
      <c r="D45" s="7" t="s">
        <v>79</v>
      </c>
      <c r="E45" s="8" t="s">
        <v>259</v>
      </c>
      <c r="F45" s="7" t="s">
        <v>415</v>
      </c>
      <c r="G45" s="8" t="s">
        <v>527</v>
      </c>
      <c r="H45" s="7" t="s">
        <v>648</v>
      </c>
      <c r="I45" s="8" t="s">
        <v>527</v>
      </c>
      <c r="J45" s="7">
        <v>1</v>
      </c>
    </row>
    <row r="46" spans="1:10" ht="15.75" thickBot="1" x14ac:dyDescent="0.3">
      <c r="A46" s="1"/>
      <c r="B46" s="11">
        <f t="shared" si="0"/>
        <v>44</v>
      </c>
      <c r="C46" s="13"/>
      <c r="D46" s="9" t="s">
        <v>80</v>
      </c>
      <c r="E46" s="10" t="s">
        <v>260</v>
      </c>
      <c r="F46" s="9" t="s">
        <v>416</v>
      </c>
      <c r="G46" s="10" t="s">
        <v>416</v>
      </c>
      <c r="H46" s="9" t="s">
        <v>649</v>
      </c>
      <c r="I46" s="10" t="s">
        <v>416</v>
      </c>
      <c r="J46" s="9">
        <v>1</v>
      </c>
    </row>
    <row r="47" spans="1:10" ht="15.75" thickBot="1" x14ac:dyDescent="0.3">
      <c r="A47" s="1"/>
      <c r="B47" s="11">
        <f>ROW(B47) - ROW($B$2)</f>
        <v>45</v>
      </c>
      <c r="C47" s="12" t="s">
        <v>9</v>
      </c>
      <c r="D47" s="7" t="s">
        <v>81</v>
      </c>
      <c r="E47" s="8" t="s">
        <v>261</v>
      </c>
      <c r="F47" s="7" t="s">
        <v>417</v>
      </c>
      <c r="G47" s="8" t="s">
        <v>417</v>
      </c>
      <c r="H47" s="7" t="s">
        <v>650</v>
      </c>
      <c r="I47" s="8" t="s">
        <v>417</v>
      </c>
      <c r="J47" s="7">
        <v>2</v>
      </c>
    </row>
    <row r="48" spans="1:10" ht="24.75" thickBot="1" x14ac:dyDescent="0.3">
      <c r="A48" s="1"/>
      <c r="B48" s="11">
        <f t="shared" si="0"/>
        <v>46</v>
      </c>
      <c r="C48" s="13" t="s">
        <v>10</v>
      </c>
      <c r="D48" s="9" t="s">
        <v>82</v>
      </c>
      <c r="E48" s="10" t="s">
        <v>262</v>
      </c>
      <c r="F48" s="9" t="s">
        <v>418</v>
      </c>
      <c r="G48" s="10" t="s">
        <v>528</v>
      </c>
      <c r="H48" s="9" t="s">
        <v>651</v>
      </c>
      <c r="I48" s="10" t="s">
        <v>528</v>
      </c>
      <c r="J48" s="9">
        <v>3</v>
      </c>
    </row>
    <row r="49" spans="1:10" ht="24.75" thickBot="1" x14ac:dyDescent="0.3">
      <c r="A49" s="1"/>
      <c r="B49" s="11">
        <f>ROW(B49) - ROW($B$2)</f>
        <v>47</v>
      </c>
      <c r="C49" s="12" t="s">
        <v>8</v>
      </c>
      <c r="D49" s="7" t="s">
        <v>83</v>
      </c>
      <c r="E49" s="8" t="s">
        <v>263</v>
      </c>
      <c r="F49" s="7" t="s">
        <v>15</v>
      </c>
      <c r="G49" s="8" t="s">
        <v>529</v>
      </c>
      <c r="H49" s="7" t="s">
        <v>649</v>
      </c>
      <c r="I49" s="8" t="s">
        <v>730</v>
      </c>
      <c r="J49" s="7">
        <v>1</v>
      </c>
    </row>
    <row r="50" spans="1:10" ht="15.75" thickBot="1" x14ac:dyDescent="0.3">
      <c r="A50" s="1"/>
      <c r="B50" s="11">
        <f t="shared" si="0"/>
        <v>48</v>
      </c>
      <c r="C50" s="13" t="s">
        <v>11</v>
      </c>
      <c r="D50" s="9" t="s">
        <v>84</v>
      </c>
      <c r="E50" s="10" t="s">
        <v>264</v>
      </c>
      <c r="F50" s="9" t="s">
        <v>15</v>
      </c>
      <c r="G50" s="10" t="s">
        <v>412</v>
      </c>
      <c r="H50" s="9" t="s">
        <v>652</v>
      </c>
      <c r="I50" s="10" t="s">
        <v>412</v>
      </c>
      <c r="J50" s="9">
        <v>1</v>
      </c>
    </row>
    <row r="51" spans="1:10" ht="15.75" thickBot="1" x14ac:dyDescent="0.3">
      <c r="A51" s="1"/>
      <c r="B51" s="11">
        <f>ROW(B51) - ROW($B$2)</f>
        <v>49</v>
      </c>
      <c r="C51" s="12"/>
      <c r="D51" s="7" t="s">
        <v>85</v>
      </c>
      <c r="E51" s="8" t="s">
        <v>265</v>
      </c>
      <c r="F51" s="7" t="s">
        <v>419</v>
      </c>
      <c r="G51" s="8" t="s">
        <v>530</v>
      </c>
      <c r="H51" s="7" t="s">
        <v>653</v>
      </c>
      <c r="I51" s="8" t="s">
        <v>530</v>
      </c>
      <c r="J51" s="7">
        <v>1</v>
      </c>
    </row>
    <row r="52" spans="1:10" ht="15.75" thickBot="1" x14ac:dyDescent="0.3">
      <c r="A52" s="1"/>
      <c r="B52" s="11">
        <f t="shared" si="0"/>
        <v>50</v>
      </c>
      <c r="C52" s="13" t="s">
        <v>8</v>
      </c>
      <c r="D52" s="9" t="s">
        <v>86</v>
      </c>
      <c r="E52" s="10" t="s">
        <v>266</v>
      </c>
      <c r="F52" s="9" t="s">
        <v>418</v>
      </c>
      <c r="G52" s="10" t="s">
        <v>531</v>
      </c>
      <c r="H52" s="9" t="s">
        <v>654</v>
      </c>
      <c r="I52" s="10" t="s">
        <v>531</v>
      </c>
      <c r="J52" s="9">
        <v>1</v>
      </c>
    </row>
    <row r="53" spans="1:10" ht="15.75" thickBot="1" x14ac:dyDescent="0.3">
      <c r="A53" s="1"/>
      <c r="B53" s="11">
        <f>ROW(B53) - ROW($B$2)</f>
        <v>51</v>
      </c>
      <c r="C53" s="12" t="s">
        <v>8</v>
      </c>
      <c r="D53" s="7" t="s">
        <v>87</v>
      </c>
      <c r="E53" s="8" t="s">
        <v>267</v>
      </c>
      <c r="F53" s="7" t="s">
        <v>420</v>
      </c>
      <c r="G53" s="8" t="s">
        <v>532</v>
      </c>
      <c r="H53" s="7" t="s">
        <v>655</v>
      </c>
      <c r="I53" s="8" t="s">
        <v>532</v>
      </c>
      <c r="J53" s="7">
        <v>1</v>
      </c>
    </row>
    <row r="54" spans="1:10" ht="24.75" thickBot="1" x14ac:dyDescent="0.3">
      <c r="A54" s="1"/>
      <c r="B54" s="11">
        <f t="shared" si="0"/>
        <v>52</v>
      </c>
      <c r="C54" s="13" t="s">
        <v>10</v>
      </c>
      <c r="D54" s="9" t="s">
        <v>88</v>
      </c>
      <c r="E54" s="10" t="s">
        <v>268</v>
      </c>
      <c r="F54" s="9" t="s">
        <v>421</v>
      </c>
      <c r="G54" s="10" t="s">
        <v>533</v>
      </c>
      <c r="H54" s="9" t="s">
        <v>656</v>
      </c>
      <c r="I54" s="10" t="s">
        <v>533</v>
      </c>
      <c r="J54" s="9">
        <v>5</v>
      </c>
    </row>
    <row r="55" spans="1:10" ht="15.75" thickBot="1" x14ac:dyDescent="0.3">
      <c r="A55" s="1"/>
      <c r="B55" s="11">
        <f>ROW(B55) - ROW($B$2)</f>
        <v>53</v>
      </c>
      <c r="C55" s="12" t="s">
        <v>8</v>
      </c>
      <c r="D55" s="7" t="s">
        <v>89</v>
      </c>
      <c r="E55" s="8" t="s">
        <v>269</v>
      </c>
      <c r="F55" s="7" t="s">
        <v>422</v>
      </c>
      <c r="G55" s="8" t="s">
        <v>534</v>
      </c>
      <c r="H55" s="7" t="s">
        <v>653</v>
      </c>
      <c r="I55" s="8" t="s">
        <v>534</v>
      </c>
      <c r="J55" s="7">
        <v>2</v>
      </c>
    </row>
    <row r="56" spans="1:10" ht="24.75" thickBot="1" x14ac:dyDescent="0.3">
      <c r="A56" s="1"/>
      <c r="B56" s="11">
        <f t="shared" si="0"/>
        <v>54</v>
      </c>
      <c r="C56" s="13" t="s">
        <v>8</v>
      </c>
      <c r="D56" s="9" t="s">
        <v>90</v>
      </c>
      <c r="E56" s="10" t="s">
        <v>270</v>
      </c>
      <c r="F56" s="9" t="s">
        <v>423</v>
      </c>
      <c r="G56" s="10" t="s">
        <v>535</v>
      </c>
      <c r="H56" s="9" t="s">
        <v>657</v>
      </c>
      <c r="I56" s="10" t="s">
        <v>535</v>
      </c>
      <c r="J56" s="9">
        <v>1</v>
      </c>
    </row>
    <row r="57" spans="1:10" ht="36.75" thickBot="1" x14ac:dyDescent="0.3">
      <c r="A57" s="1"/>
      <c r="B57" s="11">
        <f>ROW(B57) - ROW($B$2)</f>
        <v>55</v>
      </c>
      <c r="C57" s="12" t="s">
        <v>8</v>
      </c>
      <c r="D57" s="7" t="s">
        <v>91</v>
      </c>
      <c r="E57" s="8" t="s">
        <v>271</v>
      </c>
      <c r="F57" s="7" t="s">
        <v>424</v>
      </c>
      <c r="G57" s="8" t="s">
        <v>536</v>
      </c>
      <c r="H57" s="7" t="s">
        <v>658</v>
      </c>
      <c r="I57" s="8" t="s">
        <v>731</v>
      </c>
      <c r="J57" s="7">
        <v>1</v>
      </c>
    </row>
    <row r="58" spans="1:10" ht="24.75" thickBot="1" x14ac:dyDescent="0.3">
      <c r="A58" s="1"/>
      <c r="B58" s="11">
        <f t="shared" si="0"/>
        <v>56</v>
      </c>
      <c r="C58" s="13" t="s">
        <v>12</v>
      </c>
      <c r="D58" s="9" t="s">
        <v>92</v>
      </c>
      <c r="E58" s="10" t="s">
        <v>272</v>
      </c>
      <c r="F58" s="9" t="s">
        <v>425</v>
      </c>
      <c r="G58" s="10" t="s">
        <v>537</v>
      </c>
      <c r="H58" s="9" t="s">
        <v>659</v>
      </c>
      <c r="I58" s="10" t="s">
        <v>537</v>
      </c>
      <c r="J58" s="9">
        <v>1</v>
      </c>
    </row>
    <row r="59" spans="1:10" ht="24.75" thickBot="1" x14ac:dyDescent="0.3">
      <c r="A59" s="1"/>
      <c r="B59" s="11">
        <f>ROW(B59) - ROW($B$2)</f>
        <v>57</v>
      </c>
      <c r="C59" s="12" t="s">
        <v>12</v>
      </c>
      <c r="D59" s="7" t="s">
        <v>93</v>
      </c>
      <c r="E59" s="8" t="s">
        <v>273</v>
      </c>
      <c r="F59" s="7" t="s">
        <v>426</v>
      </c>
      <c r="G59" s="8" t="s">
        <v>538</v>
      </c>
      <c r="H59" s="7" t="s">
        <v>660</v>
      </c>
      <c r="I59" s="8" t="s">
        <v>538</v>
      </c>
      <c r="J59" s="7">
        <v>2</v>
      </c>
    </row>
    <row r="60" spans="1:10" ht="15.75" thickBot="1" x14ac:dyDescent="0.3">
      <c r="A60" s="1"/>
      <c r="B60" s="11">
        <f t="shared" si="0"/>
        <v>58</v>
      </c>
      <c r="C60" s="13" t="s">
        <v>13</v>
      </c>
      <c r="D60" s="9" t="s">
        <v>94</v>
      </c>
      <c r="E60" s="10" t="s">
        <v>274</v>
      </c>
      <c r="F60" s="9" t="s">
        <v>427</v>
      </c>
      <c r="G60" s="10" t="s">
        <v>539</v>
      </c>
      <c r="H60" s="9" t="s">
        <v>636</v>
      </c>
      <c r="I60" s="10" t="s">
        <v>732</v>
      </c>
      <c r="J60" s="9">
        <v>1</v>
      </c>
    </row>
    <row r="61" spans="1:10" ht="15.75" thickBot="1" x14ac:dyDescent="0.3">
      <c r="A61" s="1"/>
      <c r="B61" s="11">
        <f>ROW(B61) - ROW($B$2)</f>
        <v>59</v>
      </c>
      <c r="C61" s="12" t="s">
        <v>14</v>
      </c>
      <c r="D61" s="7" t="s">
        <v>95</v>
      </c>
      <c r="E61" s="8" t="s">
        <v>275</v>
      </c>
      <c r="F61" s="7" t="s">
        <v>428</v>
      </c>
      <c r="G61" s="8" t="s">
        <v>540</v>
      </c>
      <c r="H61" s="7" t="s">
        <v>661</v>
      </c>
      <c r="I61" s="8" t="s">
        <v>540</v>
      </c>
      <c r="J61" s="7">
        <v>1</v>
      </c>
    </row>
    <row r="62" spans="1:10" ht="15.75" thickBot="1" x14ac:dyDescent="0.3">
      <c r="A62" s="1"/>
      <c r="B62" s="11">
        <f t="shared" si="0"/>
        <v>60</v>
      </c>
      <c r="C62" s="13"/>
      <c r="D62" s="9" t="s">
        <v>96</v>
      </c>
      <c r="E62" s="10" t="s">
        <v>276</v>
      </c>
      <c r="F62" s="9" t="s">
        <v>429</v>
      </c>
      <c r="G62" s="10" t="s">
        <v>429</v>
      </c>
      <c r="H62" s="9" t="s">
        <v>662</v>
      </c>
      <c r="I62" s="10" t="s">
        <v>429</v>
      </c>
      <c r="J62" s="9">
        <v>10</v>
      </c>
    </row>
    <row r="63" spans="1:10" ht="15.75" thickBot="1" x14ac:dyDescent="0.3">
      <c r="A63" s="1"/>
      <c r="B63" s="11">
        <f>ROW(B63) - ROW($B$2)</f>
        <v>61</v>
      </c>
      <c r="C63" s="12"/>
      <c r="D63" s="7" t="s">
        <v>97</v>
      </c>
      <c r="E63" s="8" t="s">
        <v>276</v>
      </c>
      <c r="F63" s="7" t="s">
        <v>430</v>
      </c>
      <c r="G63" s="8" t="s">
        <v>430</v>
      </c>
      <c r="H63" s="7" t="s">
        <v>662</v>
      </c>
      <c r="I63" s="8" t="s">
        <v>430</v>
      </c>
      <c r="J63" s="7">
        <v>5</v>
      </c>
    </row>
    <row r="64" spans="1:10" ht="15.75" thickBot="1" x14ac:dyDescent="0.3">
      <c r="A64" s="1"/>
      <c r="B64" s="11">
        <f t="shared" si="0"/>
        <v>62</v>
      </c>
      <c r="C64" s="13"/>
      <c r="D64" s="9" t="s">
        <v>98</v>
      </c>
      <c r="E64" s="10" t="s">
        <v>276</v>
      </c>
      <c r="F64" s="9" t="s">
        <v>431</v>
      </c>
      <c r="G64" s="10" t="s">
        <v>431</v>
      </c>
      <c r="H64" s="9" t="s">
        <v>662</v>
      </c>
      <c r="I64" s="10" t="s">
        <v>431</v>
      </c>
      <c r="J64" s="9">
        <v>3</v>
      </c>
    </row>
    <row r="65" spans="1:10" ht="48.75" thickBot="1" x14ac:dyDescent="0.3">
      <c r="A65" s="1"/>
      <c r="B65" s="11">
        <f>ROW(B65) - ROW($B$2)</f>
        <v>63</v>
      </c>
      <c r="C65" s="12" t="s">
        <v>15</v>
      </c>
      <c r="D65" s="7" t="s">
        <v>99</v>
      </c>
      <c r="E65" s="8" t="s">
        <v>277</v>
      </c>
      <c r="F65" s="7" t="s">
        <v>432</v>
      </c>
      <c r="G65" s="8" t="s">
        <v>541</v>
      </c>
      <c r="H65" s="7" t="s">
        <v>663</v>
      </c>
      <c r="I65" s="8" t="s">
        <v>541</v>
      </c>
      <c r="J65" s="7">
        <v>1</v>
      </c>
    </row>
    <row r="66" spans="1:10" ht="15.75" thickBot="1" x14ac:dyDescent="0.3">
      <c r="A66" s="1"/>
      <c r="B66" s="11">
        <f t="shared" si="0"/>
        <v>64</v>
      </c>
      <c r="C66" s="13" t="s">
        <v>16</v>
      </c>
      <c r="D66" s="9" t="s">
        <v>100</v>
      </c>
      <c r="E66" s="10" t="s">
        <v>278</v>
      </c>
      <c r="F66" s="9" t="s">
        <v>433</v>
      </c>
      <c r="G66" s="10" t="s">
        <v>542</v>
      </c>
      <c r="H66" s="9" t="s">
        <v>661</v>
      </c>
      <c r="I66" s="10" t="s">
        <v>542</v>
      </c>
      <c r="J66" s="9">
        <v>1</v>
      </c>
    </row>
    <row r="67" spans="1:10" ht="36.75" thickBot="1" x14ac:dyDescent="0.3">
      <c r="A67" s="1"/>
      <c r="B67" s="11">
        <f>ROW(B67) - ROW($B$2)</f>
        <v>65</v>
      </c>
      <c r="C67" s="12" t="s">
        <v>17</v>
      </c>
      <c r="D67" s="7" t="s">
        <v>101</v>
      </c>
      <c r="E67" s="8" t="s">
        <v>279</v>
      </c>
      <c r="F67" s="7" t="s">
        <v>434</v>
      </c>
      <c r="G67" s="8" t="s">
        <v>434</v>
      </c>
      <c r="H67" s="7" t="s">
        <v>664</v>
      </c>
      <c r="I67" s="8" t="s">
        <v>434</v>
      </c>
      <c r="J67" s="7">
        <v>1</v>
      </c>
    </row>
    <row r="68" spans="1:10" ht="24.75" thickBot="1" x14ac:dyDescent="0.3">
      <c r="A68" s="1"/>
      <c r="B68" s="11">
        <f t="shared" si="0"/>
        <v>66</v>
      </c>
      <c r="C68" s="13" t="s">
        <v>18</v>
      </c>
      <c r="D68" s="9" t="s">
        <v>102</v>
      </c>
      <c r="E68" s="10" t="s">
        <v>280</v>
      </c>
      <c r="F68" s="9" t="s">
        <v>435</v>
      </c>
      <c r="G68" s="10" t="s">
        <v>543</v>
      </c>
      <c r="H68" s="9" t="s">
        <v>665</v>
      </c>
      <c r="I68" s="10" t="s">
        <v>543</v>
      </c>
      <c r="J68" s="9">
        <v>1</v>
      </c>
    </row>
    <row r="69" spans="1:10" ht="48.75" thickBot="1" x14ac:dyDescent="0.3">
      <c r="A69" s="1"/>
      <c r="B69" s="11">
        <f>ROW(B69) - ROW($B$2)</f>
        <v>67</v>
      </c>
      <c r="C69" s="12" t="s">
        <v>19</v>
      </c>
      <c r="D69" s="7" t="s">
        <v>103</v>
      </c>
      <c r="E69" s="8" t="s">
        <v>281</v>
      </c>
      <c r="F69" s="7" t="s">
        <v>436</v>
      </c>
      <c r="G69" s="8" t="s">
        <v>544</v>
      </c>
      <c r="H69" s="7" t="s">
        <v>666</v>
      </c>
      <c r="I69" s="8" t="s">
        <v>544</v>
      </c>
      <c r="J69" s="7">
        <v>1</v>
      </c>
    </row>
    <row r="70" spans="1:10" ht="15.75" thickBot="1" x14ac:dyDescent="0.3">
      <c r="A70" s="1"/>
      <c r="B70" s="11">
        <f t="shared" si="0"/>
        <v>68</v>
      </c>
      <c r="C70" s="13"/>
      <c r="D70" s="9" t="s">
        <v>104</v>
      </c>
      <c r="E70" s="10" t="s">
        <v>282</v>
      </c>
      <c r="F70" s="9" t="s">
        <v>437</v>
      </c>
      <c r="G70" s="10" t="s">
        <v>545</v>
      </c>
      <c r="H70" s="9" t="s">
        <v>667</v>
      </c>
      <c r="I70" s="10" t="s">
        <v>545</v>
      </c>
      <c r="J70" s="9">
        <v>2</v>
      </c>
    </row>
    <row r="71" spans="1:10" ht="48.75" thickBot="1" x14ac:dyDescent="0.3">
      <c r="A71" s="1"/>
      <c r="B71" s="11">
        <f>ROW(B71) - ROW($B$2)</f>
        <v>69</v>
      </c>
      <c r="C71" s="12" t="s">
        <v>20</v>
      </c>
      <c r="D71" s="7" t="s">
        <v>105</v>
      </c>
      <c r="E71" s="8" t="s">
        <v>283</v>
      </c>
      <c r="F71" s="7" t="s">
        <v>438</v>
      </c>
      <c r="G71" s="8" t="s">
        <v>438</v>
      </c>
      <c r="H71" s="7" t="s">
        <v>668</v>
      </c>
      <c r="I71" s="8" t="s">
        <v>438</v>
      </c>
      <c r="J71" s="7">
        <v>1</v>
      </c>
    </row>
    <row r="72" spans="1:10" ht="15.75" thickBot="1" x14ac:dyDescent="0.3">
      <c r="A72" s="1"/>
      <c r="B72" s="11">
        <f t="shared" si="0"/>
        <v>70</v>
      </c>
      <c r="C72" s="13" t="s">
        <v>21</v>
      </c>
      <c r="D72" s="9" t="s">
        <v>106</v>
      </c>
      <c r="E72" s="10" t="s">
        <v>284</v>
      </c>
      <c r="F72" s="9" t="s">
        <v>439</v>
      </c>
      <c r="G72" s="10" t="s">
        <v>546</v>
      </c>
      <c r="H72" s="9"/>
      <c r="I72" s="10" t="s">
        <v>546</v>
      </c>
      <c r="J72" s="9">
        <v>1</v>
      </c>
    </row>
    <row r="73" spans="1:10" ht="24.75" thickBot="1" x14ac:dyDescent="0.3">
      <c r="A73" s="1"/>
      <c r="B73" s="11">
        <f>ROW(B73) - ROW($B$2)</f>
        <v>71</v>
      </c>
      <c r="C73" s="12" t="s">
        <v>22</v>
      </c>
      <c r="D73" s="7" t="s">
        <v>107</v>
      </c>
      <c r="E73" s="8" t="s">
        <v>285</v>
      </c>
      <c r="F73" s="7" t="s">
        <v>440</v>
      </c>
      <c r="G73" s="8" t="s">
        <v>440</v>
      </c>
      <c r="H73" s="7" t="s">
        <v>667</v>
      </c>
      <c r="I73" s="8" t="s">
        <v>440</v>
      </c>
      <c r="J73" s="7">
        <v>1</v>
      </c>
    </row>
    <row r="74" spans="1:10" ht="15.75" thickBot="1" x14ac:dyDescent="0.3">
      <c r="A74" s="1"/>
      <c r="B74" s="11">
        <f t="shared" si="0"/>
        <v>72</v>
      </c>
      <c r="C74" s="13" t="s">
        <v>23</v>
      </c>
      <c r="D74" s="9" t="s">
        <v>108</v>
      </c>
      <c r="E74" s="10" t="s">
        <v>286</v>
      </c>
      <c r="F74" s="9" t="s">
        <v>427</v>
      </c>
      <c r="G74" s="10" t="s">
        <v>547</v>
      </c>
      <c r="H74" s="9" t="s">
        <v>669</v>
      </c>
      <c r="I74" s="10" t="s">
        <v>733</v>
      </c>
      <c r="J74" s="9">
        <v>1</v>
      </c>
    </row>
    <row r="75" spans="1:10" ht="36.75" thickBot="1" x14ac:dyDescent="0.3">
      <c r="A75" s="1"/>
      <c r="B75" s="11">
        <f>ROW(B75) - ROW($B$2)</f>
        <v>73</v>
      </c>
      <c r="C75" s="12"/>
      <c r="D75" s="7" t="s">
        <v>109</v>
      </c>
      <c r="E75" s="8" t="s">
        <v>287</v>
      </c>
      <c r="F75" s="7" t="s">
        <v>441</v>
      </c>
      <c r="G75" s="8" t="s">
        <v>441</v>
      </c>
      <c r="H75" s="7" t="s">
        <v>636</v>
      </c>
      <c r="I75" s="8" t="s">
        <v>734</v>
      </c>
      <c r="J75" s="7">
        <v>1</v>
      </c>
    </row>
    <row r="76" spans="1:10" ht="15.75" thickBot="1" x14ac:dyDescent="0.3">
      <c r="A76" s="1"/>
      <c r="B76" s="11">
        <f t="shared" si="0"/>
        <v>74</v>
      </c>
      <c r="C76" s="13" t="s">
        <v>23</v>
      </c>
      <c r="D76" s="9" t="s">
        <v>110</v>
      </c>
      <c r="E76" s="10" t="s">
        <v>288</v>
      </c>
      <c r="F76" s="9" t="s">
        <v>442</v>
      </c>
      <c r="G76" s="10" t="s">
        <v>442</v>
      </c>
      <c r="H76" s="9" t="s">
        <v>670</v>
      </c>
      <c r="I76" s="10" t="s">
        <v>735</v>
      </c>
      <c r="J76" s="9">
        <v>1</v>
      </c>
    </row>
    <row r="77" spans="1:10" ht="36.75" thickBot="1" x14ac:dyDescent="0.3">
      <c r="A77" s="1"/>
      <c r="B77" s="11">
        <f>ROW(B77) - ROW($B$2)</f>
        <v>75</v>
      </c>
      <c r="C77" s="12" t="s">
        <v>23</v>
      </c>
      <c r="D77" s="7" t="s">
        <v>111</v>
      </c>
      <c r="E77" s="8" t="s">
        <v>289</v>
      </c>
      <c r="F77" s="7" t="s">
        <v>443</v>
      </c>
      <c r="G77" s="8" t="s">
        <v>548</v>
      </c>
      <c r="H77" s="7" t="s">
        <v>671</v>
      </c>
      <c r="I77" s="8" t="s">
        <v>736</v>
      </c>
      <c r="J77" s="7">
        <v>1</v>
      </c>
    </row>
    <row r="78" spans="1:10" ht="15.75" thickBot="1" x14ac:dyDescent="0.3">
      <c r="A78" s="1"/>
      <c r="B78" s="11">
        <f t="shared" si="0"/>
        <v>76</v>
      </c>
      <c r="C78" s="13" t="s">
        <v>23</v>
      </c>
      <c r="D78" s="9" t="s">
        <v>112</v>
      </c>
      <c r="E78" s="10" t="s">
        <v>290</v>
      </c>
      <c r="F78" s="9" t="s">
        <v>444</v>
      </c>
      <c r="G78" s="10" t="s">
        <v>549</v>
      </c>
      <c r="H78" s="9" t="s">
        <v>638</v>
      </c>
      <c r="I78" s="10" t="s">
        <v>737</v>
      </c>
      <c r="J78" s="9">
        <v>1</v>
      </c>
    </row>
    <row r="79" spans="1:10" ht="15.75" thickBot="1" x14ac:dyDescent="0.3">
      <c r="A79" s="1"/>
      <c r="B79" s="11">
        <f>ROW(B79) - ROW($B$2)</f>
        <v>77</v>
      </c>
      <c r="C79" s="12"/>
      <c r="D79" s="7" t="s">
        <v>113</v>
      </c>
      <c r="E79" s="8" t="s">
        <v>291</v>
      </c>
      <c r="F79" s="7" t="s">
        <v>445</v>
      </c>
      <c r="G79" s="8" t="s">
        <v>550</v>
      </c>
      <c r="H79" s="7" t="s">
        <v>672</v>
      </c>
      <c r="I79" s="8" t="s">
        <v>550</v>
      </c>
      <c r="J79" s="7">
        <v>7</v>
      </c>
    </row>
    <row r="80" spans="1:10" ht="24.75" thickBot="1" x14ac:dyDescent="0.3">
      <c r="A80" s="1"/>
      <c r="B80" s="11">
        <f t="shared" si="0"/>
        <v>78</v>
      </c>
      <c r="C80" s="13"/>
      <c r="D80" s="9" t="s">
        <v>114</v>
      </c>
      <c r="E80" s="10" t="s">
        <v>292</v>
      </c>
      <c r="F80" s="9" t="s">
        <v>446</v>
      </c>
      <c r="G80" s="10" t="s">
        <v>551</v>
      </c>
      <c r="H80" s="9" t="s">
        <v>673</v>
      </c>
      <c r="I80" s="10" t="s">
        <v>551</v>
      </c>
      <c r="J80" s="9">
        <v>1</v>
      </c>
    </row>
    <row r="81" spans="1:10" ht="36.75" thickBot="1" x14ac:dyDescent="0.3">
      <c r="A81" s="1"/>
      <c r="B81" s="11">
        <f>ROW(B81) - ROW($B$2)</f>
        <v>79</v>
      </c>
      <c r="C81" s="12" t="s">
        <v>24</v>
      </c>
      <c r="D81" s="7" t="s">
        <v>115</v>
      </c>
      <c r="E81" s="8" t="s">
        <v>293</v>
      </c>
      <c r="F81" s="7" t="s">
        <v>447</v>
      </c>
      <c r="G81" s="8" t="s">
        <v>552</v>
      </c>
      <c r="H81" s="7" t="s">
        <v>674</v>
      </c>
      <c r="I81" s="8" t="s">
        <v>738</v>
      </c>
      <c r="J81" s="7">
        <v>3</v>
      </c>
    </row>
    <row r="82" spans="1:10" ht="24.75" thickBot="1" x14ac:dyDescent="0.3">
      <c r="A82" s="1"/>
      <c r="B82" s="11">
        <f t="shared" si="0"/>
        <v>80</v>
      </c>
      <c r="C82" s="13" t="s">
        <v>24</v>
      </c>
      <c r="D82" s="9" t="s">
        <v>116</v>
      </c>
      <c r="E82" s="10" t="s">
        <v>294</v>
      </c>
      <c r="F82" s="9" t="s">
        <v>448</v>
      </c>
      <c r="G82" s="10" t="s">
        <v>553</v>
      </c>
      <c r="H82" s="9" t="s">
        <v>675</v>
      </c>
      <c r="I82" s="10" t="s">
        <v>739</v>
      </c>
      <c r="J82" s="9">
        <v>1</v>
      </c>
    </row>
    <row r="83" spans="1:10" ht="24.75" thickBot="1" x14ac:dyDescent="0.3">
      <c r="A83" s="1"/>
      <c r="B83" s="11">
        <f>ROW(B83) - ROW($B$2)</f>
        <v>81</v>
      </c>
      <c r="C83" s="12" t="s">
        <v>24</v>
      </c>
      <c r="D83" s="7" t="s">
        <v>117</v>
      </c>
      <c r="E83" s="8" t="s">
        <v>295</v>
      </c>
      <c r="F83" s="7" t="s">
        <v>447</v>
      </c>
      <c r="G83" s="8" t="s">
        <v>554</v>
      </c>
      <c r="H83" s="7" t="s">
        <v>675</v>
      </c>
      <c r="I83" s="8" t="s">
        <v>740</v>
      </c>
      <c r="J83" s="7">
        <v>1</v>
      </c>
    </row>
    <row r="84" spans="1:10" ht="24.75" thickBot="1" x14ac:dyDescent="0.3">
      <c r="A84" s="1"/>
      <c r="B84" s="11">
        <f t="shared" si="0"/>
        <v>82</v>
      </c>
      <c r="C84" s="13"/>
      <c r="D84" s="9" t="s">
        <v>118</v>
      </c>
      <c r="E84" s="10" t="s">
        <v>296</v>
      </c>
      <c r="F84" s="9" t="s">
        <v>449</v>
      </c>
      <c r="G84" s="10"/>
      <c r="H84" s="9" t="s">
        <v>676</v>
      </c>
      <c r="I84" s="10" t="s">
        <v>449</v>
      </c>
      <c r="J84" s="9">
        <v>1</v>
      </c>
    </row>
    <row r="85" spans="1:10" ht="24.75" thickBot="1" x14ac:dyDescent="0.3">
      <c r="A85" s="1"/>
      <c r="B85" s="11">
        <f>ROW(B85) - ROW($B$2)</f>
        <v>83</v>
      </c>
      <c r="C85" s="12" t="s">
        <v>25</v>
      </c>
      <c r="D85" s="7" t="s">
        <v>119</v>
      </c>
      <c r="E85" s="8" t="s">
        <v>297</v>
      </c>
      <c r="F85" s="7" t="s">
        <v>450</v>
      </c>
      <c r="G85" s="8"/>
      <c r="H85" s="7"/>
      <c r="I85" s="8" t="s">
        <v>741</v>
      </c>
      <c r="J85" s="7">
        <v>5</v>
      </c>
    </row>
    <row r="86" spans="1:10" ht="15.75" thickBot="1" x14ac:dyDescent="0.3">
      <c r="A86" s="1"/>
      <c r="B86" s="11">
        <f t="shared" si="0"/>
        <v>84</v>
      </c>
      <c r="C86" s="13" t="s">
        <v>26</v>
      </c>
      <c r="D86" s="9" t="s">
        <v>120</v>
      </c>
      <c r="E86" s="10" t="s">
        <v>297</v>
      </c>
      <c r="F86" s="9" t="s">
        <v>451</v>
      </c>
      <c r="G86" s="10"/>
      <c r="H86" s="9"/>
      <c r="I86" s="10" t="s">
        <v>26</v>
      </c>
      <c r="J86" s="9">
        <v>5</v>
      </c>
    </row>
    <row r="87" spans="1:10" ht="15.75" thickBot="1" x14ac:dyDescent="0.3">
      <c r="A87" s="1"/>
      <c r="B87" s="11">
        <f>ROW(B87) - ROW($B$2)</f>
        <v>85</v>
      </c>
      <c r="C87" s="12"/>
      <c r="D87" s="7" t="s">
        <v>121</v>
      </c>
      <c r="E87" s="8" t="s">
        <v>298</v>
      </c>
      <c r="F87" s="7" t="s">
        <v>452</v>
      </c>
      <c r="G87" s="8">
        <v>61300611121</v>
      </c>
      <c r="H87" s="7" t="s">
        <v>677</v>
      </c>
      <c r="I87" s="8">
        <v>61300611121</v>
      </c>
      <c r="J87" s="7">
        <v>4</v>
      </c>
    </row>
    <row r="88" spans="1:10" ht="15.75" thickBot="1" x14ac:dyDescent="0.3">
      <c r="A88" s="1"/>
      <c r="B88" s="11">
        <f t="shared" si="0"/>
        <v>86</v>
      </c>
      <c r="C88" s="13"/>
      <c r="D88" s="9" t="s">
        <v>122</v>
      </c>
      <c r="E88" s="10" t="s">
        <v>299</v>
      </c>
      <c r="F88" s="9" t="s">
        <v>453</v>
      </c>
      <c r="G88" s="10">
        <v>61300311121</v>
      </c>
      <c r="H88" s="9" t="s">
        <v>677</v>
      </c>
      <c r="I88" s="10">
        <v>61300311121</v>
      </c>
      <c r="J88" s="9">
        <v>1</v>
      </c>
    </row>
    <row r="89" spans="1:10" ht="15.75" thickBot="1" x14ac:dyDescent="0.3">
      <c r="A89" s="1"/>
      <c r="B89" s="11">
        <f>ROW(B89) - ROW($B$2)</f>
        <v>87</v>
      </c>
      <c r="C89" s="12"/>
      <c r="D89" s="7" t="s">
        <v>123</v>
      </c>
      <c r="E89" s="8" t="s">
        <v>300</v>
      </c>
      <c r="F89" s="7" t="s">
        <v>454</v>
      </c>
      <c r="G89" s="8">
        <v>61300211121</v>
      </c>
      <c r="H89" s="7" t="s">
        <v>677</v>
      </c>
      <c r="I89" s="8">
        <v>61300211121</v>
      </c>
      <c r="J89" s="7">
        <v>3</v>
      </c>
    </row>
    <row r="90" spans="1:10" ht="15.75" thickBot="1" x14ac:dyDescent="0.3">
      <c r="A90" s="1"/>
      <c r="B90" s="11">
        <f t="shared" si="0"/>
        <v>88</v>
      </c>
      <c r="C90" s="13"/>
      <c r="D90" s="9" t="s">
        <v>124</v>
      </c>
      <c r="E90" s="10" t="s">
        <v>301</v>
      </c>
      <c r="F90" s="9" t="s">
        <v>455</v>
      </c>
      <c r="G90" s="10">
        <v>61300411121</v>
      </c>
      <c r="H90" s="9" t="s">
        <v>677</v>
      </c>
      <c r="I90" s="10">
        <v>61300411121</v>
      </c>
      <c r="J90" s="9">
        <v>1</v>
      </c>
    </row>
    <row r="91" spans="1:10" ht="24.75" thickBot="1" x14ac:dyDescent="0.3">
      <c r="A91" s="1"/>
      <c r="B91" s="11">
        <f>ROW(B91) - ROW($B$2)</f>
        <v>89</v>
      </c>
      <c r="C91" s="12" t="s">
        <v>27</v>
      </c>
      <c r="D91" s="7" t="s">
        <v>125</v>
      </c>
      <c r="E91" s="8" t="s">
        <v>302</v>
      </c>
      <c r="F91" s="7" t="s">
        <v>456</v>
      </c>
      <c r="G91" s="8" t="s">
        <v>555</v>
      </c>
      <c r="H91" s="7" t="s">
        <v>646</v>
      </c>
      <c r="I91" s="8" t="s">
        <v>555</v>
      </c>
      <c r="J91" s="7">
        <v>5</v>
      </c>
    </row>
    <row r="92" spans="1:10" ht="15.75" thickBot="1" x14ac:dyDescent="0.3">
      <c r="A92" s="1"/>
      <c r="B92" s="11">
        <f t="shared" si="0"/>
        <v>90</v>
      </c>
      <c r="C92" s="13" t="s">
        <v>27</v>
      </c>
      <c r="D92" s="9" t="s">
        <v>126</v>
      </c>
      <c r="E92" s="10" t="s">
        <v>303</v>
      </c>
      <c r="F92" s="9" t="s">
        <v>457</v>
      </c>
      <c r="G92" s="10" t="s">
        <v>556</v>
      </c>
      <c r="H92" s="9" t="s">
        <v>678</v>
      </c>
      <c r="I92" s="10" t="s">
        <v>556</v>
      </c>
      <c r="J92" s="9">
        <v>2</v>
      </c>
    </row>
    <row r="93" spans="1:10" ht="15.75" thickBot="1" x14ac:dyDescent="0.3">
      <c r="A93" s="1"/>
      <c r="B93" s="11">
        <f>ROW(B93) - ROW($B$2)</f>
        <v>91</v>
      </c>
      <c r="C93" s="12"/>
      <c r="D93" s="7" t="s">
        <v>127</v>
      </c>
      <c r="E93" s="8" t="s">
        <v>304</v>
      </c>
      <c r="F93" s="7" t="s">
        <v>458</v>
      </c>
      <c r="G93" s="8" t="s">
        <v>557</v>
      </c>
      <c r="H93" s="7" t="s">
        <v>679</v>
      </c>
      <c r="I93" s="8" t="s">
        <v>557</v>
      </c>
      <c r="J93" s="7">
        <v>2</v>
      </c>
    </row>
    <row r="94" spans="1:10" ht="24.75" thickBot="1" x14ac:dyDescent="0.3">
      <c r="A94" s="1"/>
      <c r="B94" s="11">
        <f t="shared" si="0"/>
        <v>92</v>
      </c>
      <c r="C94" s="13"/>
      <c r="D94" s="9" t="s">
        <v>128</v>
      </c>
      <c r="E94" s="10" t="s">
        <v>305</v>
      </c>
      <c r="F94" s="9" t="s">
        <v>458</v>
      </c>
      <c r="G94" s="10" t="s">
        <v>558</v>
      </c>
      <c r="H94" s="9" t="s">
        <v>655</v>
      </c>
      <c r="I94" s="10" t="s">
        <v>558</v>
      </c>
      <c r="J94" s="9">
        <v>10</v>
      </c>
    </row>
    <row r="95" spans="1:10" ht="24.75" thickBot="1" x14ac:dyDescent="0.3">
      <c r="A95" s="1"/>
      <c r="B95" s="11">
        <f>ROW(B95) - ROW($B$2)</f>
        <v>93</v>
      </c>
      <c r="C95" s="12"/>
      <c r="D95" s="7" t="s">
        <v>129</v>
      </c>
      <c r="E95" s="8" t="s">
        <v>306</v>
      </c>
      <c r="F95" s="7" t="s">
        <v>458</v>
      </c>
      <c r="G95" s="8" t="s">
        <v>559</v>
      </c>
      <c r="H95" s="7" t="s">
        <v>655</v>
      </c>
      <c r="I95" s="8" t="s">
        <v>559</v>
      </c>
      <c r="J95" s="7">
        <v>2</v>
      </c>
    </row>
    <row r="96" spans="1:10" ht="15.75" thickBot="1" x14ac:dyDescent="0.3">
      <c r="A96" s="1"/>
      <c r="B96" s="11">
        <f t="shared" si="0"/>
        <v>94</v>
      </c>
      <c r="C96" s="13"/>
      <c r="D96" s="9" t="s">
        <v>130</v>
      </c>
      <c r="E96" s="10" t="s">
        <v>307</v>
      </c>
      <c r="F96" s="9" t="s">
        <v>458</v>
      </c>
      <c r="G96" s="10" t="s">
        <v>560</v>
      </c>
      <c r="H96" s="9" t="s">
        <v>680</v>
      </c>
      <c r="I96" s="10" t="s">
        <v>742</v>
      </c>
      <c r="J96" s="9">
        <v>4</v>
      </c>
    </row>
    <row r="97" spans="1:10" ht="36.75" thickBot="1" x14ac:dyDescent="0.3">
      <c r="A97" s="1"/>
      <c r="B97" s="11">
        <f>ROW(B97) - ROW($B$2)</f>
        <v>95</v>
      </c>
      <c r="C97" s="12"/>
      <c r="D97" s="7" t="s">
        <v>131</v>
      </c>
      <c r="E97" s="8" t="s">
        <v>308</v>
      </c>
      <c r="F97" s="7" t="s">
        <v>459</v>
      </c>
      <c r="G97" s="8" t="s">
        <v>459</v>
      </c>
      <c r="H97" s="7" t="s">
        <v>681</v>
      </c>
      <c r="I97" s="8" t="s">
        <v>459</v>
      </c>
      <c r="J97" s="7">
        <v>1</v>
      </c>
    </row>
    <row r="98" spans="1:10" ht="15.75" thickBot="1" x14ac:dyDescent="0.3">
      <c r="A98" s="1"/>
      <c r="B98" s="11">
        <f t="shared" si="0"/>
        <v>96</v>
      </c>
      <c r="C98" s="13" t="s">
        <v>28</v>
      </c>
      <c r="D98" s="9" t="s">
        <v>132</v>
      </c>
      <c r="E98" s="10" t="s">
        <v>309</v>
      </c>
      <c r="F98" s="9" t="s">
        <v>458</v>
      </c>
      <c r="G98" s="10" t="s">
        <v>561</v>
      </c>
      <c r="H98" s="9" t="s">
        <v>653</v>
      </c>
      <c r="I98" s="10" t="s">
        <v>561</v>
      </c>
      <c r="J98" s="9">
        <v>5</v>
      </c>
    </row>
    <row r="99" spans="1:10" ht="15.75" thickBot="1" x14ac:dyDescent="0.3">
      <c r="A99" s="1"/>
      <c r="B99" s="11">
        <f>ROW(B99) - ROW($B$2)</f>
        <v>97</v>
      </c>
      <c r="C99" s="12"/>
      <c r="D99" s="7" t="s">
        <v>133</v>
      </c>
      <c r="E99" s="8" t="s">
        <v>310</v>
      </c>
      <c r="F99" s="7" t="s">
        <v>460</v>
      </c>
      <c r="G99" s="8" t="s">
        <v>562</v>
      </c>
      <c r="H99" s="7" t="s">
        <v>653</v>
      </c>
      <c r="I99" s="8" t="s">
        <v>562</v>
      </c>
      <c r="J99" s="7">
        <v>4</v>
      </c>
    </row>
    <row r="100" spans="1:10" ht="36.75" thickBot="1" x14ac:dyDescent="0.3">
      <c r="A100" s="1"/>
      <c r="B100" s="11">
        <f t="shared" si="0"/>
        <v>98</v>
      </c>
      <c r="C100" s="13" t="s">
        <v>27</v>
      </c>
      <c r="D100" s="9" t="s">
        <v>134</v>
      </c>
      <c r="E100" s="10" t="s">
        <v>311</v>
      </c>
      <c r="F100" s="9" t="s">
        <v>458</v>
      </c>
      <c r="G100" s="10" t="s">
        <v>563</v>
      </c>
      <c r="H100" s="9" t="s">
        <v>682</v>
      </c>
      <c r="I100" s="10" t="s">
        <v>563</v>
      </c>
      <c r="J100" s="9">
        <v>1</v>
      </c>
    </row>
    <row r="101" spans="1:10" ht="15.75" thickBot="1" x14ac:dyDescent="0.3">
      <c r="A101" s="1"/>
      <c r="B101" s="11">
        <f>ROW(B101) - ROW($B$2)</f>
        <v>99</v>
      </c>
      <c r="C101" s="12"/>
      <c r="D101" s="7" t="s">
        <v>135</v>
      </c>
      <c r="E101" s="8" t="s">
        <v>312</v>
      </c>
      <c r="F101" s="7" t="s">
        <v>460</v>
      </c>
      <c r="G101" s="8" t="s">
        <v>564</v>
      </c>
      <c r="H101" s="7" t="s">
        <v>653</v>
      </c>
      <c r="I101" s="8" t="s">
        <v>564</v>
      </c>
      <c r="J101" s="7">
        <v>1</v>
      </c>
    </row>
    <row r="102" spans="1:10" ht="36.75" thickBot="1" x14ac:dyDescent="0.3">
      <c r="A102" s="1"/>
      <c r="B102" s="11">
        <f t="shared" si="0"/>
        <v>100</v>
      </c>
      <c r="C102" s="13"/>
      <c r="D102" s="9" t="s">
        <v>136</v>
      </c>
      <c r="E102" s="10" t="s">
        <v>313</v>
      </c>
      <c r="F102" s="9" t="s">
        <v>461</v>
      </c>
      <c r="G102" s="10" t="s">
        <v>565</v>
      </c>
      <c r="H102" s="9" t="s">
        <v>634</v>
      </c>
      <c r="I102" s="10" t="s">
        <v>743</v>
      </c>
      <c r="J102" s="9">
        <v>1</v>
      </c>
    </row>
    <row r="103" spans="1:10" ht="15.75" thickBot="1" x14ac:dyDescent="0.3">
      <c r="A103" s="1"/>
      <c r="B103" s="11">
        <f>ROW(B103) - ROW($B$2)</f>
        <v>101</v>
      </c>
      <c r="C103" s="12"/>
      <c r="D103" s="7" t="s">
        <v>137</v>
      </c>
      <c r="E103" s="8" t="s">
        <v>314</v>
      </c>
      <c r="F103" s="7" t="s">
        <v>461</v>
      </c>
      <c r="G103" s="8" t="s">
        <v>566</v>
      </c>
      <c r="H103" s="7" t="s">
        <v>634</v>
      </c>
      <c r="I103" s="8" t="s">
        <v>744</v>
      </c>
      <c r="J103" s="7">
        <v>1</v>
      </c>
    </row>
    <row r="104" spans="1:10" ht="36.75" thickBot="1" x14ac:dyDescent="0.3">
      <c r="A104" s="1"/>
      <c r="B104" s="11">
        <f t="shared" si="0"/>
        <v>102</v>
      </c>
      <c r="C104" s="13"/>
      <c r="D104" s="9" t="s">
        <v>138</v>
      </c>
      <c r="E104" s="10" t="s">
        <v>315</v>
      </c>
      <c r="F104" s="9" t="s">
        <v>461</v>
      </c>
      <c r="G104" s="10"/>
      <c r="H104" s="9" t="s">
        <v>683</v>
      </c>
      <c r="I104" s="10" t="s">
        <v>745</v>
      </c>
      <c r="J104" s="9">
        <v>1</v>
      </c>
    </row>
    <row r="105" spans="1:10" ht="36.75" thickBot="1" x14ac:dyDescent="0.3">
      <c r="A105" s="1"/>
      <c r="B105" s="11">
        <f>ROW(B105) - ROW($B$2)</f>
        <v>103</v>
      </c>
      <c r="C105" s="12" t="s">
        <v>29</v>
      </c>
      <c r="D105" s="7" t="s">
        <v>139</v>
      </c>
      <c r="E105" s="8" t="s">
        <v>316</v>
      </c>
      <c r="F105" s="7" t="s">
        <v>461</v>
      </c>
      <c r="G105" s="8" t="s">
        <v>567</v>
      </c>
      <c r="H105" s="7" t="s">
        <v>634</v>
      </c>
      <c r="I105" s="8" t="s">
        <v>746</v>
      </c>
      <c r="J105" s="7">
        <v>22</v>
      </c>
    </row>
    <row r="106" spans="1:10" ht="24.75" thickBot="1" x14ac:dyDescent="0.3">
      <c r="A106" s="1"/>
      <c r="B106" s="11">
        <f t="shared" si="0"/>
        <v>104</v>
      </c>
      <c r="C106" s="13" t="s">
        <v>30</v>
      </c>
      <c r="D106" s="9" t="s">
        <v>140</v>
      </c>
      <c r="E106" s="10" t="s">
        <v>317</v>
      </c>
      <c r="F106" s="9" t="s">
        <v>461</v>
      </c>
      <c r="G106" s="10" t="s">
        <v>568</v>
      </c>
      <c r="H106" s="9" t="s">
        <v>634</v>
      </c>
      <c r="I106" s="10" t="s">
        <v>747</v>
      </c>
      <c r="J106" s="9">
        <v>18</v>
      </c>
    </row>
    <row r="107" spans="1:10" ht="15.75" thickBot="1" x14ac:dyDescent="0.3">
      <c r="A107" s="1"/>
      <c r="B107" s="11">
        <f>ROW(B107) - ROW($B$2)</f>
        <v>105</v>
      </c>
      <c r="C107" s="12" t="s">
        <v>31</v>
      </c>
      <c r="D107" s="7" t="s">
        <v>141</v>
      </c>
      <c r="E107" s="8" t="s">
        <v>318</v>
      </c>
      <c r="F107" s="7" t="s">
        <v>461</v>
      </c>
      <c r="G107" s="8" t="s">
        <v>569</v>
      </c>
      <c r="H107" s="7" t="s">
        <v>634</v>
      </c>
      <c r="I107" s="8" t="s">
        <v>748</v>
      </c>
      <c r="J107" s="7">
        <v>2</v>
      </c>
    </row>
    <row r="108" spans="1:10" ht="48.75" thickBot="1" x14ac:dyDescent="0.3">
      <c r="A108" s="1"/>
      <c r="B108" s="11">
        <f t="shared" si="0"/>
        <v>106</v>
      </c>
      <c r="C108" s="13"/>
      <c r="D108" s="9" t="s">
        <v>142</v>
      </c>
      <c r="E108" s="10" t="s">
        <v>319</v>
      </c>
      <c r="F108" s="9" t="s">
        <v>461</v>
      </c>
      <c r="G108" s="10" t="s">
        <v>570</v>
      </c>
      <c r="H108" s="9" t="s">
        <v>684</v>
      </c>
      <c r="I108" s="10" t="s">
        <v>749</v>
      </c>
      <c r="J108" s="9">
        <v>1</v>
      </c>
    </row>
    <row r="109" spans="1:10" ht="15.75" thickBot="1" x14ac:dyDescent="0.3">
      <c r="A109" s="1"/>
      <c r="B109" s="11">
        <f>ROW(B109) - ROW($B$2)</f>
        <v>107</v>
      </c>
      <c r="C109" s="12" t="s">
        <v>31</v>
      </c>
      <c r="D109" s="7" t="s">
        <v>143</v>
      </c>
      <c r="E109" s="8" t="s">
        <v>320</v>
      </c>
      <c r="F109" s="7" t="s">
        <v>462</v>
      </c>
      <c r="G109" s="8" t="s">
        <v>571</v>
      </c>
      <c r="H109" s="7" t="s">
        <v>634</v>
      </c>
      <c r="I109" s="8" t="s">
        <v>746</v>
      </c>
      <c r="J109" s="7">
        <v>3</v>
      </c>
    </row>
    <row r="110" spans="1:10" ht="15.75" thickBot="1" x14ac:dyDescent="0.3">
      <c r="A110" s="1"/>
      <c r="B110" s="11">
        <f t="shared" si="0"/>
        <v>108</v>
      </c>
      <c r="C110" s="13" t="s">
        <v>31</v>
      </c>
      <c r="D110" s="9" t="s">
        <v>144</v>
      </c>
      <c r="E110" s="10" t="s">
        <v>321</v>
      </c>
      <c r="F110" s="9" t="s">
        <v>462</v>
      </c>
      <c r="G110" s="10"/>
      <c r="H110" s="9"/>
      <c r="I110" s="10" t="s">
        <v>750</v>
      </c>
      <c r="J110" s="9">
        <v>1</v>
      </c>
    </row>
    <row r="111" spans="1:10" ht="15.75" thickBot="1" x14ac:dyDescent="0.3">
      <c r="A111" s="1"/>
      <c r="B111" s="11">
        <f>ROW(B111) - ROW($B$2)</f>
        <v>109</v>
      </c>
      <c r="C111" s="12"/>
      <c r="D111" s="7" t="s">
        <v>145</v>
      </c>
      <c r="E111" s="8" t="s">
        <v>322</v>
      </c>
      <c r="F111" s="7" t="s">
        <v>461</v>
      </c>
      <c r="G111" s="8" t="s">
        <v>572</v>
      </c>
      <c r="H111" s="7" t="s">
        <v>634</v>
      </c>
      <c r="I111" s="8" t="s">
        <v>751</v>
      </c>
      <c r="J111" s="7">
        <v>3</v>
      </c>
    </row>
    <row r="112" spans="1:10" ht="15.75" thickBot="1" x14ac:dyDescent="0.3">
      <c r="A112" s="1"/>
      <c r="B112" s="11">
        <f t="shared" si="0"/>
        <v>110</v>
      </c>
      <c r="C112" s="13"/>
      <c r="D112" s="9" t="s">
        <v>146</v>
      </c>
      <c r="E112" s="10" t="s">
        <v>323</v>
      </c>
      <c r="F112" s="9" t="s">
        <v>462</v>
      </c>
      <c r="G112" s="10" t="s">
        <v>573</v>
      </c>
      <c r="H112" s="9" t="s">
        <v>634</v>
      </c>
      <c r="I112" s="10" t="s">
        <v>752</v>
      </c>
      <c r="J112" s="9">
        <v>1</v>
      </c>
    </row>
    <row r="113" spans="1:10" ht="24.75" thickBot="1" x14ac:dyDescent="0.3">
      <c r="A113" s="1"/>
      <c r="B113" s="11">
        <f>ROW(B113) - ROW($B$2)</f>
        <v>111</v>
      </c>
      <c r="C113" s="12" t="s">
        <v>29</v>
      </c>
      <c r="D113" s="7" t="s">
        <v>147</v>
      </c>
      <c r="E113" s="8" t="s">
        <v>324</v>
      </c>
      <c r="F113" s="7" t="s">
        <v>461</v>
      </c>
      <c r="G113" s="8" t="s">
        <v>574</v>
      </c>
      <c r="H113" s="7" t="s">
        <v>685</v>
      </c>
      <c r="I113" s="8" t="s">
        <v>752</v>
      </c>
      <c r="J113" s="7">
        <v>9</v>
      </c>
    </row>
    <row r="114" spans="1:10" ht="24.75" thickBot="1" x14ac:dyDescent="0.3">
      <c r="A114" s="1"/>
      <c r="B114" s="11">
        <f t="shared" si="0"/>
        <v>112</v>
      </c>
      <c r="C114" s="13"/>
      <c r="D114" s="9" t="s">
        <v>148</v>
      </c>
      <c r="E114" s="10" t="s">
        <v>325</v>
      </c>
      <c r="F114" s="9" t="s">
        <v>461</v>
      </c>
      <c r="G114" s="10" t="s">
        <v>575</v>
      </c>
      <c r="H114" s="9" t="s">
        <v>685</v>
      </c>
      <c r="I114" s="10" t="s">
        <v>753</v>
      </c>
      <c r="J114" s="9">
        <v>8</v>
      </c>
    </row>
    <row r="115" spans="1:10" ht="15.75" thickBot="1" x14ac:dyDescent="0.3">
      <c r="A115" s="1"/>
      <c r="B115" s="11">
        <f>ROW(B115) - ROW($B$2)</f>
        <v>113</v>
      </c>
      <c r="C115" s="12"/>
      <c r="D115" s="7" t="s">
        <v>149</v>
      </c>
      <c r="E115" s="8" t="s">
        <v>326</v>
      </c>
      <c r="F115" s="7" t="s">
        <v>461</v>
      </c>
      <c r="G115" s="8" t="s">
        <v>576</v>
      </c>
      <c r="H115" s="7" t="s">
        <v>634</v>
      </c>
      <c r="I115" s="8" t="s">
        <v>754</v>
      </c>
      <c r="J115" s="7">
        <v>2</v>
      </c>
    </row>
    <row r="116" spans="1:10" ht="24.75" thickBot="1" x14ac:dyDescent="0.3">
      <c r="A116" s="1"/>
      <c r="B116" s="11">
        <f t="shared" si="0"/>
        <v>114</v>
      </c>
      <c r="C116" s="13"/>
      <c r="D116" s="9" t="s">
        <v>150</v>
      </c>
      <c r="E116" s="10" t="s">
        <v>327</v>
      </c>
      <c r="F116" s="9" t="s">
        <v>461</v>
      </c>
      <c r="G116" s="10" t="s">
        <v>577</v>
      </c>
      <c r="H116" s="9" t="s">
        <v>634</v>
      </c>
      <c r="I116" s="10" t="s">
        <v>755</v>
      </c>
      <c r="J116" s="9">
        <v>11</v>
      </c>
    </row>
    <row r="117" spans="1:10" ht="24.75" thickBot="1" x14ac:dyDescent="0.3">
      <c r="A117" s="1"/>
      <c r="B117" s="11">
        <f>ROW(B117) - ROW($B$2)</f>
        <v>115</v>
      </c>
      <c r="C117" s="12" t="s">
        <v>29</v>
      </c>
      <c r="D117" s="7" t="s">
        <v>151</v>
      </c>
      <c r="E117" s="8" t="s">
        <v>328</v>
      </c>
      <c r="F117" s="7" t="s">
        <v>461</v>
      </c>
      <c r="G117" s="8" t="s">
        <v>578</v>
      </c>
      <c r="H117" s="7" t="s">
        <v>634</v>
      </c>
      <c r="I117" s="8" t="s">
        <v>756</v>
      </c>
      <c r="J117" s="7">
        <v>3</v>
      </c>
    </row>
    <row r="118" spans="1:10" ht="24.75" thickBot="1" x14ac:dyDescent="0.3">
      <c r="A118" s="1"/>
      <c r="B118" s="11">
        <f t="shared" si="0"/>
        <v>116</v>
      </c>
      <c r="C118" s="13" t="s">
        <v>31</v>
      </c>
      <c r="D118" s="9" t="s">
        <v>152</v>
      </c>
      <c r="E118" s="10" t="s">
        <v>329</v>
      </c>
      <c r="F118" s="9" t="s">
        <v>462</v>
      </c>
      <c r="G118" s="10" t="s">
        <v>579</v>
      </c>
      <c r="H118" s="9" t="s">
        <v>634</v>
      </c>
      <c r="I118" s="10" t="s">
        <v>747</v>
      </c>
      <c r="J118" s="9">
        <v>11</v>
      </c>
    </row>
    <row r="119" spans="1:10" ht="15.75" thickBot="1" x14ac:dyDescent="0.3">
      <c r="A119" s="1"/>
      <c r="B119" s="11">
        <f>ROW(B119) - ROW($B$2)</f>
        <v>117</v>
      </c>
      <c r="C119" s="12"/>
      <c r="D119" s="7" t="s">
        <v>153</v>
      </c>
      <c r="E119" s="8" t="s">
        <v>330</v>
      </c>
      <c r="F119" s="7" t="s">
        <v>461</v>
      </c>
      <c r="G119" s="8" t="s">
        <v>580</v>
      </c>
      <c r="H119" s="7" t="s">
        <v>634</v>
      </c>
      <c r="I119" s="8" t="s">
        <v>757</v>
      </c>
      <c r="J119" s="7">
        <v>1</v>
      </c>
    </row>
    <row r="120" spans="1:10" ht="15.75" thickBot="1" x14ac:dyDescent="0.3">
      <c r="A120" s="1"/>
      <c r="B120" s="11">
        <f t="shared" si="0"/>
        <v>118</v>
      </c>
      <c r="C120" s="13" t="s">
        <v>31</v>
      </c>
      <c r="D120" s="9" t="s">
        <v>154</v>
      </c>
      <c r="E120" s="10" t="s">
        <v>331</v>
      </c>
      <c r="F120" s="9" t="s">
        <v>461</v>
      </c>
      <c r="G120" s="10" t="s">
        <v>581</v>
      </c>
      <c r="H120" s="9" t="s">
        <v>634</v>
      </c>
      <c r="I120" s="10" t="s">
        <v>758</v>
      </c>
      <c r="J120" s="9">
        <v>1</v>
      </c>
    </row>
    <row r="121" spans="1:10" ht="15.75" thickBot="1" x14ac:dyDescent="0.3">
      <c r="A121" s="1"/>
      <c r="B121" s="11">
        <f>ROW(B121) - ROW($B$2)</f>
        <v>119</v>
      </c>
      <c r="C121" s="12" t="s">
        <v>31</v>
      </c>
      <c r="D121" s="7" t="s">
        <v>155</v>
      </c>
      <c r="E121" s="8" t="s">
        <v>332</v>
      </c>
      <c r="F121" s="7" t="s">
        <v>462</v>
      </c>
      <c r="G121" s="8" t="s">
        <v>582</v>
      </c>
      <c r="H121" s="7" t="s">
        <v>634</v>
      </c>
      <c r="I121" s="8" t="s">
        <v>759</v>
      </c>
      <c r="J121" s="7">
        <v>4</v>
      </c>
    </row>
    <row r="122" spans="1:10" ht="15.75" thickBot="1" x14ac:dyDescent="0.3">
      <c r="A122" s="1"/>
      <c r="B122" s="11">
        <f t="shared" si="0"/>
        <v>120</v>
      </c>
      <c r="C122" s="13"/>
      <c r="D122" s="9" t="s">
        <v>156</v>
      </c>
      <c r="E122" s="10" t="s">
        <v>333</v>
      </c>
      <c r="F122" s="9" t="s">
        <v>462</v>
      </c>
      <c r="G122" s="10" t="s">
        <v>583</v>
      </c>
      <c r="H122" s="9" t="s">
        <v>686</v>
      </c>
      <c r="I122" s="10" t="s">
        <v>760</v>
      </c>
      <c r="J122" s="9">
        <v>2</v>
      </c>
    </row>
    <row r="123" spans="1:10" ht="15.75" thickBot="1" x14ac:dyDescent="0.3">
      <c r="A123" s="1"/>
      <c r="B123" s="11">
        <f>ROW(B123) - ROW($B$2)</f>
        <v>121</v>
      </c>
      <c r="C123" s="12" t="s">
        <v>31</v>
      </c>
      <c r="D123" s="7" t="s">
        <v>157</v>
      </c>
      <c r="E123" s="8" t="s">
        <v>334</v>
      </c>
      <c r="F123" s="7" t="s">
        <v>463</v>
      </c>
      <c r="G123" s="8" t="s">
        <v>584</v>
      </c>
      <c r="H123" s="7" t="s">
        <v>634</v>
      </c>
      <c r="I123" s="8" t="s">
        <v>761</v>
      </c>
      <c r="J123" s="7">
        <v>1</v>
      </c>
    </row>
    <row r="124" spans="1:10" ht="15.75" thickBot="1" x14ac:dyDescent="0.3">
      <c r="A124" s="1"/>
      <c r="B124" s="11">
        <f t="shared" si="0"/>
        <v>122</v>
      </c>
      <c r="C124" s="13" t="s">
        <v>31</v>
      </c>
      <c r="D124" s="9" t="s">
        <v>158</v>
      </c>
      <c r="E124" s="10" t="s">
        <v>335</v>
      </c>
      <c r="F124" s="9" t="s">
        <v>464</v>
      </c>
      <c r="G124" s="10" t="s">
        <v>585</v>
      </c>
      <c r="H124" s="9" t="s">
        <v>634</v>
      </c>
      <c r="I124" s="10" t="s">
        <v>755</v>
      </c>
      <c r="J124" s="9">
        <v>1</v>
      </c>
    </row>
    <row r="125" spans="1:10" ht="15.75" thickBot="1" x14ac:dyDescent="0.3">
      <c r="A125" s="1"/>
      <c r="B125" s="11">
        <f>ROW(B125) - ROW($B$2)</f>
        <v>123</v>
      </c>
      <c r="C125" s="12"/>
      <c r="D125" s="7" t="s">
        <v>159</v>
      </c>
      <c r="E125" s="8" t="s">
        <v>336</v>
      </c>
      <c r="F125" s="7" t="s">
        <v>461</v>
      </c>
      <c r="G125" s="8" t="s">
        <v>586</v>
      </c>
      <c r="H125" s="7" t="s">
        <v>634</v>
      </c>
      <c r="I125" s="8" t="s">
        <v>762</v>
      </c>
      <c r="J125" s="7">
        <v>2</v>
      </c>
    </row>
    <row r="126" spans="1:10" ht="15.75" thickBot="1" x14ac:dyDescent="0.3">
      <c r="A126" s="1"/>
      <c r="B126" s="11">
        <f t="shared" si="0"/>
        <v>124</v>
      </c>
      <c r="C126" s="13"/>
      <c r="D126" s="9" t="s">
        <v>160</v>
      </c>
      <c r="E126" s="10" t="s">
        <v>337</v>
      </c>
      <c r="F126" s="9" t="s">
        <v>461</v>
      </c>
      <c r="G126" s="10" t="s">
        <v>587</v>
      </c>
      <c r="H126" s="9" t="s">
        <v>634</v>
      </c>
      <c r="I126" s="10" t="s">
        <v>763</v>
      </c>
      <c r="J126" s="9">
        <v>2</v>
      </c>
    </row>
    <row r="127" spans="1:10" ht="15.75" thickBot="1" x14ac:dyDescent="0.3">
      <c r="A127" s="1"/>
      <c r="B127" s="11">
        <f>ROW(B127) - ROW($B$2)</f>
        <v>125</v>
      </c>
      <c r="C127" s="12"/>
      <c r="D127" s="7" t="s">
        <v>161</v>
      </c>
      <c r="E127" s="8" t="s">
        <v>338</v>
      </c>
      <c r="F127" s="7" t="s">
        <v>461</v>
      </c>
      <c r="G127" s="8" t="s">
        <v>588</v>
      </c>
      <c r="H127" s="7" t="s">
        <v>634</v>
      </c>
      <c r="I127" s="8" t="s">
        <v>761</v>
      </c>
      <c r="J127" s="7">
        <v>4</v>
      </c>
    </row>
    <row r="128" spans="1:10" ht="36.75" thickBot="1" x14ac:dyDescent="0.3">
      <c r="A128" s="1"/>
      <c r="B128" s="11">
        <f t="shared" si="0"/>
        <v>126</v>
      </c>
      <c r="C128" s="13" t="s">
        <v>29</v>
      </c>
      <c r="D128" s="9" t="s">
        <v>162</v>
      </c>
      <c r="E128" s="10" t="s">
        <v>339</v>
      </c>
      <c r="F128" s="9" t="s">
        <v>461</v>
      </c>
      <c r="G128" s="10" t="s">
        <v>589</v>
      </c>
      <c r="H128" s="9" t="s">
        <v>634</v>
      </c>
      <c r="I128" s="10" t="s">
        <v>764</v>
      </c>
      <c r="J128" s="9">
        <v>4</v>
      </c>
    </row>
    <row r="129" spans="1:10" ht="15.75" thickBot="1" x14ac:dyDescent="0.3">
      <c r="A129" s="1"/>
      <c r="B129" s="11">
        <f>ROW(B129) - ROW($B$2)</f>
        <v>127</v>
      </c>
      <c r="C129" s="12"/>
      <c r="D129" s="7" t="s">
        <v>163</v>
      </c>
      <c r="E129" s="8" t="s">
        <v>340</v>
      </c>
      <c r="F129" s="7" t="s">
        <v>461</v>
      </c>
      <c r="G129" s="8" t="s">
        <v>590</v>
      </c>
      <c r="H129" s="7" t="s">
        <v>634</v>
      </c>
      <c r="I129" s="8" t="s">
        <v>765</v>
      </c>
      <c r="J129" s="7">
        <v>2</v>
      </c>
    </row>
    <row r="130" spans="1:10" ht="15.75" thickBot="1" x14ac:dyDescent="0.3">
      <c r="A130" s="1"/>
      <c r="B130" s="11">
        <f t="shared" si="0"/>
        <v>128</v>
      </c>
      <c r="C130" s="13"/>
      <c r="D130" s="9" t="s">
        <v>164</v>
      </c>
      <c r="E130" s="10" t="s">
        <v>341</v>
      </c>
      <c r="F130" s="9" t="s">
        <v>465</v>
      </c>
      <c r="G130" s="10"/>
      <c r="H130" s="9" t="s">
        <v>687</v>
      </c>
      <c r="I130" s="10" t="s">
        <v>766</v>
      </c>
      <c r="J130" s="9">
        <v>2</v>
      </c>
    </row>
    <row r="131" spans="1:10" ht="36.75" thickBot="1" x14ac:dyDescent="0.3">
      <c r="A131" s="1"/>
      <c r="B131" s="11">
        <f>ROW(B131) - ROW($B$2)</f>
        <v>129</v>
      </c>
      <c r="C131" s="12"/>
      <c r="D131" s="7" t="s">
        <v>165</v>
      </c>
      <c r="E131" s="8" t="s">
        <v>342</v>
      </c>
      <c r="F131" s="7" t="s">
        <v>461</v>
      </c>
      <c r="G131" s="8" t="s">
        <v>591</v>
      </c>
      <c r="H131" s="7" t="s">
        <v>634</v>
      </c>
      <c r="I131" s="8" t="s">
        <v>767</v>
      </c>
      <c r="J131" s="7">
        <v>2</v>
      </c>
    </row>
    <row r="132" spans="1:10" ht="15.75" thickBot="1" x14ac:dyDescent="0.3">
      <c r="A132" s="1"/>
      <c r="B132" s="11">
        <f t="shared" si="0"/>
        <v>130</v>
      </c>
      <c r="C132" s="13"/>
      <c r="D132" s="9" t="s">
        <v>166</v>
      </c>
      <c r="E132" s="10" t="s">
        <v>343</v>
      </c>
      <c r="F132" s="9" t="s">
        <v>461</v>
      </c>
      <c r="G132" s="10" t="s">
        <v>592</v>
      </c>
      <c r="H132" s="9" t="s">
        <v>634</v>
      </c>
      <c r="I132" s="10" t="s">
        <v>768</v>
      </c>
      <c r="J132" s="9">
        <v>1</v>
      </c>
    </row>
    <row r="133" spans="1:10" ht="15.75" thickBot="1" x14ac:dyDescent="0.3">
      <c r="A133" s="1"/>
      <c r="B133" s="11">
        <f>ROW(B133) - ROW($B$2)</f>
        <v>131</v>
      </c>
      <c r="C133" s="12"/>
      <c r="D133" s="7" t="s">
        <v>167</v>
      </c>
      <c r="E133" s="8" t="s">
        <v>344</v>
      </c>
      <c r="F133" s="7" t="s">
        <v>466</v>
      </c>
      <c r="G133" s="8" t="s">
        <v>593</v>
      </c>
      <c r="H133" s="7" t="s">
        <v>634</v>
      </c>
      <c r="I133" s="8" t="s">
        <v>769</v>
      </c>
      <c r="J133" s="7">
        <v>1</v>
      </c>
    </row>
    <row r="134" spans="1:10" ht="15.75" thickBot="1" x14ac:dyDescent="0.3">
      <c r="A134" s="1"/>
      <c r="B134" s="11">
        <f t="shared" si="0"/>
        <v>132</v>
      </c>
      <c r="C134" s="13" t="s">
        <v>31</v>
      </c>
      <c r="D134" s="9" t="s">
        <v>168</v>
      </c>
      <c r="E134" s="10" t="s">
        <v>345</v>
      </c>
      <c r="F134" s="9" t="s">
        <v>466</v>
      </c>
      <c r="G134" s="10" t="s">
        <v>594</v>
      </c>
      <c r="H134" s="9" t="s">
        <v>688</v>
      </c>
      <c r="I134" s="10" t="s">
        <v>770</v>
      </c>
      <c r="J134" s="9">
        <v>2</v>
      </c>
    </row>
    <row r="135" spans="1:10" ht="15.75" thickBot="1" x14ac:dyDescent="0.3">
      <c r="A135" s="1"/>
      <c r="B135" s="11">
        <f>ROW(B135) - ROW($B$2)</f>
        <v>133</v>
      </c>
      <c r="C135" s="12"/>
      <c r="D135" s="7" t="s">
        <v>169</v>
      </c>
      <c r="E135" s="8" t="s">
        <v>346</v>
      </c>
      <c r="F135" s="7" t="s">
        <v>466</v>
      </c>
      <c r="G135" s="8" t="s">
        <v>595</v>
      </c>
      <c r="H135" s="7" t="s">
        <v>634</v>
      </c>
      <c r="I135" s="8" t="s">
        <v>771</v>
      </c>
      <c r="J135" s="7">
        <v>1</v>
      </c>
    </row>
    <row r="136" spans="1:10" ht="15.75" thickBot="1" x14ac:dyDescent="0.3">
      <c r="A136" s="1"/>
      <c r="B136" s="11">
        <f t="shared" si="0"/>
        <v>134</v>
      </c>
      <c r="C136" s="13"/>
      <c r="D136" s="9" t="s">
        <v>170</v>
      </c>
      <c r="E136" s="10" t="s">
        <v>347</v>
      </c>
      <c r="F136" s="9" t="s">
        <v>466</v>
      </c>
      <c r="G136" s="10" t="s">
        <v>596</v>
      </c>
      <c r="H136" s="9" t="s">
        <v>634</v>
      </c>
      <c r="I136" s="10" t="s">
        <v>772</v>
      </c>
      <c r="J136" s="9">
        <v>2</v>
      </c>
    </row>
    <row r="137" spans="1:10" ht="15.75" thickBot="1" x14ac:dyDescent="0.3">
      <c r="A137" s="1"/>
      <c r="B137" s="11">
        <f>ROW(B137) - ROW($B$2)</f>
        <v>135</v>
      </c>
      <c r="C137" s="12" t="s">
        <v>31</v>
      </c>
      <c r="D137" s="7" t="s">
        <v>171</v>
      </c>
      <c r="E137" s="8" t="s">
        <v>348</v>
      </c>
      <c r="F137" s="7" t="s">
        <v>463</v>
      </c>
      <c r="G137" s="8" t="s">
        <v>597</v>
      </c>
      <c r="H137" s="7" t="s">
        <v>688</v>
      </c>
      <c r="I137" s="8" t="s">
        <v>773</v>
      </c>
      <c r="J137" s="7">
        <v>1</v>
      </c>
    </row>
    <row r="138" spans="1:10" ht="15.75" thickBot="1" x14ac:dyDescent="0.3">
      <c r="A138" s="1"/>
      <c r="B138" s="11">
        <f t="shared" si="0"/>
        <v>136</v>
      </c>
      <c r="C138" s="13"/>
      <c r="D138" s="9" t="s">
        <v>172</v>
      </c>
      <c r="E138" s="10" t="s">
        <v>349</v>
      </c>
      <c r="F138" s="9" t="s">
        <v>467</v>
      </c>
      <c r="G138" s="10" t="s">
        <v>598</v>
      </c>
      <c r="H138" s="9" t="s">
        <v>634</v>
      </c>
      <c r="I138" s="10" t="s">
        <v>774</v>
      </c>
      <c r="J138" s="9">
        <v>1</v>
      </c>
    </row>
    <row r="139" spans="1:10" ht="15.75" thickBot="1" x14ac:dyDescent="0.3">
      <c r="A139" s="1"/>
      <c r="B139" s="11">
        <f>ROW(B139) - ROW($B$2)</f>
        <v>137</v>
      </c>
      <c r="C139" s="12"/>
      <c r="D139" s="7" t="s">
        <v>173</v>
      </c>
      <c r="E139" s="8" t="s">
        <v>350</v>
      </c>
      <c r="F139" s="7" t="s">
        <v>462</v>
      </c>
      <c r="G139" s="8" t="s">
        <v>599</v>
      </c>
      <c r="H139" s="7" t="s">
        <v>634</v>
      </c>
      <c r="I139" s="8" t="s">
        <v>775</v>
      </c>
      <c r="J139" s="7">
        <v>1</v>
      </c>
    </row>
    <row r="140" spans="1:10" ht="15.75" thickBot="1" x14ac:dyDescent="0.3">
      <c r="A140" s="1"/>
      <c r="B140" s="11">
        <f t="shared" si="0"/>
        <v>138</v>
      </c>
      <c r="C140" s="13"/>
      <c r="D140" s="9" t="s">
        <v>174</v>
      </c>
      <c r="E140" s="10" t="s">
        <v>351</v>
      </c>
      <c r="F140" s="9" t="s">
        <v>461</v>
      </c>
      <c r="G140" s="10" t="s">
        <v>600</v>
      </c>
      <c r="H140" s="9" t="s">
        <v>683</v>
      </c>
      <c r="I140" s="10" t="s">
        <v>776</v>
      </c>
      <c r="J140" s="9">
        <v>1</v>
      </c>
    </row>
    <row r="141" spans="1:10" ht="15.75" thickBot="1" x14ac:dyDescent="0.3">
      <c r="A141" s="1"/>
      <c r="B141" s="11">
        <f>ROW(B141) - ROW($B$2)</f>
        <v>139</v>
      </c>
      <c r="C141" s="12" t="s">
        <v>31</v>
      </c>
      <c r="D141" s="7" t="s">
        <v>175</v>
      </c>
      <c r="E141" s="8" t="s">
        <v>352</v>
      </c>
      <c r="F141" s="7" t="s">
        <v>462</v>
      </c>
      <c r="G141" s="8" t="s">
        <v>601</v>
      </c>
      <c r="H141" s="7" t="s">
        <v>634</v>
      </c>
      <c r="I141" s="8" t="s">
        <v>777</v>
      </c>
      <c r="J141" s="7">
        <v>1</v>
      </c>
    </row>
    <row r="142" spans="1:10" ht="15.75" thickBot="1" x14ac:dyDescent="0.3">
      <c r="A142" s="1"/>
      <c r="B142" s="11">
        <f t="shared" si="0"/>
        <v>140</v>
      </c>
      <c r="C142" s="13"/>
      <c r="D142" s="9" t="s">
        <v>176</v>
      </c>
      <c r="E142" s="10" t="s">
        <v>353</v>
      </c>
      <c r="F142" s="9" t="s">
        <v>461</v>
      </c>
      <c r="G142" s="10" t="s">
        <v>602</v>
      </c>
      <c r="H142" s="9" t="s">
        <v>684</v>
      </c>
      <c r="I142" s="10" t="s">
        <v>778</v>
      </c>
      <c r="J142" s="9">
        <v>1</v>
      </c>
    </row>
    <row r="143" spans="1:10" ht="15.75" thickBot="1" x14ac:dyDescent="0.3">
      <c r="A143" s="1"/>
      <c r="B143" s="11">
        <f>ROW(B143) - ROW($B$2)</f>
        <v>141</v>
      </c>
      <c r="C143" s="12" t="s">
        <v>31</v>
      </c>
      <c r="D143" s="7" t="s">
        <v>177</v>
      </c>
      <c r="E143" s="8" t="s">
        <v>354</v>
      </c>
      <c r="F143" s="7" t="s">
        <v>462</v>
      </c>
      <c r="G143" s="8" t="s">
        <v>603</v>
      </c>
      <c r="H143" s="7" t="s">
        <v>634</v>
      </c>
      <c r="I143" s="8" t="s">
        <v>779</v>
      </c>
      <c r="J143" s="7">
        <v>1</v>
      </c>
    </row>
    <row r="144" spans="1:10" ht="48.75" thickBot="1" x14ac:dyDescent="0.3">
      <c r="A144" s="1"/>
      <c r="B144" s="11">
        <f t="shared" si="0"/>
        <v>142</v>
      </c>
      <c r="C144" s="13" t="s">
        <v>29</v>
      </c>
      <c r="D144" s="9" t="s">
        <v>178</v>
      </c>
      <c r="E144" s="10" t="s">
        <v>355</v>
      </c>
      <c r="F144" s="9" t="s">
        <v>466</v>
      </c>
      <c r="G144" s="10" t="s">
        <v>604</v>
      </c>
      <c r="H144" s="9" t="s">
        <v>689</v>
      </c>
      <c r="I144" s="10" t="s">
        <v>777</v>
      </c>
      <c r="J144" s="9">
        <v>2</v>
      </c>
    </row>
    <row r="145" spans="1:10" ht="15.75" thickBot="1" x14ac:dyDescent="0.3">
      <c r="A145" s="1"/>
      <c r="B145" s="11">
        <f>ROW(B145) - ROW($B$2)</f>
        <v>143</v>
      </c>
      <c r="C145" s="12" t="s">
        <v>31</v>
      </c>
      <c r="D145" s="7" t="s">
        <v>179</v>
      </c>
      <c r="E145" s="8" t="s">
        <v>356</v>
      </c>
      <c r="F145" s="7" t="s">
        <v>462</v>
      </c>
      <c r="G145" s="8" t="s">
        <v>605</v>
      </c>
      <c r="H145" s="7" t="s">
        <v>634</v>
      </c>
      <c r="I145" s="8" t="s">
        <v>780</v>
      </c>
      <c r="J145" s="7">
        <v>1</v>
      </c>
    </row>
    <row r="146" spans="1:10" ht="15.75" thickBot="1" x14ac:dyDescent="0.3">
      <c r="A146" s="1"/>
      <c r="B146" s="11">
        <f t="shared" si="0"/>
        <v>144</v>
      </c>
      <c r="C146" s="13"/>
      <c r="D146" s="9" t="s">
        <v>180</v>
      </c>
      <c r="E146" s="10" t="s">
        <v>357</v>
      </c>
      <c r="F146" s="9" t="s">
        <v>468</v>
      </c>
      <c r="G146" s="10" t="s">
        <v>606</v>
      </c>
      <c r="H146" s="9" t="s">
        <v>634</v>
      </c>
      <c r="I146" s="10" t="s">
        <v>761</v>
      </c>
      <c r="J146" s="9">
        <v>1</v>
      </c>
    </row>
    <row r="147" spans="1:10" ht="15.75" thickBot="1" x14ac:dyDescent="0.3">
      <c r="A147" s="1"/>
      <c r="B147" s="11">
        <f>ROW(B147) - ROW($B$2)</f>
        <v>145</v>
      </c>
      <c r="C147" s="12"/>
      <c r="D147" s="7" t="s">
        <v>181</v>
      </c>
      <c r="E147" s="8" t="s">
        <v>358</v>
      </c>
      <c r="F147" s="7" t="s">
        <v>468</v>
      </c>
      <c r="G147" s="8" t="s">
        <v>607</v>
      </c>
      <c r="H147" s="7" t="s">
        <v>634</v>
      </c>
      <c r="I147" s="8" t="s">
        <v>762</v>
      </c>
      <c r="J147" s="7">
        <v>1</v>
      </c>
    </row>
    <row r="148" spans="1:10" ht="15.75" thickBot="1" x14ac:dyDescent="0.3">
      <c r="A148" s="1"/>
      <c r="B148" s="11">
        <f t="shared" si="0"/>
        <v>146</v>
      </c>
      <c r="C148" s="13" t="s">
        <v>31</v>
      </c>
      <c r="D148" s="9" t="s">
        <v>182</v>
      </c>
      <c r="E148" s="10" t="s">
        <v>359</v>
      </c>
      <c r="F148" s="9" t="s">
        <v>462</v>
      </c>
      <c r="G148" s="10" t="s">
        <v>608</v>
      </c>
      <c r="H148" s="9" t="s">
        <v>634</v>
      </c>
      <c r="I148" s="10" t="s">
        <v>781</v>
      </c>
      <c r="J148" s="9">
        <v>6</v>
      </c>
    </row>
    <row r="149" spans="1:10" ht="15.75" thickBot="1" x14ac:dyDescent="0.3">
      <c r="A149" s="1"/>
      <c r="B149" s="11">
        <f>ROW(B149) - ROW($B$2)</f>
        <v>147</v>
      </c>
      <c r="C149" s="12"/>
      <c r="D149" s="7" t="s">
        <v>183</v>
      </c>
      <c r="E149" s="8" t="s">
        <v>360</v>
      </c>
      <c r="F149" s="7" t="s">
        <v>468</v>
      </c>
      <c r="G149" s="8" t="s">
        <v>609</v>
      </c>
      <c r="H149" s="7" t="s">
        <v>634</v>
      </c>
      <c r="I149" s="8" t="s">
        <v>755</v>
      </c>
      <c r="J149" s="7">
        <v>2</v>
      </c>
    </row>
    <row r="150" spans="1:10" ht="15.75" thickBot="1" x14ac:dyDescent="0.3">
      <c r="A150" s="1"/>
      <c r="B150" s="11">
        <f t="shared" si="0"/>
        <v>148</v>
      </c>
      <c r="C150" s="13" t="s">
        <v>31</v>
      </c>
      <c r="D150" s="9" t="s">
        <v>184</v>
      </c>
      <c r="E150" s="10" t="s">
        <v>361</v>
      </c>
      <c r="F150" s="9" t="s">
        <v>466</v>
      </c>
      <c r="G150" s="10"/>
      <c r="H150" s="9"/>
      <c r="I150" s="10" t="s">
        <v>782</v>
      </c>
      <c r="J150" s="9">
        <v>2</v>
      </c>
    </row>
    <row r="151" spans="1:10" ht="15.75" thickBot="1" x14ac:dyDescent="0.3">
      <c r="A151" s="1"/>
      <c r="B151" s="11">
        <f>ROW(B151) - ROW($B$2)</f>
        <v>149</v>
      </c>
      <c r="C151" s="12"/>
      <c r="D151" s="7" t="s">
        <v>185</v>
      </c>
      <c r="E151" s="8" t="s">
        <v>362</v>
      </c>
      <c r="F151" s="7" t="s">
        <v>462</v>
      </c>
      <c r="G151" s="8" t="s">
        <v>610</v>
      </c>
      <c r="H151" s="7" t="s">
        <v>686</v>
      </c>
      <c r="I151" s="8" t="s">
        <v>773</v>
      </c>
      <c r="J151" s="7">
        <v>1</v>
      </c>
    </row>
    <row r="152" spans="1:10" ht="36.75" thickBot="1" x14ac:dyDescent="0.3">
      <c r="A152" s="1"/>
      <c r="B152" s="11">
        <f t="shared" si="0"/>
        <v>150</v>
      </c>
      <c r="C152" s="13" t="s">
        <v>31</v>
      </c>
      <c r="D152" s="9" t="s">
        <v>186</v>
      </c>
      <c r="E152" s="10" t="s">
        <v>363</v>
      </c>
      <c r="F152" s="9" t="s">
        <v>469</v>
      </c>
      <c r="G152" s="10" t="s">
        <v>611</v>
      </c>
      <c r="H152" s="9" t="s">
        <v>684</v>
      </c>
      <c r="I152" s="10" t="s">
        <v>772</v>
      </c>
      <c r="J152" s="9">
        <v>2</v>
      </c>
    </row>
    <row r="153" spans="1:10" ht="15.75" thickBot="1" x14ac:dyDescent="0.3">
      <c r="A153" s="1"/>
      <c r="B153" s="11">
        <f>ROW(B153) - ROW($B$2)</f>
        <v>151</v>
      </c>
      <c r="C153" s="12" t="s">
        <v>31</v>
      </c>
      <c r="D153" s="7" t="s">
        <v>187</v>
      </c>
      <c r="E153" s="8" t="s">
        <v>364</v>
      </c>
      <c r="F153" s="7" t="s">
        <v>468</v>
      </c>
      <c r="G153" s="8" t="s">
        <v>612</v>
      </c>
      <c r="H153" s="7" t="s">
        <v>634</v>
      </c>
      <c r="I153" s="8" t="s">
        <v>760</v>
      </c>
      <c r="J153" s="7">
        <v>4</v>
      </c>
    </row>
    <row r="154" spans="1:10" ht="15.75" thickBot="1" x14ac:dyDescent="0.3">
      <c r="A154" s="1"/>
      <c r="B154" s="11">
        <f t="shared" si="0"/>
        <v>152</v>
      </c>
      <c r="C154" s="13" t="s">
        <v>31</v>
      </c>
      <c r="D154" s="9" t="s">
        <v>188</v>
      </c>
      <c r="E154" s="10" t="s">
        <v>365</v>
      </c>
      <c r="F154" s="9" t="s">
        <v>468</v>
      </c>
      <c r="G154" s="10" t="s">
        <v>613</v>
      </c>
      <c r="H154" s="9" t="s">
        <v>634</v>
      </c>
      <c r="I154" s="10" t="s">
        <v>746</v>
      </c>
      <c r="J154" s="9">
        <v>5</v>
      </c>
    </row>
    <row r="155" spans="1:10" ht="15.75" thickBot="1" x14ac:dyDescent="0.3">
      <c r="A155" s="1"/>
      <c r="B155" s="11">
        <f>ROW(B155) - ROW($B$2)</f>
        <v>153</v>
      </c>
      <c r="C155" s="12" t="s">
        <v>31</v>
      </c>
      <c r="D155" s="7" t="s">
        <v>189</v>
      </c>
      <c r="E155" s="8" t="s">
        <v>366</v>
      </c>
      <c r="F155" s="7" t="s">
        <v>466</v>
      </c>
      <c r="G155" s="8" t="s">
        <v>614</v>
      </c>
      <c r="H155" s="7" t="s">
        <v>688</v>
      </c>
      <c r="I155" s="8" t="s">
        <v>783</v>
      </c>
      <c r="J155" s="7">
        <v>1</v>
      </c>
    </row>
    <row r="156" spans="1:10" ht="15.75" thickBot="1" x14ac:dyDescent="0.3">
      <c r="A156" s="1"/>
      <c r="B156" s="11">
        <f t="shared" si="0"/>
        <v>154</v>
      </c>
      <c r="C156" s="13" t="s">
        <v>31</v>
      </c>
      <c r="D156" s="9" t="s">
        <v>190</v>
      </c>
      <c r="E156" s="10" t="s">
        <v>367</v>
      </c>
      <c r="F156" s="9" t="s">
        <v>466</v>
      </c>
      <c r="G156" s="10" t="s">
        <v>615</v>
      </c>
      <c r="H156" s="9" t="s">
        <v>634</v>
      </c>
      <c r="I156" s="10" t="s">
        <v>784</v>
      </c>
      <c r="J156" s="9">
        <v>1</v>
      </c>
    </row>
    <row r="157" spans="1:10" ht="15.75" thickBot="1" x14ac:dyDescent="0.3">
      <c r="A157" s="1"/>
      <c r="B157" s="11">
        <f>ROW(B157) - ROW($B$2)</f>
        <v>155</v>
      </c>
      <c r="C157" s="12" t="s">
        <v>31</v>
      </c>
      <c r="D157" s="7" t="s">
        <v>191</v>
      </c>
      <c r="E157" s="8" t="s">
        <v>368</v>
      </c>
      <c r="F157" s="7" t="s">
        <v>466</v>
      </c>
      <c r="G157" s="8"/>
      <c r="H157" s="7"/>
      <c r="I157" s="8" t="s">
        <v>785</v>
      </c>
      <c r="J157" s="7">
        <v>1</v>
      </c>
    </row>
    <row r="158" spans="1:10" ht="24.75" thickBot="1" x14ac:dyDescent="0.3">
      <c r="A158" s="1"/>
      <c r="B158" s="11">
        <f t="shared" si="0"/>
        <v>156</v>
      </c>
      <c r="C158" s="13"/>
      <c r="D158" s="9" t="s">
        <v>192</v>
      </c>
      <c r="E158" s="10" t="s">
        <v>369</v>
      </c>
      <c r="F158" s="9" t="s">
        <v>470</v>
      </c>
      <c r="G158" s="10"/>
      <c r="H158" s="9"/>
      <c r="I158" s="10" t="s">
        <v>470</v>
      </c>
      <c r="J158" s="9">
        <v>14</v>
      </c>
    </row>
    <row r="159" spans="1:10" ht="15.75" thickBot="1" x14ac:dyDescent="0.3">
      <c r="A159" s="1"/>
      <c r="B159" s="11">
        <f>ROW(B159) - ROW($B$2)</f>
        <v>157</v>
      </c>
      <c r="C159" s="12"/>
      <c r="D159" s="7" t="s">
        <v>193</v>
      </c>
      <c r="E159" s="8" t="s">
        <v>370</v>
      </c>
      <c r="F159" s="7" t="s">
        <v>471</v>
      </c>
      <c r="G159" s="8" t="s">
        <v>471</v>
      </c>
      <c r="H159" s="7" t="s">
        <v>690</v>
      </c>
      <c r="I159" s="8" t="s">
        <v>786</v>
      </c>
      <c r="J159" s="7">
        <v>2</v>
      </c>
    </row>
    <row r="160" spans="1:10" ht="15.75" thickBot="1" x14ac:dyDescent="0.3">
      <c r="A160" s="1"/>
      <c r="B160" s="11">
        <f t="shared" si="0"/>
        <v>158</v>
      </c>
      <c r="C160" s="13"/>
      <c r="D160" s="9" t="s">
        <v>194</v>
      </c>
      <c r="E160" s="10" t="s">
        <v>370</v>
      </c>
      <c r="F160" s="9" t="s">
        <v>471</v>
      </c>
      <c r="G160" s="10" t="s">
        <v>471</v>
      </c>
      <c r="H160" s="9" t="s">
        <v>690</v>
      </c>
      <c r="I160" s="10"/>
      <c r="J160" s="9">
        <v>1</v>
      </c>
    </row>
    <row r="161" spans="1:10" ht="48.75" thickBot="1" x14ac:dyDescent="0.3">
      <c r="A161" s="1"/>
      <c r="B161" s="11">
        <f>ROW(B161) - ROW($B$2)</f>
        <v>159</v>
      </c>
      <c r="C161" s="12" t="s">
        <v>32</v>
      </c>
      <c r="D161" s="7" t="s">
        <v>195</v>
      </c>
      <c r="E161" s="8" t="s">
        <v>371</v>
      </c>
      <c r="F161" s="7" t="s">
        <v>472</v>
      </c>
      <c r="G161" s="8" t="s">
        <v>472</v>
      </c>
      <c r="H161" s="7" t="s">
        <v>691</v>
      </c>
      <c r="I161" s="8"/>
      <c r="J161" s="7">
        <v>1</v>
      </c>
    </row>
    <row r="162" spans="1:10" ht="15.75" thickBot="1" x14ac:dyDescent="0.3">
      <c r="A162" s="1"/>
      <c r="B162" s="11">
        <f t="shared" si="0"/>
        <v>160</v>
      </c>
      <c r="C162" s="13"/>
      <c r="D162" s="9" t="s">
        <v>196</v>
      </c>
      <c r="E162" s="10" t="s">
        <v>372</v>
      </c>
      <c r="F162" s="9" t="s">
        <v>473</v>
      </c>
      <c r="G162" s="10" t="s">
        <v>616</v>
      </c>
      <c r="H162" s="9" t="s">
        <v>692</v>
      </c>
      <c r="I162" s="10" t="s">
        <v>616</v>
      </c>
      <c r="J162" s="9">
        <v>2</v>
      </c>
    </row>
    <row r="163" spans="1:10" ht="36.75" thickBot="1" x14ac:dyDescent="0.3">
      <c r="A163" s="1"/>
      <c r="B163" s="11">
        <f>ROW(B163) - ROW($B$2)</f>
        <v>161</v>
      </c>
      <c r="C163" s="12"/>
      <c r="D163" s="7" t="s">
        <v>197</v>
      </c>
      <c r="E163" s="8" t="s">
        <v>373</v>
      </c>
      <c r="F163" s="7" t="s">
        <v>473</v>
      </c>
      <c r="G163" s="8" t="s">
        <v>617</v>
      </c>
      <c r="H163" s="7" t="s">
        <v>693</v>
      </c>
      <c r="I163" s="8" t="s">
        <v>617</v>
      </c>
      <c r="J163" s="7">
        <v>1</v>
      </c>
    </row>
    <row r="164" spans="1:10" ht="24.75" thickBot="1" x14ac:dyDescent="0.3">
      <c r="A164" s="1"/>
      <c r="B164" s="11">
        <f t="shared" si="0"/>
        <v>162</v>
      </c>
      <c r="C164" s="13"/>
      <c r="D164" s="9" t="s">
        <v>198</v>
      </c>
      <c r="E164" s="10" t="s">
        <v>374</v>
      </c>
      <c r="F164" s="9" t="s">
        <v>474</v>
      </c>
      <c r="G164" s="10" t="s">
        <v>618</v>
      </c>
      <c r="H164" s="9" t="s">
        <v>693</v>
      </c>
      <c r="I164" s="10" t="s">
        <v>618</v>
      </c>
      <c r="J164" s="9">
        <v>1</v>
      </c>
    </row>
    <row r="165" spans="1:10" ht="15.75" thickBot="1" x14ac:dyDescent="0.3">
      <c r="A165" s="1"/>
      <c r="B165" s="11">
        <f>ROW(B165) - ROW($B$2)</f>
        <v>163</v>
      </c>
      <c r="C165" s="12" t="s">
        <v>33</v>
      </c>
      <c r="D165" s="7" t="s">
        <v>199</v>
      </c>
      <c r="E165" s="8" t="s">
        <v>375</v>
      </c>
      <c r="F165" s="7" t="s">
        <v>475</v>
      </c>
      <c r="G165" s="8" t="s">
        <v>619</v>
      </c>
      <c r="H165" s="7" t="s">
        <v>694</v>
      </c>
      <c r="I165" s="8" t="s">
        <v>619</v>
      </c>
      <c r="J165" s="7">
        <v>1</v>
      </c>
    </row>
    <row r="166" spans="1:10" ht="15.75" thickBot="1" x14ac:dyDescent="0.3">
      <c r="A166" s="1"/>
      <c r="B166" s="11">
        <f t="shared" si="0"/>
        <v>164</v>
      </c>
      <c r="C166" s="13"/>
      <c r="D166" s="9" t="s">
        <v>200</v>
      </c>
      <c r="E166" s="10" t="s">
        <v>376</v>
      </c>
      <c r="F166" s="9" t="s">
        <v>473</v>
      </c>
      <c r="G166" s="10" t="s">
        <v>620</v>
      </c>
      <c r="H166" s="9" t="s">
        <v>680</v>
      </c>
      <c r="I166" s="10" t="s">
        <v>620</v>
      </c>
      <c r="J166" s="9">
        <v>1</v>
      </c>
    </row>
    <row r="167" spans="1:10" ht="24.75" thickBot="1" x14ac:dyDescent="0.3">
      <c r="A167" s="1"/>
      <c r="B167" s="11">
        <f>ROW(B167) - ROW($B$2)</f>
        <v>165</v>
      </c>
      <c r="C167" s="12"/>
      <c r="D167" s="7" t="s">
        <v>201</v>
      </c>
      <c r="E167" s="8" t="s">
        <v>377</v>
      </c>
      <c r="F167" s="7" t="s">
        <v>476</v>
      </c>
      <c r="G167" s="8" t="s">
        <v>476</v>
      </c>
      <c r="H167" s="7" t="s">
        <v>695</v>
      </c>
      <c r="I167" s="8" t="s">
        <v>476</v>
      </c>
      <c r="J167" s="7">
        <v>1</v>
      </c>
    </row>
    <row r="168" spans="1:10" ht="36.75" thickBot="1" x14ac:dyDescent="0.3">
      <c r="A168" s="1"/>
      <c r="B168" s="11">
        <f t="shared" si="0"/>
        <v>166</v>
      </c>
      <c r="C168" s="13"/>
      <c r="D168" s="9" t="s">
        <v>202</v>
      </c>
      <c r="E168" s="10" t="s">
        <v>378</v>
      </c>
      <c r="F168" s="9" t="s">
        <v>477</v>
      </c>
      <c r="G168" s="10" t="s">
        <v>477</v>
      </c>
      <c r="H168" s="9" t="s">
        <v>696</v>
      </c>
      <c r="I168" s="10" t="s">
        <v>477</v>
      </c>
      <c r="J168" s="9">
        <v>4</v>
      </c>
    </row>
    <row r="169" spans="1:10" ht="15.75" thickBot="1" x14ac:dyDescent="0.3">
      <c r="A169" s="1"/>
      <c r="B169" s="11">
        <f>ROW(B169) - ROW($B$2)</f>
        <v>167</v>
      </c>
      <c r="C169" s="12"/>
      <c r="D169" s="7" t="s">
        <v>203</v>
      </c>
      <c r="E169" s="8" t="s">
        <v>379</v>
      </c>
      <c r="F169" s="7" t="s">
        <v>478</v>
      </c>
      <c r="G169" s="8" t="s">
        <v>621</v>
      </c>
      <c r="H169" s="7" t="s">
        <v>693</v>
      </c>
      <c r="I169" s="8" t="s">
        <v>621</v>
      </c>
      <c r="J169" s="7">
        <v>3</v>
      </c>
    </row>
    <row r="170" spans="1:10" ht="15.75" thickBot="1" x14ac:dyDescent="0.3">
      <c r="A170" s="1"/>
      <c r="B170" s="11">
        <f t="shared" si="0"/>
        <v>168</v>
      </c>
      <c r="C170" s="13"/>
      <c r="D170" s="9" t="s">
        <v>204</v>
      </c>
      <c r="E170" s="10" t="s">
        <v>380</v>
      </c>
      <c r="F170" s="9" t="s">
        <v>479</v>
      </c>
      <c r="G170" s="10" t="s">
        <v>622</v>
      </c>
      <c r="H170" s="9" t="s">
        <v>693</v>
      </c>
      <c r="I170" s="10" t="s">
        <v>622</v>
      </c>
      <c r="J170" s="9">
        <v>1</v>
      </c>
    </row>
    <row r="171" spans="1:10" ht="15.75" thickBot="1" x14ac:dyDescent="0.3">
      <c r="A171" s="1"/>
      <c r="B171" s="11">
        <f>ROW(B171) - ROW($B$2)</f>
        <v>169</v>
      </c>
      <c r="C171" s="12" t="s">
        <v>33</v>
      </c>
      <c r="D171" s="7" t="s">
        <v>205</v>
      </c>
      <c r="E171" s="8" t="s">
        <v>381</v>
      </c>
      <c r="F171" s="7" t="s">
        <v>480</v>
      </c>
      <c r="G171" s="8" t="s">
        <v>623</v>
      </c>
      <c r="H171" s="7" t="s">
        <v>693</v>
      </c>
      <c r="I171" s="8" t="s">
        <v>623</v>
      </c>
      <c r="J171" s="7">
        <v>1</v>
      </c>
    </row>
    <row r="172" spans="1:10" ht="24.75" thickBot="1" x14ac:dyDescent="0.3">
      <c r="A172" s="1"/>
      <c r="B172" s="11">
        <f t="shared" si="0"/>
        <v>170</v>
      </c>
      <c r="C172" s="13"/>
      <c r="D172" s="9" t="s">
        <v>206</v>
      </c>
      <c r="E172" s="10" t="s">
        <v>382</v>
      </c>
      <c r="F172" s="9" t="s">
        <v>481</v>
      </c>
      <c r="G172" s="10" t="s">
        <v>481</v>
      </c>
      <c r="H172" s="9" t="s">
        <v>697</v>
      </c>
      <c r="I172" s="10" t="s">
        <v>481</v>
      </c>
      <c r="J172" s="9">
        <v>1</v>
      </c>
    </row>
    <row r="173" spans="1:10" ht="48.75" thickBot="1" x14ac:dyDescent="0.3">
      <c r="A173" s="1"/>
      <c r="B173" s="11">
        <f>ROW(B173) - ROW($B$2)</f>
        <v>171</v>
      </c>
      <c r="C173" s="12"/>
      <c r="D173" s="7" t="s">
        <v>207</v>
      </c>
      <c r="E173" s="8" t="s">
        <v>383</v>
      </c>
      <c r="F173" s="7" t="s">
        <v>482</v>
      </c>
      <c r="G173" s="8" t="s">
        <v>624</v>
      </c>
      <c r="H173" s="7" t="s">
        <v>698</v>
      </c>
      <c r="I173" s="8" t="s">
        <v>624</v>
      </c>
      <c r="J173" s="7">
        <v>1</v>
      </c>
    </row>
    <row r="174" spans="1:10" ht="15.75" thickBot="1" x14ac:dyDescent="0.3">
      <c r="A174" s="1"/>
      <c r="B174" s="11">
        <f t="shared" si="0"/>
        <v>172</v>
      </c>
      <c r="C174" s="13" t="s">
        <v>33</v>
      </c>
      <c r="D174" s="9" t="s">
        <v>208</v>
      </c>
      <c r="E174" s="10" t="s">
        <v>384</v>
      </c>
      <c r="F174" s="9" t="s">
        <v>483</v>
      </c>
      <c r="G174" s="10" t="s">
        <v>625</v>
      </c>
      <c r="H174" s="9" t="s">
        <v>693</v>
      </c>
      <c r="I174" s="10" t="s">
        <v>625</v>
      </c>
      <c r="J174" s="9">
        <v>1</v>
      </c>
    </row>
    <row r="175" spans="1:10" ht="15.75" thickBot="1" x14ac:dyDescent="0.3">
      <c r="A175" s="1"/>
      <c r="B175" s="11">
        <f>ROW(B175) - ROW($B$2)</f>
        <v>173</v>
      </c>
      <c r="C175" s="12" t="s">
        <v>33</v>
      </c>
      <c r="D175" s="7" t="s">
        <v>209</v>
      </c>
      <c r="E175" s="8" t="s">
        <v>385</v>
      </c>
      <c r="F175" s="7" t="s">
        <v>484</v>
      </c>
      <c r="G175" s="8" t="s">
        <v>626</v>
      </c>
      <c r="H175" s="7" t="s">
        <v>699</v>
      </c>
      <c r="I175" s="8" t="s">
        <v>626</v>
      </c>
      <c r="J175" s="7">
        <v>1</v>
      </c>
    </row>
    <row r="176" spans="1:10" ht="15.75" thickBot="1" x14ac:dyDescent="0.3">
      <c r="A176" s="1"/>
      <c r="B176" s="11">
        <f t="shared" si="0"/>
        <v>174</v>
      </c>
      <c r="C176" s="13" t="s">
        <v>33</v>
      </c>
      <c r="D176" s="9" t="s">
        <v>210</v>
      </c>
      <c r="E176" s="10" t="s">
        <v>386</v>
      </c>
      <c r="F176" s="9" t="s">
        <v>485</v>
      </c>
      <c r="G176" s="10"/>
      <c r="H176" s="9"/>
      <c r="I176" s="10" t="s">
        <v>787</v>
      </c>
      <c r="J176" s="9">
        <v>1</v>
      </c>
    </row>
    <row r="177" spans="1:10" ht="24.75" thickBot="1" x14ac:dyDescent="0.3">
      <c r="A177" s="1"/>
      <c r="B177" s="11">
        <f>ROW(B177) - ROW($B$2)</f>
        <v>175</v>
      </c>
      <c r="C177" s="12" t="s">
        <v>9</v>
      </c>
      <c r="D177" s="7" t="s">
        <v>211</v>
      </c>
      <c r="E177" s="8" t="s">
        <v>387</v>
      </c>
      <c r="F177" s="7" t="s">
        <v>486</v>
      </c>
      <c r="G177" s="8" t="s">
        <v>627</v>
      </c>
      <c r="H177" s="7" t="s">
        <v>700</v>
      </c>
      <c r="I177" s="8" t="s">
        <v>627</v>
      </c>
      <c r="J177" s="7">
        <v>1</v>
      </c>
    </row>
    <row r="178" spans="1:10" ht="15.75" thickBot="1" x14ac:dyDescent="0.3">
      <c r="A178" s="1"/>
      <c r="B178" s="11">
        <f t="shared" si="0"/>
        <v>176</v>
      </c>
      <c r="C178" s="13"/>
      <c r="D178" s="9" t="s">
        <v>212</v>
      </c>
      <c r="E178" s="10" t="s">
        <v>388</v>
      </c>
      <c r="F178" s="9" t="s">
        <v>487</v>
      </c>
      <c r="G178" s="10" t="s">
        <v>487</v>
      </c>
      <c r="H178" s="9" t="s">
        <v>693</v>
      </c>
      <c r="I178" s="10" t="s">
        <v>487</v>
      </c>
      <c r="J178" s="9">
        <v>2</v>
      </c>
    </row>
    <row r="179" spans="1:10" ht="15.75" thickBot="1" x14ac:dyDescent="0.3">
      <c r="A179" s="1"/>
      <c r="B179" s="11">
        <f>ROW(B179) - ROW($B$2)</f>
        <v>177</v>
      </c>
      <c r="C179" s="12" t="s">
        <v>33</v>
      </c>
      <c r="D179" s="7" t="s">
        <v>213</v>
      </c>
      <c r="E179" s="8" t="s">
        <v>389</v>
      </c>
      <c r="F179" s="7" t="s">
        <v>488</v>
      </c>
      <c r="G179" s="8" t="s">
        <v>628</v>
      </c>
      <c r="H179" s="7" t="s">
        <v>701</v>
      </c>
      <c r="I179" s="8" t="s">
        <v>628</v>
      </c>
      <c r="J179" s="7">
        <v>1</v>
      </c>
    </row>
    <row r="180" spans="1:10" ht="24.75" thickBot="1" x14ac:dyDescent="0.3">
      <c r="A180" s="1"/>
      <c r="B180" s="11">
        <f t="shared" si="0"/>
        <v>178</v>
      </c>
      <c r="C180" s="13" t="s">
        <v>34</v>
      </c>
      <c r="D180" s="9" t="s">
        <v>214</v>
      </c>
      <c r="E180" s="10" t="s">
        <v>390</v>
      </c>
      <c r="F180" s="9" t="s">
        <v>489</v>
      </c>
      <c r="G180" s="10" t="s">
        <v>489</v>
      </c>
      <c r="H180" s="9" t="s">
        <v>702</v>
      </c>
      <c r="I180" s="10" t="s">
        <v>489</v>
      </c>
      <c r="J180" s="9">
        <v>1</v>
      </c>
    </row>
    <row r="181" spans="1:10" ht="24.75" thickBot="1" x14ac:dyDescent="0.3">
      <c r="A181" s="1"/>
      <c r="B181" s="11">
        <f>ROW(B181) - ROW($B$2)</f>
        <v>179</v>
      </c>
      <c r="C181" s="12" t="s">
        <v>33</v>
      </c>
      <c r="D181" s="7" t="s">
        <v>215</v>
      </c>
      <c r="E181" s="8" t="s">
        <v>374</v>
      </c>
      <c r="F181" s="7" t="s">
        <v>490</v>
      </c>
      <c r="G181" s="8" t="s">
        <v>618</v>
      </c>
      <c r="H181" s="7" t="s">
        <v>693</v>
      </c>
      <c r="I181" s="8" t="s">
        <v>618</v>
      </c>
      <c r="J181" s="7">
        <v>1</v>
      </c>
    </row>
    <row r="182" spans="1:10" ht="24.75" thickBot="1" x14ac:dyDescent="0.3">
      <c r="A182" s="1"/>
      <c r="B182" s="11">
        <f t="shared" si="0"/>
        <v>180</v>
      </c>
      <c r="C182" s="13" t="s">
        <v>35</v>
      </c>
      <c r="D182" s="9" t="s">
        <v>216</v>
      </c>
      <c r="E182" s="10" t="s">
        <v>391</v>
      </c>
      <c r="F182" s="9" t="s">
        <v>491</v>
      </c>
      <c r="G182" s="10" t="s">
        <v>629</v>
      </c>
      <c r="H182" s="9"/>
      <c r="I182" s="10" t="s">
        <v>788</v>
      </c>
      <c r="J182" s="9">
        <v>1</v>
      </c>
    </row>
    <row r="183" spans="1:10" ht="24.75" thickBot="1" x14ac:dyDescent="0.3">
      <c r="A183" s="1"/>
      <c r="B183" s="11">
        <f>ROW(B183) - ROW($B$2)</f>
        <v>181</v>
      </c>
      <c r="C183" s="12" t="s">
        <v>33</v>
      </c>
      <c r="D183" s="7" t="s">
        <v>217</v>
      </c>
      <c r="E183" s="8" t="s">
        <v>392</v>
      </c>
      <c r="F183" s="7" t="s">
        <v>478</v>
      </c>
      <c r="G183" s="8" t="s">
        <v>630</v>
      </c>
      <c r="H183" s="7" t="s">
        <v>703</v>
      </c>
      <c r="I183" s="8" t="s">
        <v>630</v>
      </c>
      <c r="J183" s="7">
        <v>1</v>
      </c>
    </row>
    <row r="184" spans="1:10" ht="36.75" thickBot="1" x14ac:dyDescent="0.3">
      <c r="A184" s="1"/>
      <c r="B184" s="11">
        <f t="shared" si="0"/>
        <v>182</v>
      </c>
      <c r="C184" s="13"/>
      <c r="D184" s="9" t="s">
        <v>218</v>
      </c>
      <c r="E184" s="10" t="s">
        <v>393</v>
      </c>
      <c r="F184" s="9" t="s">
        <v>492</v>
      </c>
      <c r="G184" s="10" t="s">
        <v>492</v>
      </c>
      <c r="H184" s="9" t="s">
        <v>704</v>
      </c>
      <c r="I184" s="10" t="s">
        <v>789</v>
      </c>
      <c r="J184" s="9">
        <v>1</v>
      </c>
    </row>
    <row r="185" spans="1:10" ht="36.75" thickBot="1" x14ac:dyDescent="0.3">
      <c r="A185" s="1"/>
      <c r="B185" s="11">
        <f>ROW(B185) - ROW($B$2)</f>
        <v>183</v>
      </c>
      <c r="C185" s="12"/>
      <c r="D185" s="7" t="s">
        <v>219</v>
      </c>
      <c r="E185" s="8" t="s">
        <v>394</v>
      </c>
      <c r="F185" s="7" t="s">
        <v>493</v>
      </c>
      <c r="G185" s="8" t="s">
        <v>493</v>
      </c>
      <c r="H185" s="7" t="s">
        <v>705</v>
      </c>
      <c r="I185" s="8" t="s">
        <v>790</v>
      </c>
      <c r="J185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2024-09-02T12:08:01Z</dcterms:modified>
</cp:coreProperties>
</file>