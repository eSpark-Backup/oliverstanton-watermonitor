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Smart_Connect_Board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0" i="1" l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<sst xmlns="http://schemas.openxmlformats.org/spreadsheetml/2006/main" count="560" uniqueCount="358">
  <si>
    <t>#</t>
  </si>
  <si>
    <t>Item Type</t>
  </si>
  <si>
    <t>Capacitor</t>
  </si>
  <si>
    <t>Diode</t>
  </si>
  <si>
    <t>Zener diode</t>
  </si>
  <si>
    <t>ESD Diode</t>
  </si>
  <si>
    <t>Protection Device</t>
  </si>
  <si>
    <t>Fuse</t>
  </si>
  <si>
    <t>Ferrite Bead</t>
  </si>
  <si>
    <t>Wire To Board Connector</t>
  </si>
  <si>
    <t>Connector</t>
  </si>
  <si>
    <t>UFL Connector</t>
  </si>
  <si>
    <t>SIM Card Connectors</t>
  </si>
  <si>
    <t>Pogo Connector</t>
  </si>
  <si>
    <t>Terminal Blocks</t>
  </si>
  <si>
    <t>Male Header</t>
  </si>
  <si>
    <t>Header</t>
  </si>
  <si>
    <t>Inductor</t>
  </si>
  <si>
    <t>LED</t>
  </si>
  <si>
    <t>TEST POINT</t>
  </si>
  <si>
    <t>Mosfet</t>
  </si>
  <si>
    <t>BJTs</t>
  </si>
  <si>
    <t>Transister</t>
  </si>
  <si>
    <t>Resistor</t>
  </si>
  <si>
    <t>IC</t>
  </si>
  <si>
    <t>IC Module</t>
  </si>
  <si>
    <t>Designator</t>
  </si>
  <si>
    <t>C1, C2, C4, C9, C11, C34, C35</t>
  </si>
  <si>
    <t>C3</t>
  </si>
  <si>
    <t>C5, C6</t>
  </si>
  <si>
    <t>C7</t>
  </si>
  <si>
    <t>C8, C10, C12, C36, C37</t>
  </si>
  <si>
    <t>C13</t>
  </si>
  <si>
    <t>C14</t>
  </si>
  <si>
    <t>C15, C22, C43</t>
  </si>
  <si>
    <t>C16</t>
  </si>
  <si>
    <t>C17, C40, C41</t>
  </si>
  <si>
    <t>C18, C19</t>
  </si>
  <si>
    <t>C20, C21, C23, C25, C26, C31, C32</t>
  </si>
  <si>
    <t>C24, C30, C33, C42</t>
  </si>
  <si>
    <t>C27, C28, C29</t>
  </si>
  <si>
    <t>C38, C39</t>
  </si>
  <si>
    <t>C44, C45</t>
  </si>
  <si>
    <t>C46</t>
  </si>
  <si>
    <t>C47</t>
  </si>
  <si>
    <t>D1</t>
  </si>
  <si>
    <t>D2</t>
  </si>
  <si>
    <t>D3</t>
  </si>
  <si>
    <t>D4</t>
  </si>
  <si>
    <t>D5</t>
  </si>
  <si>
    <t>D6, D14</t>
  </si>
  <si>
    <t>D8, D13</t>
  </si>
  <si>
    <t>D9, D11</t>
  </si>
  <si>
    <t>D10</t>
  </si>
  <si>
    <t>D12</t>
  </si>
  <si>
    <t>F1</t>
  </si>
  <si>
    <t>FB1</t>
  </si>
  <si>
    <t>J1, J2</t>
  </si>
  <si>
    <t>J3</t>
  </si>
  <si>
    <t>J4, J5</t>
  </si>
  <si>
    <t>J6</t>
  </si>
  <si>
    <t>J7</t>
  </si>
  <si>
    <t>J8</t>
  </si>
  <si>
    <t>J9</t>
  </si>
  <si>
    <t>J10, J11</t>
  </si>
  <si>
    <t>J12</t>
  </si>
  <si>
    <t>J13</t>
  </si>
  <si>
    <t>L1</t>
  </si>
  <si>
    <t>L2</t>
  </si>
  <si>
    <t>LED1</t>
  </si>
  <si>
    <t>LED2</t>
  </si>
  <si>
    <t>LED3, LED4, LED5, LED6</t>
  </si>
  <si>
    <t>P1, P2, P3</t>
  </si>
  <si>
    <t>Q1, Q2, Q3, Q4, Q21</t>
  </si>
  <si>
    <t>Q5, Q6, Q7, Q8, Q9, Q10, Q11, Q12, Q17, Q18</t>
  </si>
  <si>
    <t>Q13, Q14</t>
  </si>
  <si>
    <t>Q15, Q16</t>
  </si>
  <si>
    <t>Q19, Q20</t>
  </si>
  <si>
    <t>R1, R2, R3, R4, R5, R6, R7, R8, R9, R10, R11, R12, R13, R14, R15, R16, R17, R18, R19, R86, R88</t>
  </si>
  <si>
    <t>R20, R41, R43, R47</t>
  </si>
  <si>
    <t>R21, R22</t>
  </si>
  <si>
    <t>R23</t>
  </si>
  <si>
    <t>R24, R27</t>
  </si>
  <si>
    <t>R25, R28, R30, R37, R39, R40, R42, R90</t>
  </si>
  <si>
    <t>R26, R29, R31, R32, R38, R91</t>
  </si>
  <si>
    <t>R33, R34, R35, R36</t>
  </si>
  <si>
    <t>R44, R46, R93, R94</t>
  </si>
  <si>
    <t>R45</t>
  </si>
  <si>
    <t>R48, R49, R54, R55, R71, R73, R74, R75, R84, R85</t>
  </si>
  <si>
    <t>R50, R51, R52, R53, R58, R59, R68, R69, R70, R72, R80, R81</t>
  </si>
  <si>
    <t>R56, R57</t>
  </si>
  <si>
    <t>R60, R61, R62, R63</t>
  </si>
  <si>
    <t>R64, R65, R82, R83</t>
  </si>
  <si>
    <t>R66, R67</t>
  </si>
  <si>
    <t>R76, R78</t>
  </si>
  <si>
    <t>R77, R79</t>
  </si>
  <si>
    <t>R87, R89</t>
  </si>
  <si>
    <t>R92</t>
  </si>
  <si>
    <t>R95</t>
  </si>
  <si>
    <t>U1</t>
  </si>
  <si>
    <t>U2</t>
  </si>
  <si>
    <t>U3</t>
  </si>
  <si>
    <t>U4, U6</t>
  </si>
  <si>
    <t>U5</t>
  </si>
  <si>
    <t>U7</t>
  </si>
  <si>
    <t>Description</t>
  </si>
  <si>
    <t>CAP CER 0.1UF 50V Y5V 0603</t>
  </si>
  <si>
    <t>CAP TANT 100UF 20% 10V 1411</t>
  </si>
  <si>
    <t>CAP CER 47UF 25V X5R 1206</t>
  </si>
  <si>
    <t>CAP CER 0.1UF 25V X7R 0402</t>
  </si>
  <si>
    <t>CAP ALUM 10uF 25V SMD</t>
  </si>
  <si>
    <t>CAP CER 2.2UF 25V X5R 0402</t>
  </si>
  <si>
    <t>CAP CER 10PF 50V C0G/NP0 0402</t>
  </si>
  <si>
    <t>CAP CER 33PF 25V C0G/NP0 0402</t>
  </si>
  <si>
    <t>CAP CER 0.1UF 50V X5R 0402</t>
  </si>
  <si>
    <t>CAP CER 1UF 16V X5R 0402</t>
  </si>
  <si>
    <t>CAP CER, X5R, 10 V, 1206 [3216 Metric]</t>
  </si>
  <si>
    <t>CAP CER 0.1UF 25V X6S 0201</t>
  </si>
  <si>
    <t>CAP CER 0.1UF 100V X5R 0402</t>
  </si>
  <si>
    <t>CAP CER 22PF 50V C0G/NP0 0201</t>
  </si>
  <si>
    <t>CAP CER 1UF 25V X5R 0603</t>
  </si>
  <si>
    <t>CAP CER 1PF 50V C0G/NPO 0402</t>
  </si>
  <si>
    <t>CAP CER 1UF 10V X5R 0402</t>
  </si>
  <si>
    <t>CAP CER 100PF 50V C0G/NPO 0402</t>
  </si>
  <si>
    <t>SCHOTTKY DIODE SMB 100V 5A</t>
  </si>
  <si>
    <t>Independent 5W 18V SMB Zener Diodes ROHS</t>
  </si>
  <si>
    <t>DIODE ZENER 16V 1.5W SMA</t>
  </si>
  <si>
    <t>0402 ESD Protection Devices ROHS</t>
  </si>
  <si>
    <t>SOD-523 ESD Protection Devices ROHS</t>
  </si>
  <si>
    <t>5V 10V 3.3V Bi-Directional SOD-882 ESD Protection Devices ROHS</t>
  </si>
  <si>
    <t>TVS DIODE 5VWM 6.3VC DSN0603-2</t>
  </si>
  <si>
    <t>16A 20V 7V 5V@Max Unidirectional SOT-23 TVS ROHS</t>
  </si>
  <si>
    <t>SOT-23 TVS ROHS</t>
  </si>
  <si>
    <t>6V 500mA 40A 1A 0603 Resettable Fuses ROHS</t>
  </si>
  <si>
    <t>FERRITE BEAD 220 OHM 0805 1LN</t>
  </si>
  <si>
    <t>1x12P 12P PicoBlade(MX 1.25) Tin 12 -25℃~+85℃ 2A 1 1.25mm Brass Surface Mount,Vertical SMD,P=1.25mm Wire To Board Connector ROHS</t>
  </si>
  <si>
    <t>1x6P 6P PicoBlade(MX 1.25) Tin 6 -25℃~+85℃ 2A 1 1.25mm Brass Surface Mount,Vertical SMD,P=1.25mm Wire To Board Connector ROHS</t>
  </si>
  <si>
    <t>CONN U.FL RCPT STR 50 OHM SMD</t>
  </si>
  <si>
    <t>Copper Alloy Self bomb Gold plating 1.25mm Deck -40℃~+85℃ 260℃ NanoSIM SMD SIM Card Connectors ROHS</t>
  </si>
  <si>
    <t>Pogo Pad 2.5mm 4 Pin</t>
  </si>
  <si>
    <t>TERMINAL BLOCK, SCREW TYPE, 5.08</t>
  </si>
  <si>
    <t>Gold 250V 3A Straight Square Pins 2.5mm 2P 260℃ 6mm -40℃~+105℃ 3mm 2.54mm Plugin Black Brass 1x2P Plugin,P=2.54mm Pin Headers ROHS</t>
  </si>
  <si>
    <t>Straight Square Pins 2.5mm 7P 6mm -40℃~+105℃ 3mm 2.54mm Plugin Black Brass 1x7P Plugin,P=2.54mm Pin Headers ROHS</t>
  </si>
  <si>
    <t>Straight Square Pins 2.5mm 6mm -40℃~+105℃ 3mm 5 2.54mm 单排 Black Brass 1x5P Plugin,P=2.54mm Pin Headers ROHS</t>
  </si>
  <si>
    <t>3.5A 47uH ±20% 4A 125mΩ SMD,10x11mm Inductors (SMD) ROHS</t>
  </si>
  <si>
    <t>Ind Chip Wirewound 68nH 5% 200MHz 37Q-Factor Ceramic 600mA 0603</t>
  </si>
  <si>
    <t>Yellow-Green 572nm LED Indication - Discrete 2.05V 0603 (1608 Metric)</t>
  </si>
  <si>
    <t>Red 632nm LED Indication - Discrete 2.05V 0603 (1608 Metric)</t>
  </si>
  <si>
    <t>LED RED CLEAR CHIP SMD</t>
  </si>
  <si>
    <t>Test Point ON</t>
  </si>
  <si>
    <t>TRANS NPN 40V 0.6A SMD SOT23-3</t>
  </si>
  <si>
    <t>TRANS NPN 45V 0.1A TO-236AB</t>
  </si>
  <si>
    <t>MOSFET P-CH 20V 3.7A SOT23</t>
  </si>
  <si>
    <t>TRANS PNP 45V 0.1A TO-236AB</t>
  </si>
  <si>
    <t>TRANS NPN 160V 0.6A SOT-23</t>
  </si>
  <si>
    <t>RES 0 OHM JUMPER 1/10W 0603</t>
  </si>
  <si>
    <t>RES 10K OHM 1% 1/16W 0402</t>
  </si>
  <si>
    <t>RES 1K OHM 1% 1/20W 0201</t>
  </si>
  <si>
    <t>RES SMD 10 OHM 1% 1/5W 0402</t>
  </si>
  <si>
    <t>RES SMD 220 OHM 1% 1/10W 0603</t>
  </si>
  <si>
    <t>RES 4.7K OHM 1% 1/16W 0402</t>
  </si>
  <si>
    <t>RES 47K OHM 1% 1/16W 0402</t>
  </si>
  <si>
    <t>RES 22 OHM 1% 1/20W 0201</t>
  </si>
  <si>
    <t>RES 0 OHM JUMPER 1/16W 0402</t>
  </si>
  <si>
    <t>RES 120 OHM 1% 1/10W 0603</t>
  </si>
  <si>
    <t>RES SMD 1K OHM 1% 1/10W 0603</t>
  </si>
  <si>
    <t>RES SMD 4.7K OHM 1% 1/10W 0603</t>
  </si>
  <si>
    <t>RES  SMD 330R 100 mW 0603</t>
  </si>
  <si>
    <t>RES 100K OHM 1% 1/10W 0603</t>
  </si>
  <si>
    <t>RES SMD 10K Ohm 1% 1/10W 0603</t>
  </si>
  <si>
    <t>RES SMD 47K OHM 1% 1/3W 0805</t>
  </si>
  <si>
    <t>RES 150K OHM 1% 1/10W 0603</t>
  </si>
  <si>
    <t>RES SMD 1M OHM 1% 1/10W 0603</t>
  </si>
  <si>
    <t>RES 51 OHM 1% 1/4W 1206</t>
  </si>
  <si>
    <t>RES 470K OHM 1% 1/16W 0402</t>
  </si>
  <si>
    <t>IC REG BUCK 3.3V 2A 8SOP</t>
  </si>
  <si>
    <t>IC REG LINEAR 3.3V 1A 8DFN</t>
  </si>
  <si>
    <t>RF TXRX MODULE CELLULAR SMD</t>
  </si>
  <si>
    <t>IC TRNSLTR BIDIRECTIONAL US8</t>
  </si>
  <si>
    <t>15V 5 Unidirectional 5V SOT-363 ESD Protection Devices ROHS</t>
  </si>
  <si>
    <t>SOP-8 RS-485/RS-422 ICs ROHS</t>
  </si>
  <si>
    <t>Footprint</t>
  </si>
  <si>
    <t>Cap-0603</t>
  </si>
  <si>
    <t>Case-B</t>
  </si>
  <si>
    <t>Cap-1206</t>
  </si>
  <si>
    <t>Cap-0402</t>
  </si>
  <si>
    <t>CAP-0201</t>
  </si>
  <si>
    <t>SMB_</t>
  </si>
  <si>
    <t>SMA</t>
  </si>
  <si>
    <t>TPESD0402G03V</t>
  </si>
  <si>
    <t>SOD-523</t>
  </si>
  <si>
    <t>SOD-882 Bi Directional</t>
  </si>
  <si>
    <t>DSN0603-2</t>
  </si>
  <si>
    <t>SOD-523 (Bi-Directional)</t>
  </si>
  <si>
    <t>Sot-23</t>
  </si>
  <si>
    <t>SOT-23</t>
  </si>
  <si>
    <t>Fuse-0603</t>
  </si>
  <si>
    <t>Ind-0805</t>
  </si>
  <si>
    <t>HC-1.25-12PLT</t>
  </si>
  <si>
    <t>HC-1.25-6PLT</t>
  </si>
  <si>
    <t>XKNANO-113</t>
  </si>
  <si>
    <t>TB008A-508-04BE</t>
  </si>
  <si>
    <t>HDR1X2_</t>
  </si>
  <si>
    <t>TB008A-508-03BE</t>
  </si>
  <si>
    <t>HDR1X7</t>
  </si>
  <si>
    <t>HDR1X5_</t>
  </si>
  <si>
    <t>MDA1040-470M</t>
  </si>
  <si>
    <t>IND-0603 (1608 Metric)</t>
  </si>
  <si>
    <t>LED-0603</t>
  </si>
  <si>
    <t>LED-0402</t>
  </si>
  <si>
    <t>Res-0603</t>
  </si>
  <si>
    <t>Res-0402</t>
  </si>
  <si>
    <t>Res-0201</t>
  </si>
  <si>
    <t>RES-0805</t>
  </si>
  <si>
    <t>Res-1206</t>
  </si>
  <si>
    <t>SOP-8L</t>
  </si>
  <si>
    <t>DFN-8(1.2x1.6)</t>
  </si>
  <si>
    <t>A7672E (FASE)</t>
  </si>
  <si>
    <t>TXB0102DCUT</t>
  </si>
  <si>
    <t>SOT-363</t>
  </si>
  <si>
    <t>SOP-8</t>
  </si>
  <si>
    <t>Manufacturer Part Number</t>
  </si>
  <si>
    <t>CC0603ZRY5V9BB104</t>
  </si>
  <si>
    <t>TAJB107M010RNJ</t>
  </si>
  <si>
    <t>GRM31CR61E476ME44L</t>
  </si>
  <si>
    <t>GRM155R71E104KE14D</t>
  </si>
  <si>
    <t>RVT1E100M0405</t>
  </si>
  <si>
    <t>GRM155R61E225KE11D</t>
  </si>
  <si>
    <t>GRM1555C1H100JA01D</t>
  </si>
  <si>
    <t>GRM1555C1E330JA01D</t>
  </si>
  <si>
    <t>C1005X5R1H104K050BB</t>
  </si>
  <si>
    <t>CC0402KRX5R7BB105</t>
  </si>
  <si>
    <t>C3216X5R1A107M160AC</t>
  </si>
  <si>
    <t>GRM033C81E104KE14D</t>
  </si>
  <si>
    <t>GRM155R62A104KE14D</t>
  </si>
  <si>
    <t>GRM0335C1H220JA01D</t>
  </si>
  <si>
    <t>CC0603KRX5R8BB105</t>
  </si>
  <si>
    <t>CC0402BRNPO9BN1R0</t>
  </si>
  <si>
    <t>CC0402KRX5R6BB105</t>
  </si>
  <si>
    <t>CC0402JRNPO9BN101</t>
  </si>
  <si>
    <t>SS510B</t>
  </si>
  <si>
    <t>SMBJ5355B-MS</t>
  </si>
  <si>
    <t>1SMA5930BT3G</t>
  </si>
  <si>
    <t>LESD5D5.0CT1G</t>
  </si>
  <si>
    <t>LESD8D3.3CAT5G</t>
  </si>
  <si>
    <t>PESD5V0H1BSFYL</t>
  </si>
  <si>
    <t>ESD5302F-3/TR</t>
  </si>
  <si>
    <t>SM712</t>
  </si>
  <si>
    <t>SMD0603-050</t>
  </si>
  <si>
    <t>MPZ2012S221ATD25</t>
  </si>
  <si>
    <t>U.FL-R-SMT-1(80)</t>
  </si>
  <si>
    <t>POGO Connector 4 Pin</t>
  </si>
  <si>
    <t>X6511WV-02H-C60D30</t>
  </si>
  <si>
    <t>PZ254V-11-07P</t>
  </si>
  <si>
    <t>PZ254V-11-05P</t>
  </si>
  <si>
    <t>0603CS-68NXJLW</t>
  </si>
  <si>
    <t>19-21/G6C-FM1N2B/3T</t>
  </si>
  <si>
    <t>19-21/R7C-AK1L2BY/3T</t>
  </si>
  <si>
    <t>XZMDK68W-2</t>
  </si>
  <si>
    <t>MMBT2222A-7-F</t>
  </si>
  <si>
    <t>BC847C,215</t>
  </si>
  <si>
    <t>IRLML6402TRPBF</t>
  </si>
  <si>
    <t>BC857A,215</t>
  </si>
  <si>
    <t>MMBT5551LT1G</t>
  </si>
  <si>
    <t>RC0603JR-070RL</t>
  </si>
  <si>
    <t>RC0402FR-0710KL</t>
  </si>
  <si>
    <t>RC0201FR-071KP</t>
  </si>
  <si>
    <t>CRCW040210R0FKEDHP</t>
  </si>
  <si>
    <t>RC0402FR-074K7L</t>
  </si>
  <si>
    <t>RC0402FR-0747KL</t>
  </si>
  <si>
    <t>RC0201FR-0722RL</t>
  </si>
  <si>
    <t>RC0402FR-070RL</t>
  </si>
  <si>
    <t>RC0603FR-07120RL</t>
  </si>
  <si>
    <t>RC0603FR-071KL</t>
  </si>
  <si>
    <t>RC0603FR-074K7L</t>
  </si>
  <si>
    <t>RC0603JR-07330RL</t>
  </si>
  <si>
    <t>RC0603FR-07100KL</t>
  </si>
  <si>
    <t>RC0603FR-0710KL</t>
  </si>
  <si>
    <t>CRCW080547K0FKEAHP</t>
  </si>
  <si>
    <t>CRCW0603150KFKEA</t>
  </si>
  <si>
    <t>RC0603FR-071ML</t>
  </si>
  <si>
    <t>RC1206FR-0751RL</t>
  </si>
  <si>
    <t>RC0402FR-07470KL</t>
  </si>
  <si>
    <t>AP1509-33SG-13</t>
  </si>
  <si>
    <t>LD56100DPU33R</t>
  </si>
  <si>
    <t>SMF05CT1G-ES</t>
  </si>
  <si>
    <t>SP3485EIM/TR</t>
  </si>
  <si>
    <t>Manufacturer</t>
  </si>
  <si>
    <t>Yageo</t>
  </si>
  <si>
    <t>Kyocera AVX</t>
  </si>
  <si>
    <t>Murata</t>
  </si>
  <si>
    <t>ROQANG</t>
  </si>
  <si>
    <t>TDK</t>
  </si>
  <si>
    <t>MDD</t>
  </si>
  <si>
    <t>MSKSEMI</t>
  </si>
  <si>
    <t>onsemi</t>
  </si>
  <si>
    <t>TECH PUBLIC</t>
  </si>
  <si>
    <t>UMW</t>
  </si>
  <si>
    <t>LRC</t>
  </si>
  <si>
    <t>Nexperia</t>
  </si>
  <si>
    <t>WILLSEMI</t>
  </si>
  <si>
    <t>TECHFUSE</t>
  </si>
  <si>
    <t>HCTL</t>
  </si>
  <si>
    <t>Hirose</t>
  </si>
  <si>
    <t>XKB Connectivity</t>
  </si>
  <si>
    <t>Same Sky</t>
  </si>
  <si>
    <t>XKB</t>
  </si>
  <si>
    <t>XFCN</t>
  </si>
  <si>
    <t>KOHERelec</t>
  </si>
  <si>
    <t>Coilcraft</t>
  </si>
  <si>
    <t>Everlight Elec</t>
  </si>
  <si>
    <t>SunLED</t>
  </si>
  <si>
    <t>Diodes</t>
  </si>
  <si>
    <t>International Rectifier</t>
  </si>
  <si>
    <t>ON Semiconductor</t>
  </si>
  <si>
    <t>Vishay Dale</t>
  </si>
  <si>
    <t>Vishay</t>
  </si>
  <si>
    <t>STMicroelectronics</t>
  </si>
  <si>
    <t>SIMCom Wireless Solutions Limited</t>
  </si>
  <si>
    <t>Texas Instruments</t>
  </si>
  <si>
    <t>ElecSuper</t>
  </si>
  <si>
    <t>HGSEMI</t>
  </si>
  <si>
    <t>0.1uF</t>
  </si>
  <si>
    <t>100uF</t>
  </si>
  <si>
    <t>47uF</t>
  </si>
  <si>
    <t>10uF</t>
  </si>
  <si>
    <t>2.2uf</t>
  </si>
  <si>
    <t>10pF</t>
  </si>
  <si>
    <t>33pF</t>
  </si>
  <si>
    <t>1uF</t>
  </si>
  <si>
    <t>0.1uf</t>
  </si>
  <si>
    <t>22pF</t>
  </si>
  <si>
    <t>DNP</t>
  </si>
  <si>
    <t>100pF</t>
  </si>
  <si>
    <t>100MHz</t>
  </si>
  <si>
    <t>47uH</t>
  </si>
  <si>
    <t>68nH</t>
  </si>
  <si>
    <t>0R</t>
  </si>
  <si>
    <t>10K</t>
  </si>
  <si>
    <t>1K</t>
  </si>
  <si>
    <t>10R</t>
  </si>
  <si>
    <t>220R</t>
  </si>
  <si>
    <t>4.7K</t>
  </si>
  <si>
    <t>47K</t>
  </si>
  <si>
    <t>22R</t>
  </si>
  <si>
    <t>120R</t>
  </si>
  <si>
    <t>330R</t>
  </si>
  <si>
    <t>100K</t>
  </si>
  <si>
    <t>150K</t>
  </si>
  <si>
    <t>51R</t>
  </si>
  <si>
    <t>470K</t>
  </si>
  <si>
    <t>Quantity</t>
  </si>
  <si>
    <t>Value</t>
  </si>
  <si>
    <t>Remarks</t>
  </si>
  <si>
    <t>Custom</t>
  </si>
  <si>
    <t>-</t>
  </si>
  <si>
    <t>DO NOT PLACE</t>
  </si>
  <si>
    <t>CRCW0603220RFKEA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</si>
</sst>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0"/>
  <sheetViews>
    <sheetView tabSelected="1" workbookViewId="0">
      <selection activeCell="N23" sqref="N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0" bestFit="1" customWidth="1"/>
    <col min="7" max="7" width="25.28515625" bestFit="1" customWidth="1"/>
    <col min="8" max="8" width="21.42578125" bestFit="1" customWidth="1"/>
    <col min="9" max="9" width="6.85546875" bestFit="1" customWidth="1"/>
    <col min="10" max="10" width="16.7109375" bestFit="1" customWidth="1"/>
    <col min="11" max="11" width="14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9"/>
      <c r="J1" s="19"/>
      <c r="K1" s="19"/>
    </row>
    <row r="2" spans="1:11" ht="15.75" thickBot="1" x14ac:dyDescent="0.3">
      <c r="A2" s="1"/>
      <c r="B2" s="5" t="s">
        <v>0</v>
      </c>
      <c r="C2" s="5" t="s">
        <v>1</v>
      </c>
      <c r="D2" s="5" t="s">
        <v>26</v>
      </c>
      <c r="E2" s="6" t="s">
        <v>105</v>
      </c>
      <c r="F2" s="5" t="s">
        <v>181</v>
      </c>
      <c r="G2" s="6" t="s">
        <v>221</v>
      </c>
      <c r="H2" s="5" t="s">
        <v>287</v>
      </c>
      <c r="I2" s="6" t="s">
        <v>352</v>
      </c>
      <c r="J2" s="5" t="s">
        <v>351</v>
      </c>
      <c r="K2" s="5" t="s">
        <v>353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27</v>
      </c>
      <c r="E3" s="8" t="s">
        <v>106</v>
      </c>
      <c r="F3" s="7" t="s">
        <v>182</v>
      </c>
      <c r="G3" s="8" t="s">
        <v>222</v>
      </c>
      <c r="H3" s="7" t="s">
        <v>288</v>
      </c>
      <c r="I3" s="8" t="s">
        <v>322</v>
      </c>
      <c r="J3" s="7">
        <v>7</v>
      </c>
      <c r="K3" s="7"/>
    </row>
    <row r="4" spans="1:11" ht="15.75" thickBot="1" x14ac:dyDescent="0.3">
      <c r="A4" s="1"/>
      <c r="B4" s="11">
        <f t="shared" ref="B4:B80" si="0">ROW(B4) - ROW($B$2)</f>
        <v>2</v>
      </c>
      <c r="C4" s="13" t="s">
        <v>2</v>
      </c>
      <c r="D4" s="9" t="s">
        <v>28</v>
      </c>
      <c r="E4" s="10" t="s">
        <v>107</v>
      </c>
      <c r="F4" s="9" t="s">
        <v>183</v>
      </c>
      <c r="G4" s="10" t="s">
        <v>223</v>
      </c>
      <c r="H4" s="9" t="s">
        <v>289</v>
      </c>
      <c r="I4" s="10" t="s">
        <v>323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29</v>
      </c>
      <c r="E5" s="8" t="s">
        <v>108</v>
      </c>
      <c r="F5" s="7" t="s">
        <v>184</v>
      </c>
      <c r="G5" s="8" t="s">
        <v>224</v>
      </c>
      <c r="H5" s="7" t="s">
        <v>290</v>
      </c>
      <c r="I5" s="8" t="s">
        <v>324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30</v>
      </c>
      <c r="E6" s="10" t="s">
        <v>109</v>
      </c>
      <c r="F6" s="9" t="s">
        <v>185</v>
      </c>
      <c r="G6" s="10" t="s">
        <v>225</v>
      </c>
      <c r="H6" s="9" t="s">
        <v>290</v>
      </c>
      <c r="I6" s="10" t="s">
        <v>322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31</v>
      </c>
      <c r="E7" s="8" t="s">
        <v>110</v>
      </c>
      <c r="F7" s="7" t="s">
        <v>354</v>
      </c>
      <c r="G7" s="8" t="s">
        <v>226</v>
      </c>
      <c r="H7" s="7" t="s">
        <v>291</v>
      </c>
      <c r="I7" s="8" t="s">
        <v>325</v>
      </c>
      <c r="J7" s="7">
        <v>5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32</v>
      </c>
      <c r="E8" s="10" t="s">
        <v>111</v>
      </c>
      <c r="F8" s="9" t="s">
        <v>185</v>
      </c>
      <c r="G8" s="10" t="s">
        <v>227</v>
      </c>
      <c r="H8" s="9" t="s">
        <v>290</v>
      </c>
      <c r="I8" s="10" t="s">
        <v>326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33</v>
      </c>
      <c r="E9" s="8" t="s">
        <v>112</v>
      </c>
      <c r="F9" s="7" t="s">
        <v>185</v>
      </c>
      <c r="G9" s="8" t="s">
        <v>228</v>
      </c>
      <c r="H9" s="7" t="s">
        <v>290</v>
      </c>
      <c r="I9" s="8" t="s">
        <v>327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34</v>
      </c>
      <c r="E10" s="10" t="s">
        <v>113</v>
      </c>
      <c r="F10" s="9" t="s">
        <v>185</v>
      </c>
      <c r="G10" s="10" t="s">
        <v>229</v>
      </c>
      <c r="H10" s="9" t="s">
        <v>290</v>
      </c>
      <c r="I10" s="10" t="s">
        <v>328</v>
      </c>
      <c r="J10" s="9">
        <v>3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35</v>
      </c>
      <c r="E11" s="8" t="s">
        <v>114</v>
      </c>
      <c r="F11" s="7" t="s">
        <v>185</v>
      </c>
      <c r="G11" s="8" t="s">
        <v>230</v>
      </c>
      <c r="H11" s="7" t="s">
        <v>292</v>
      </c>
      <c r="I11" s="8" t="s">
        <v>322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36</v>
      </c>
      <c r="E12" s="10" t="s">
        <v>115</v>
      </c>
      <c r="F12" s="9" t="s">
        <v>185</v>
      </c>
      <c r="G12" s="10" t="s">
        <v>231</v>
      </c>
      <c r="H12" s="9" t="s">
        <v>288</v>
      </c>
      <c r="I12" s="10" t="s">
        <v>329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37</v>
      </c>
      <c r="E13" s="8" t="s">
        <v>116</v>
      </c>
      <c r="F13" s="7" t="s">
        <v>184</v>
      </c>
      <c r="G13" s="8" t="s">
        <v>232</v>
      </c>
      <c r="H13" s="7" t="s">
        <v>292</v>
      </c>
      <c r="I13" s="8" t="s">
        <v>323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38</v>
      </c>
      <c r="E14" s="10" t="s">
        <v>117</v>
      </c>
      <c r="F14" s="9" t="s">
        <v>186</v>
      </c>
      <c r="G14" s="10" t="s">
        <v>233</v>
      </c>
      <c r="H14" s="9" t="s">
        <v>290</v>
      </c>
      <c r="I14" s="10" t="s">
        <v>322</v>
      </c>
      <c r="J14" s="9">
        <v>7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39</v>
      </c>
      <c r="E15" s="8" t="s">
        <v>118</v>
      </c>
      <c r="F15" s="7" t="s">
        <v>185</v>
      </c>
      <c r="G15" s="8" t="s">
        <v>234</v>
      </c>
      <c r="H15" s="7" t="s">
        <v>290</v>
      </c>
      <c r="I15" s="8" t="s">
        <v>330</v>
      </c>
      <c r="J15" s="7">
        <v>4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40</v>
      </c>
      <c r="E16" s="10" t="s">
        <v>119</v>
      </c>
      <c r="F16" s="9" t="s">
        <v>186</v>
      </c>
      <c r="G16" s="10" t="s">
        <v>235</v>
      </c>
      <c r="H16" s="9" t="s">
        <v>290</v>
      </c>
      <c r="I16" s="10" t="s">
        <v>331</v>
      </c>
      <c r="J16" s="9">
        <v>3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41</v>
      </c>
      <c r="E17" s="8" t="s">
        <v>120</v>
      </c>
      <c r="F17" s="7" t="s">
        <v>182</v>
      </c>
      <c r="G17" s="8" t="s">
        <v>236</v>
      </c>
      <c r="H17" s="7" t="s">
        <v>288</v>
      </c>
      <c r="I17" s="8" t="s">
        <v>329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14" t="s">
        <v>42</v>
      </c>
      <c r="E18" s="15" t="s">
        <v>121</v>
      </c>
      <c r="F18" s="14" t="s">
        <v>185</v>
      </c>
      <c r="G18" s="15" t="s">
        <v>237</v>
      </c>
      <c r="H18" s="14" t="s">
        <v>288</v>
      </c>
      <c r="I18" s="15" t="s">
        <v>332</v>
      </c>
      <c r="J18" s="14">
        <v>2</v>
      </c>
      <c r="K18" s="16" t="s">
        <v>356</v>
      </c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43</v>
      </c>
      <c r="E19" s="8" t="s">
        <v>122</v>
      </c>
      <c r="F19" s="7" t="s">
        <v>185</v>
      </c>
      <c r="G19" s="8" t="s">
        <v>238</v>
      </c>
      <c r="H19" s="7" t="s">
        <v>288</v>
      </c>
      <c r="I19" s="8" t="s">
        <v>329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44</v>
      </c>
      <c r="E20" s="10" t="s">
        <v>123</v>
      </c>
      <c r="F20" s="9" t="s">
        <v>185</v>
      </c>
      <c r="G20" s="10" t="s">
        <v>239</v>
      </c>
      <c r="H20" s="9" t="s">
        <v>288</v>
      </c>
      <c r="I20" s="10" t="s">
        <v>333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3</v>
      </c>
      <c r="D21" s="7" t="s">
        <v>45</v>
      </c>
      <c r="E21" s="8" t="s">
        <v>124</v>
      </c>
      <c r="F21" s="7" t="s">
        <v>187</v>
      </c>
      <c r="G21" s="8" t="s">
        <v>240</v>
      </c>
      <c r="H21" s="7" t="s">
        <v>293</v>
      </c>
      <c r="I21" s="8" t="s">
        <v>355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3</v>
      </c>
      <c r="D22" s="9" t="s">
        <v>46</v>
      </c>
      <c r="E22" s="10" t="s">
        <v>125</v>
      </c>
      <c r="F22" s="9" t="s">
        <v>187</v>
      </c>
      <c r="G22" s="10" t="s">
        <v>241</v>
      </c>
      <c r="H22" s="9" t="s">
        <v>294</v>
      </c>
      <c r="I22" s="8" t="s">
        <v>355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4</v>
      </c>
      <c r="D23" s="7" t="s">
        <v>47</v>
      </c>
      <c r="E23" s="8" t="s">
        <v>126</v>
      </c>
      <c r="F23" s="7" t="s">
        <v>188</v>
      </c>
      <c r="G23" s="8" t="s">
        <v>242</v>
      </c>
      <c r="H23" s="7" t="s">
        <v>295</v>
      </c>
      <c r="I23" s="8" t="s">
        <v>355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5</v>
      </c>
      <c r="D24" s="9" t="s">
        <v>48</v>
      </c>
      <c r="E24" s="10" t="s">
        <v>127</v>
      </c>
      <c r="F24" s="7" t="s">
        <v>354</v>
      </c>
      <c r="G24" s="10" t="s">
        <v>189</v>
      </c>
      <c r="H24" s="9" t="s">
        <v>296</v>
      </c>
      <c r="I24" s="8" t="s">
        <v>355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6</v>
      </c>
      <c r="D25" s="7" t="s">
        <v>49</v>
      </c>
      <c r="E25" s="8" t="s">
        <v>128</v>
      </c>
      <c r="F25" s="7" t="s">
        <v>190</v>
      </c>
      <c r="G25" s="8" t="s">
        <v>243</v>
      </c>
      <c r="H25" s="7" t="s">
        <v>297</v>
      </c>
      <c r="I25" s="8" t="s">
        <v>355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6</v>
      </c>
      <c r="D26" s="9" t="s">
        <v>50</v>
      </c>
      <c r="E26" s="10" t="s">
        <v>129</v>
      </c>
      <c r="F26" s="9" t="s">
        <v>191</v>
      </c>
      <c r="G26" s="10" t="s">
        <v>244</v>
      </c>
      <c r="H26" s="9" t="s">
        <v>298</v>
      </c>
      <c r="I26" s="8" t="s">
        <v>355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3</v>
      </c>
      <c r="D27" s="7" t="s">
        <v>51</v>
      </c>
      <c r="E27" s="8" t="s">
        <v>130</v>
      </c>
      <c r="F27" s="7" t="s">
        <v>192</v>
      </c>
      <c r="G27" s="8" t="s">
        <v>245</v>
      </c>
      <c r="H27" s="7" t="s">
        <v>299</v>
      </c>
      <c r="I27" s="8" t="s">
        <v>355</v>
      </c>
      <c r="J27" s="7">
        <v>2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6</v>
      </c>
      <c r="D28" s="9" t="s">
        <v>52</v>
      </c>
      <c r="E28" s="10" t="s">
        <v>128</v>
      </c>
      <c r="F28" s="9" t="s">
        <v>193</v>
      </c>
      <c r="G28" s="10" t="s">
        <v>243</v>
      </c>
      <c r="H28" s="9" t="s">
        <v>297</v>
      </c>
      <c r="I28" s="8" t="s">
        <v>355</v>
      </c>
      <c r="J28" s="9">
        <v>2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3</v>
      </c>
      <c r="D29" s="7" t="s">
        <v>53</v>
      </c>
      <c r="E29" s="8" t="s">
        <v>131</v>
      </c>
      <c r="F29" s="7" t="s">
        <v>194</v>
      </c>
      <c r="G29" s="8" t="s">
        <v>246</v>
      </c>
      <c r="H29" s="7" t="s">
        <v>300</v>
      </c>
      <c r="I29" s="8" t="s">
        <v>355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3</v>
      </c>
      <c r="D30" s="9" t="s">
        <v>54</v>
      </c>
      <c r="E30" s="10" t="s">
        <v>132</v>
      </c>
      <c r="F30" s="9" t="s">
        <v>195</v>
      </c>
      <c r="G30" s="10" t="s">
        <v>247</v>
      </c>
      <c r="H30" s="9" t="s">
        <v>296</v>
      </c>
      <c r="I30" s="8" t="s">
        <v>355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7</v>
      </c>
      <c r="D31" s="7" t="s">
        <v>55</v>
      </c>
      <c r="E31" s="8" t="s">
        <v>133</v>
      </c>
      <c r="F31" s="7" t="s">
        <v>196</v>
      </c>
      <c r="G31" s="8" t="s">
        <v>248</v>
      </c>
      <c r="H31" s="7" t="s">
        <v>301</v>
      </c>
      <c r="I31" s="8" t="s">
        <v>355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8</v>
      </c>
      <c r="D32" s="9" t="s">
        <v>56</v>
      </c>
      <c r="E32" s="10" t="s">
        <v>134</v>
      </c>
      <c r="F32" s="9" t="s">
        <v>197</v>
      </c>
      <c r="G32" s="10" t="s">
        <v>249</v>
      </c>
      <c r="H32" s="9" t="s">
        <v>292</v>
      </c>
      <c r="I32" s="10" t="s">
        <v>334</v>
      </c>
      <c r="J32" s="9">
        <v>1</v>
      </c>
      <c r="K32" s="9"/>
    </row>
    <row r="33" spans="1:11" ht="60.75" thickBot="1" x14ac:dyDescent="0.3">
      <c r="A33" s="1"/>
      <c r="B33" s="11">
        <f>ROW(B33) - ROW($B$2)</f>
        <v>31</v>
      </c>
      <c r="C33" s="12" t="s">
        <v>9</v>
      </c>
      <c r="D33" s="7" t="s">
        <v>57</v>
      </c>
      <c r="E33" s="8" t="s">
        <v>135</v>
      </c>
      <c r="F33" s="7" t="s">
        <v>354</v>
      </c>
      <c r="G33" s="8" t="s">
        <v>198</v>
      </c>
      <c r="H33" s="7" t="s">
        <v>302</v>
      </c>
      <c r="I33" s="8" t="s">
        <v>355</v>
      </c>
      <c r="J33" s="7">
        <v>2</v>
      </c>
      <c r="K33" s="7"/>
    </row>
    <row r="34" spans="1:11" ht="60.75" thickBot="1" x14ac:dyDescent="0.3">
      <c r="A34" s="1"/>
      <c r="B34" s="11">
        <f t="shared" si="0"/>
        <v>32</v>
      </c>
      <c r="C34" s="13" t="s">
        <v>10</v>
      </c>
      <c r="D34" s="9" t="s">
        <v>58</v>
      </c>
      <c r="E34" s="10" t="s">
        <v>136</v>
      </c>
      <c r="F34" s="7" t="s">
        <v>354</v>
      </c>
      <c r="G34" s="10" t="s">
        <v>199</v>
      </c>
      <c r="H34" s="9" t="s">
        <v>302</v>
      </c>
      <c r="I34" s="8" t="s">
        <v>355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11</v>
      </c>
      <c r="D35" s="7" t="s">
        <v>59</v>
      </c>
      <c r="E35" s="8" t="s">
        <v>137</v>
      </c>
      <c r="F35" s="7" t="s">
        <v>354</v>
      </c>
      <c r="G35" s="8" t="s">
        <v>250</v>
      </c>
      <c r="H35" s="7" t="s">
        <v>303</v>
      </c>
      <c r="I35" s="8" t="s">
        <v>355</v>
      </c>
      <c r="J35" s="7">
        <v>2</v>
      </c>
      <c r="K35" s="7"/>
    </row>
    <row r="36" spans="1:11" ht="48.75" thickBot="1" x14ac:dyDescent="0.3">
      <c r="A36" s="1"/>
      <c r="B36" s="11">
        <f t="shared" si="0"/>
        <v>34</v>
      </c>
      <c r="C36" s="13" t="s">
        <v>12</v>
      </c>
      <c r="D36" s="9" t="s">
        <v>60</v>
      </c>
      <c r="E36" s="10" t="s">
        <v>138</v>
      </c>
      <c r="F36" s="7" t="s">
        <v>354</v>
      </c>
      <c r="G36" s="10" t="s">
        <v>200</v>
      </c>
      <c r="H36" s="9" t="s">
        <v>304</v>
      </c>
      <c r="I36" s="8" t="s">
        <v>355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13</v>
      </c>
      <c r="D37" s="17" t="s">
        <v>61</v>
      </c>
      <c r="E37" s="18" t="s">
        <v>139</v>
      </c>
      <c r="F37" s="17" t="s">
        <v>354</v>
      </c>
      <c r="G37" s="18" t="s">
        <v>251</v>
      </c>
      <c r="H37" s="17" t="s">
        <v>355</v>
      </c>
      <c r="I37" s="18" t="s">
        <v>355</v>
      </c>
      <c r="J37" s="17">
        <v>1</v>
      </c>
      <c r="K37" s="16" t="s">
        <v>356</v>
      </c>
    </row>
    <row r="38" spans="1:11" ht="15.75" thickBot="1" x14ac:dyDescent="0.3">
      <c r="A38" s="1"/>
      <c r="B38" s="11">
        <f t="shared" si="0"/>
        <v>36</v>
      </c>
      <c r="C38" s="13" t="s">
        <v>14</v>
      </c>
      <c r="D38" s="9" t="s">
        <v>62</v>
      </c>
      <c r="E38" s="10" t="s">
        <v>140</v>
      </c>
      <c r="F38" s="7" t="s">
        <v>354</v>
      </c>
      <c r="G38" s="10" t="s">
        <v>201</v>
      </c>
      <c r="H38" s="9" t="s">
        <v>305</v>
      </c>
      <c r="I38" s="8" t="s">
        <v>355</v>
      </c>
      <c r="J38" s="9">
        <v>1</v>
      </c>
      <c r="K38" s="9"/>
    </row>
    <row r="39" spans="1:11" ht="48.75" thickBot="1" x14ac:dyDescent="0.3">
      <c r="A39" s="1"/>
      <c r="B39" s="11">
        <f>ROW(B39) - ROW($B$2)</f>
        <v>37</v>
      </c>
      <c r="C39" s="12" t="s">
        <v>15</v>
      </c>
      <c r="D39" s="7" t="s">
        <v>63</v>
      </c>
      <c r="E39" s="8" t="s">
        <v>141</v>
      </c>
      <c r="F39" s="7" t="s">
        <v>202</v>
      </c>
      <c r="G39" s="8" t="s">
        <v>252</v>
      </c>
      <c r="H39" s="7" t="s">
        <v>306</v>
      </c>
      <c r="I39" s="8" t="s">
        <v>355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14</v>
      </c>
      <c r="D40" s="9" t="s">
        <v>64</v>
      </c>
      <c r="E40" s="10" t="s">
        <v>140</v>
      </c>
      <c r="F40" s="7" t="s">
        <v>354</v>
      </c>
      <c r="G40" s="10" t="s">
        <v>203</v>
      </c>
      <c r="H40" s="9" t="s">
        <v>305</v>
      </c>
      <c r="I40" s="8" t="s">
        <v>355</v>
      </c>
      <c r="J40" s="9">
        <v>2</v>
      </c>
      <c r="K40" s="9"/>
    </row>
    <row r="41" spans="1:11" ht="48.75" thickBot="1" x14ac:dyDescent="0.3">
      <c r="A41" s="1"/>
      <c r="B41" s="11">
        <f>ROW(B41) - ROW($B$2)</f>
        <v>39</v>
      </c>
      <c r="C41" s="12" t="s">
        <v>15</v>
      </c>
      <c r="D41" s="7" t="s">
        <v>65</v>
      </c>
      <c r="E41" s="8" t="s">
        <v>142</v>
      </c>
      <c r="F41" s="7" t="s">
        <v>204</v>
      </c>
      <c r="G41" s="8" t="s">
        <v>253</v>
      </c>
      <c r="H41" s="7" t="s">
        <v>307</v>
      </c>
      <c r="I41" s="8" t="s">
        <v>355</v>
      </c>
      <c r="J41" s="7">
        <v>1</v>
      </c>
      <c r="K41" s="7"/>
    </row>
    <row r="42" spans="1:11" ht="48.75" thickBot="1" x14ac:dyDescent="0.3">
      <c r="A42" s="1"/>
      <c r="B42" s="11">
        <f t="shared" si="0"/>
        <v>40</v>
      </c>
      <c r="C42" s="13" t="s">
        <v>16</v>
      </c>
      <c r="D42" s="9" t="s">
        <v>66</v>
      </c>
      <c r="E42" s="10" t="s">
        <v>143</v>
      </c>
      <c r="F42" s="9" t="s">
        <v>205</v>
      </c>
      <c r="G42" s="10" t="s">
        <v>254</v>
      </c>
      <c r="H42" s="9" t="s">
        <v>307</v>
      </c>
      <c r="I42" s="8" t="s">
        <v>355</v>
      </c>
      <c r="J42" s="9">
        <v>1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17</v>
      </c>
      <c r="D43" s="7" t="s">
        <v>67</v>
      </c>
      <c r="E43" s="8" t="s">
        <v>144</v>
      </c>
      <c r="F43" s="7" t="s">
        <v>354</v>
      </c>
      <c r="G43" s="8" t="s">
        <v>206</v>
      </c>
      <c r="H43" s="7" t="s">
        <v>308</v>
      </c>
      <c r="I43" s="8" t="s">
        <v>335</v>
      </c>
      <c r="J43" s="7">
        <v>1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17</v>
      </c>
      <c r="D44" s="9" t="s">
        <v>68</v>
      </c>
      <c r="E44" s="10" t="s">
        <v>145</v>
      </c>
      <c r="F44" s="9" t="s">
        <v>207</v>
      </c>
      <c r="G44" s="10" t="s">
        <v>255</v>
      </c>
      <c r="H44" s="9" t="s">
        <v>309</v>
      </c>
      <c r="I44" s="10" t="s">
        <v>336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18</v>
      </c>
      <c r="D45" s="7" t="s">
        <v>69</v>
      </c>
      <c r="E45" s="8" t="s">
        <v>146</v>
      </c>
      <c r="F45" s="7" t="s">
        <v>208</v>
      </c>
      <c r="G45" s="8" t="s">
        <v>256</v>
      </c>
      <c r="H45" s="7" t="s">
        <v>310</v>
      </c>
      <c r="I45" s="8" t="s">
        <v>355</v>
      </c>
      <c r="J45" s="7">
        <v>1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18</v>
      </c>
      <c r="D46" s="9" t="s">
        <v>70</v>
      </c>
      <c r="E46" s="10" t="s">
        <v>147</v>
      </c>
      <c r="F46" s="9" t="s">
        <v>208</v>
      </c>
      <c r="G46" s="10" t="s">
        <v>257</v>
      </c>
      <c r="H46" s="9" t="s">
        <v>310</v>
      </c>
      <c r="I46" s="8" t="s">
        <v>355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18</v>
      </c>
      <c r="D47" s="7" t="s">
        <v>71</v>
      </c>
      <c r="E47" s="8" t="s">
        <v>148</v>
      </c>
      <c r="F47" s="7" t="s">
        <v>209</v>
      </c>
      <c r="G47" s="8" t="s">
        <v>258</v>
      </c>
      <c r="H47" s="7" t="s">
        <v>311</v>
      </c>
      <c r="I47" s="8" t="s">
        <v>355</v>
      </c>
      <c r="J47" s="7">
        <v>4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19</v>
      </c>
      <c r="D48" s="14" t="s">
        <v>72</v>
      </c>
      <c r="E48" s="15" t="s">
        <v>149</v>
      </c>
      <c r="F48" s="14" t="s">
        <v>354</v>
      </c>
      <c r="G48" s="15" t="s">
        <v>19</v>
      </c>
      <c r="H48" s="14" t="s">
        <v>355</v>
      </c>
      <c r="I48" s="15" t="s">
        <v>355</v>
      </c>
      <c r="J48" s="14">
        <v>3</v>
      </c>
      <c r="K48" s="16" t="s">
        <v>356</v>
      </c>
    </row>
    <row r="49" spans="1:11" ht="15.75" thickBot="1" x14ac:dyDescent="0.3">
      <c r="A49" s="1"/>
      <c r="B49" s="11">
        <f>ROW(B49) - ROW($B$2)</f>
        <v>47</v>
      </c>
      <c r="C49" s="12" t="s">
        <v>20</v>
      </c>
      <c r="D49" s="7" t="s">
        <v>73</v>
      </c>
      <c r="E49" s="8" t="s">
        <v>150</v>
      </c>
      <c r="F49" s="7" t="s">
        <v>195</v>
      </c>
      <c r="G49" s="8" t="s">
        <v>259</v>
      </c>
      <c r="H49" s="7" t="s">
        <v>312</v>
      </c>
      <c r="I49" s="8" t="s">
        <v>355</v>
      </c>
      <c r="J49" s="7">
        <v>5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21</v>
      </c>
      <c r="D50" s="9" t="s">
        <v>74</v>
      </c>
      <c r="E50" s="10" t="s">
        <v>151</v>
      </c>
      <c r="F50" s="9" t="s">
        <v>195</v>
      </c>
      <c r="G50" s="10" t="s">
        <v>260</v>
      </c>
      <c r="H50" s="9" t="s">
        <v>299</v>
      </c>
      <c r="I50" s="8" t="s">
        <v>355</v>
      </c>
      <c r="J50" s="9">
        <v>10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20</v>
      </c>
      <c r="D51" s="7" t="s">
        <v>75</v>
      </c>
      <c r="E51" s="8" t="s">
        <v>152</v>
      </c>
      <c r="F51" s="7" t="s">
        <v>195</v>
      </c>
      <c r="G51" s="8" t="s">
        <v>261</v>
      </c>
      <c r="H51" s="7" t="s">
        <v>313</v>
      </c>
      <c r="I51" s="8" t="s">
        <v>355</v>
      </c>
      <c r="J51" s="7">
        <v>2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20</v>
      </c>
      <c r="D52" s="9" t="s">
        <v>76</v>
      </c>
      <c r="E52" s="10" t="s">
        <v>153</v>
      </c>
      <c r="F52" s="9" t="s">
        <v>195</v>
      </c>
      <c r="G52" s="10" t="s">
        <v>262</v>
      </c>
      <c r="H52" s="9" t="s">
        <v>299</v>
      </c>
      <c r="I52" s="8" t="s">
        <v>355</v>
      </c>
      <c r="J52" s="9">
        <v>2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22</v>
      </c>
      <c r="D53" s="7" t="s">
        <v>77</v>
      </c>
      <c r="E53" s="8" t="s">
        <v>154</v>
      </c>
      <c r="F53" s="7" t="s">
        <v>195</v>
      </c>
      <c r="G53" s="8" t="s">
        <v>263</v>
      </c>
      <c r="H53" s="7" t="s">
        <v>314</v>
      </c>
      <c r="I53" s="8" t="s">
        <v>355</v>
      </c>
      <c r="J53" s="7">
        <v>2</v>
      </c>
      <c r="K53" s="7"/>
    </row>
    <row r="54" spans="1:11" ht="36.75" thickBot="1" x14ac:dyDescent="0.3">
      <c r="A54" s="1"/>
      <c r="B54" s="11">
        <f t="shared" si="0"/>
        <v>52</v>
      </c>
      <c r="C54" s="13" t="s">
        <v>23</v>
      </c>
      <c r="D54" s="9" t="s">
        <v>78</v>
      </c>
      <c r="E54" s="10" t="s">
        <v>155</v>
      </c>
      <c r="F54" s="9" t="s">
        <v>210</v>
      </c>
      <c r="G54" s="10" t="s">
        <v>264</v>
      </c>
      <c r="H54" s="9" t="s">
        <v>288</v>
      </c>
      <c r="I54" s="10" t="s">
        <v>337</v>
      </c>
      <c r="J54" s="9">
        <v>21</v>
      </c>
      <c r="K54" s="9"/>
    </row>
    <row r="55" spans="1:11" ht="15.75" thickBot="1" x14ac:dyDescent="0.3">
      <c r="A55" s="1"/>
      <c r="B55" s="11">
        <f>ROW(B55) - ROW($B$2)</f>
        <v>53</v>
      </c>
      <c r="C55" s="13" t="s">
        <v>23</v>
      </c>
      <c r="D55" s="7" t="s">
        <v>79</v>
      </c>
      <c r="E55" s="8" t="s">
        <v>156</v>
      </c>
      <c r="F55" s="7" t="s">
        <v>211</v>
      </c>
      <c r="G55" s="8" t="s">
        <v>265</v>
      </c>
      <c r="H55" s="7" t="s">
        <v>288</v>
      </c>
      <c r="I55" s="8" t="s">
        <v>338</v>
      </c>
      <c r="J55" s="7">
        <v>4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23</v>
      </c>
      <c r="D56" s="9" t="s">
        <v>80</v>
      </c>
      <c r="E56" s="10" t="s">
        <v>157</v>
      </c>
      <c r="F56" s="9" t="s">
        <v>212</v>
      </c>
      <c r="G56" s="10" t="s">
        <v>266</v>
      </c>
      <c r="H56" s="9" t="s">
        <v>288</v>
      </c>
      <c r="I56" s="10" t="s">
        <v>339</v>
      </c>
      <c r="J56" s="9">
        <v>2</v>
      </c>
      <c r="K56" s="9"/>
    </row>
    <row r="57" spans="1:11" ht="15.75" thickBot="1" x14ac:dyDescent="0.3">
      <c r="A57" s="1"/>
      <c r="B57" s="11">
        <f>ROW(B57) - ROW($B$2)</f>
        <v>55</v>
      </c>
      <c r="C57" s="13" t="s">
        <v>23</v>
      </c>
      <c r="D57" s="7" t="s">
        <v>81</v>
      </c>
      <c r="E57" s="8" t="s">
        <v>158</v>
      </c>
      <c r="F57" s="7" t="s">
        <v>211</v>
      </c>
      <c r="G57" s="8" t="s">
        <v>267</v>
      </c>
      <c r="H57" s="7" t="s">
        <v>315</v>
      </c>
      <c r="I57" s="8" t="s">
        <v>340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23</v>
      </c>
      <c r="D58" s="9" t="s">
        <v>82</v>
      </c>
      <c r="E58" s="10" t="s">
        <v>159</v>
      </c>
      <c r="F58" s="9" t="s">
        <v>210</v>
      </c>
      <c r="G58" s="10" t="s">
        <v>357</v>
      </c>
      <c r="H58" s="7" t="s">
        <v>315</v>
      </c>
      <c r="I58" s="10" t="s">
        <v>341</v>
      </c>
      <c r="J58" s="9">
        <v>2</v>
      </c>
      <c r="K58" s="9"/>
    </row>
    <row r="59" spans="1:11" ht="15.75" thickBot="1" x14ac:dyDescent="0.3">
      <c r="A59" s="1"/>
      <c r="B59" s="11">
        <f>ROW(B59) - ROW($B$2)</f>
        <v>57</v>
      </c>
      <c r="C59" s="13" t="s">
        <v>23</v>
      </c>
      <c r="D59" s="7" t="s">
        <v>83</v>
      </c>
      <c r="E59" s="8" t="s">
        <v>160</v>
      </c>
      <c r="F59" s="7" t="s">
        <v>211</v>
      </c>
      <c r="G59" s="8" t="s">
        <v>268</v>
      </c>
      <c r="H59" s="7" t="s">
        <v>288</v>
      </c>
      <c r="I59" s="8" t="s">
        <v>342</v>
      </c>
      <c r="J59" s="7">
        <v>8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23</v>
      </c>
      <c r="D60" s="9" t="s">
        <v>84</v>
      </c>
      <c r="E60" s="10" t="s">
        <v>161</v>
      </c>
      <c r="F60" s="9" t="s">
        <v>211</v>
      </c>
      <c r="G60" s="10" t="s">
        <v>269</v>
      </c>
      <c r="H60" s="9" t="s">
        <v>288</v>
      </c>
      <c r="I60" s="10" t="s">
        <v>343</v>
      </c>
      <c r="J60" s="9">
        <v>6</v>
      </c>
      <c r="K60" s="9"/>
    </row>
    <row r="61" spans="1:11" ht="15.75" thickBot="1" x14ac:dyDescent="0.3">
      <c r="A61" s="1"/>
      <c r="B61" s="11">
        <f>ROW(B61) - ROW($B$2)</f>
        <v>59</v>
      </c>
      <c r="C61" s="13" t="s">
        <v>23</v>
      </c>
      <c r="D61" s="7" t="s">
        <v>85</v>
      </c>
      <c r="E61" s="8" t="s">
        <v>162</v>
      </c>
      <c r="F61" s="7" t="s">
        <v>212</v>
      </c>
      <c r="G61" s="8" t="s">
        <v>270</v>
      </c>
      <c r="H61" s="7" t="s">
        <v>288</v>
      </c>
      <c r="I61" s="8" t="s">
        <v>344</v>
      </c>
      <c r="J61" s="7">
        <v>4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23</v>
      </c>
      <c r="D62" s="9" t="s">
        <v>86</v>
      </c>
      <c r="E62" s="10" t="s">
        <v>163</v>
      </c>
      <c r="F62" s="9" t="s">
        <v>211</v>
      </c>
      <c r="G62" s="10" t="s">
        <v>271</v>
      </c>
      <c r="H62" s="9" t="s">
        <v>288</v>
      </c>
      <c r="I62" s="10" t="s">
        <v>337</v>
      </c>
      <c r="J62" s="9">
        <v>4</v>
      </c>
      <c r="K62" s="9"/>
    </row>
    <row r="63" spans="1:11" ht="15.75" thickBot="1" x14ac:dyDescent="0.3">
      <c r="A63" s="1"/>
      <c r="B63" s="11">
        <f>ROW(B63) - ROW($B$2)</f>
        <v>61</v>
      </c>
      <c r="C63" s="13" t="s">
        <v>23</v>
      </c>
      <c r="D63" s="7" t="s">
        <v>87</v>
      </c>
      <c r="E63" s="8" t="s">
        <v>164</v>
      </c>
      <c r="F63" s="7" t="s">
        <v>210</v>
      </c>
      <c r="G63" s="8" t="s">
        <v>272</v>
      </c>
      <c r="H63" s="7" t="s">
        <v>288</v>
      </c>
      <c r="I63" s="8" t="s">
        <v>345</v>
      </c>
      <c r="J63" s="7">
        <v>1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23</v>
      </c>
      <c r="D64" s="9" t="s">
        <v>88</v>
      </c>
      <c r="E64" s="10" t="s">
        <v>165</v>
      </c>
      <c r="F64" s="9" t="s">
        <v>210</v>
      </c>
      <c r="G64" s="10" t="s">
        <v>273</v>
      </c>
      <c r="H64" s="9" t="s">
        <v>288</v>
      </c>
      <c r="I64" s="10" t="s">
        <v>339</v>
      </c>
      <c r="J64" s="9">
        <v>10</v>
      </c>
      <c r="K64" s="9"/>
    </row>
    <row r="65" spans="1:11" ht="24.75" thickBot="1" x14ac:dyDescent="0.3">
      <c r="A65" s="1"/>
      <c r="B65" s="11">
        <f>ROW(B65) - ROW($B$2)</f>
        <v>63</v>
      </c>
      <c r="C65" s="12" t="s">
        <v>23</v>
      </c>
      <c r="D65" s="7" t="s">
        <v>89</v>
      </c>
      <c r="E65" s="8" t="s">
        <v>166</v>
      </c>
      <c r="F65" s="7" t="s">
        <v>210</v>
      </c>
      <c r="G65" s="8" t="s">
        <v>274</v>
      </c>
      <c r="H65" s="7" t="s">
        <v>288</v>
      </c>
      <c r="I65" s="8" t="s">
        <v>342</v>
      </c>
      <c r="J65" s="7">
        <v>12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23</v>
      </c>
      <c r="D66" s="9" t="s">
        <v>90</v>
      </c>
      <c r="E66" s="10" t="s">
        <v>167</v>
      </c>
      <c r="F66" s="9" t="s">
        <v>210</v>
      </c>
      <c r="G66" s="10" t="s">
        <v>275</v>
      </c>
      <c r="H66" s="9" t="s">
        <v>288</v>
      </c>
      <c r="I66" s="10" t="s">
        <v>346</v>
      </c>
      <c r="J66" s="9">
        <v>2</v>
      </c>
      <c r="K66" s="9"/>
    </row>
    <row r="67" spans="1:11" ht="15.75" thickBot="1" x14ac:dyDescent="0.3">
      <c r="A67" s="1"/>
      <c r="B67" s="11">
        <f>ROW(B67) - ROW($B$2)</f>
        <v>65</v>
      </c>
      <c r="C67" s="13" t="s">
        <v>23</v>
      </c>
      <c r="D67" s="7" t="s">
        <v>91</v>
      </c>
      <c r="E67" s="8" t="s">
        <v>168</v>
      </c>
      <c r="F67" s="7" t="s">
        <v>210</v>
      </c>
      <c r="G67" s="8" t="s">
        <v>276</v>
      </c>
      <c r="H67" s="7" t="s">
        <v>288</v>
      </c>
      <c r="I67" s="8" t="s">
        <v>347</v>
      </c>
      <c r="J67" s="7">
        <v>4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23</v>
      </c>
      <c r="D68" s="9" t="s">
        <v>92</v>
      </c>
      <c r="E68" s="10" t="s">
        <v>169</v>
      </c>
      <c r="F68" s="9" t="s">
        <v>210</v>
      </c>
      <c r="G68" s="10" t="s">
        <v>277</v>
      </c>
      <c r="H68" s="9" t="s">
        <v>288</v>
      </c>
      <c r="I68" s="10" t="s">
        <v>338</v>
      </c>
      <c r="J68" s="9">
        <v>4</v>
      </c>
      <c r="K68" s="9"/>
    </row>
    <row r="69" spans="1:11" ht="15.75" thickBot="1" x14ac:dyDescent="0.3">
      <c r="A69" s="1"/>
      <c r="B69" s="11">
        <f>ROW(B69) - ROW($B$2)</f>
        <v>67</v>
      </c>
      <c r="C69" s="13" t="s">
        <v>23</v>
      </c>
      <c r="D69" s="7" t="s">
        <v>93</v>
      </c>
      <c r="E69" s="8" t="s">
        <v>170</v>
      </c>
      <c r="F69" s="7" t="s">
        <v>213</v>
      </c>
      <c r="G69" s="8" t="s">
        <v>278</v>
      </c>
      <c r="H69" s="7" t="s">
        <v>316</v>
      </c>
      <c r="I69" s="8" t="s">
        <v>343</v>
      </c>
      <c r="J69" s="7">
        <v>2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23</v>
      </c>
      <c r="D70" s="9" t="s">
        <v>94</v>
      </c>
      <c r="E70" s="10" t="s">
        <v>171</v>
      </c>
      <c r="F70" s="9" t="s">
        <v>210</v>
      </c>
      <c r="G70" s="10" t="s">
        <v>279</v>
      </c>
      <c r="H70" s="9" t="s">
        <v>316</v>
      </c>
      <c r="I70" s="10" t="s">
        <v>348</v>
      </c>
      <c r="J70" s="9">
        <v>2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23</v>
      </c>
      <c r="D71" s="17" t="s">
        <v>95</v>
      </c>
      <c r="E71" s="18" t="s">
        <v>172</v>
      </c>
      <c r="F71" s="17" t="s">
        <v>210</v>
      </c>
      <c r="G71" s="18" t="s">
        <v>280</v>
      </c>
      <c r="H71" s="17" t="s">
        <v>288</v>
      </c>
      <c r="I71" s="18" t="s">
        <v>332</v>
      </c>
      <c r="J71" s="17">
        <v>2</v>
      </c>
      <c r="K71" s="16" t="s">
        <v>356</v>
      </c>
    </row>
    <row r="72" spans="1:11" ht="15.75" thickBot="1" x14ac:dyDescent="0.3">
      <c r="A72" s="1"/>
      <c r="B72" s="11">
        <f t="shared" si="0"/>
        <v>70</v>
      </c>
      <c r="C72" s="13" t="s">
        <v>23</v>
      </c>
      <c r="D72" s="14" t="s">
        <v>96</v>
      </c>
      <c r="E72" s="15" t="s">
        <v>155</v>
      </c>
      <c r="F72" s="14" t="s">
        <v>210</v>
      </c>
      <c r="G72" s="15" t="s">
        <v>264</v>
      </c>
      <c r="H72" s="14" t="s">
        <v>288</v>
      </c>
      <c r="I72" s="15" t="s">
        <v>332</v>
      </c>
      <c r="J72" s="14">
        <v>2</v>
      </c>
      <c r="K72" s="16" t="s">
        <v>356</v>
      </c>
    </row>
    <row r="73" spans="1:11" ht="15.75" thickBot="1" x14ac:dyDescent="0.3">
      <c r="A73" s="1"/>
      <c r="B73" s="11">
        <f>ROW(B73) - ROW($B$2)</f>
        <v>71</v>
      </c>
      <c r="C73" s="12" t="s">
        <v>23</v>
      </c>
      <c r="D73" s="7" t="s">
        <v>97</v>
      </c>
      <c r="E73" s="8" t="s">
        <v>173</v>
      </c>
      <c r="F73" s="7" t="s">
        <v>214</v>
      </c>
      <c r="G73" s="8" t="s">
        <v>281</v>
      </c>
      <c r="H73" s="7" t="s">
        <v>288</v>
      </c>
      <c r="I73" s="8" t="s">
        <v>349</v>
      </c>
      <c r="J73" s="7">
        <v>1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23</v>
      </c>
      <c r="D74" s="9" t="s">
        <v>98</v>
      </c>
      <c r="E74" s="10" t="s">
        <v>174</v>
      </c>
      <c r="F74" s="9" t="s">
        <v>211</v>
      </c>
      <c r="G74" s="10" t="s">
        <v>282</v>
      </c>
      <c r="H74" s="9" t="s">
        <v>288</v>
      </c>
      <c r="I74" s="10" t="s">
        <v>350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24</v>
      </c>
      <c r="D75" s="7" t="s">
        <v>99</v>
      </c>
      <c r="E75" s="8" t="s">
        <v>175</v>
      </c>
      <c r="F75" s="7" t="s">
        <v>215</v>
      </c>
      <c r="G75" s="8" t="s">
        <v>283</v>
      </c>
      <c r="H75" s="7" t="s">
        <v>312</v>
      </c>
      <c r="I75" s="8" t="s">
        <v>355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24</v>
      </c>
      <c r="D76" s="9" t="s">
        <v>100</v>
      </c>
      <c r="E76" s="10" t="s">
        <v>176</v>
      </c>
      <c r="F76" s="9" t="s">
        <v>216</v>
      </c>
      <c r="G76" s="10" t="s">
        <v>284</v>
      </c>
      <c r="H76" s="9" t="s">
        <v>317</v>
      </c>
      <c r="I76" s="8" t="s">
        <v>355</v>
      </c>
      <c r="J76" s="9">
        <v>1</v>
      </c>
      <c r="K76" s="9"/>
    </row>
    <row r="77" spans="1:11" ht="24.75" thickBot="1" x14ac:dyDescent="0.3">
      <c r="A77" s="1"/>
      <c r="B77" s="11">
        <f>ROW(B77) - ROW($B$2)</f>
        <v>75</v>
      </c>
      <c r="C77" s="12" t="s">
        <v>25</v>
      </c>
      <c r="D77" s="7" t="s">
        <v>101</v>
      </c>
      <c r="E77" s="8" t="s">
        <v>177</v>
      </c>
      <c r="F77" s="7" t="s">
        <v>354</v>
      </c>
      <c r="G77" s="8" t="s">
        <v>217</v>
      </c>
      <c r="H77" s="7" t="s">
        <v>318</v>
      </c>
      <c r="I77" s="8" t="s">
        <v>355</v>
      </c>
      <c r="J77" s="7">
        <v>1</v>
      </c>
      <c r="K77" s="7"/>
    </row>
    <row r="78" spans="1:11" ht="15.75" thickBot="1" x14ac:dyDescent="0.3">
      <c r="A78" s="1"/>
      <c r="B78" s="11">
        <f t="shared" si="0"/>
        <v>76</v>
      </c>
      <c r="C78" s="13"/>
      <c r="D78" s="9" t="s">
        <v>102</v>
      </c>
      <c r="E78" s="10" t="s">
        <v>178</v>
      </c>
      <c r="F78" s="7" t="s">
        <v>354</v>
      </c>
      <c r="G78" s="10" t="s">
        <v>218</v>
      </c>
      <c r="H78" s="9" t="s">
        <v>319</v>
      </c>
      <c r="I78" s="8" t="s">
        <v>355</v>
      </c>
      <c r="J78" s="9">
        <v>2</v>
      </c>
      <c r="K78" s="9"/>
    </row>
    <row r="79" spans="1:11" ht="24.75" thickBot="1" x14ac:dyDescent="0.3">
      <c r="A79" s="1"/>
      <c r="B79" s="11">
        <f>ROW(B79) - ROW($B$2)</f>
        <v>77</v>
      </c>
      <c r="C79" s="12" t="s">
        <v>5</v>
      </c>
      <c r="D79" s="7" t="s">
        <v>103</v>
      </c>
      <c r="E79" s="8" t="s">
        <v>179</v>
      </c>
      <c r="F79" s="7" t="s">
        <v>219</v>
      </c>
      <c r="G79" s="8" t="s">
        <v>285</v>
      </c>
      <c r="H79" s="7" t="s">
        <v>320</v>
      </c>
      <c r="I79" s="8" t="s">
        <v>355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24</v>
      </c>
      <c r="D80" s="9" t="s">
        <v>104</v>
      </c>
      <c r="E80" s="10" t="s">
        <v>180</v>
      </c>
      <c r="F80" s="9" t="s">
        <v>220</v>
      </c>
      <c r="G80" s="10" t="s">
        <v>286</v>
      </c>
      <c r="H80" s="9" t="s">
        <v>321</v>
      </c>
      <c r="I80" s="8" t="s">
        <v>355</v>
      </c>
      <c r="J80" s="9">
        <v>1</v>
      </c>
      <c r="K8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2025-07-23T07:59:53Z</dcterms:modified>
</cp:coreProperties>
</file>