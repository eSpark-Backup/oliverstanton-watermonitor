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Smart_Connect_Board\Deliverables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81" i="1" l="1"/>
  <c r="O5" i="1" l="1"/>
  <c r="O6" i="1"/>
  <c r="O7" i="1"/>
  <c r="O8" i="1"/>
  <c r="O9" i="1"/>
  <c r="O10" i="1"/>
  <c r="O11" i="1"/>
  <c r="O12" i="1"/>
  <c r="O14" i="1"/>
  <c r="O15" i="1"/>
  <c r="O16" i="1"/>
  <c r="O17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9" i="1"/>
  <c r="O41" i="1"/>
  <c r="O42" i="1"/>
  <c r="O43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4" i="1"/>
  <c r="Q80" i="1" l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M72" i="1"/>
  <c r="B72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/>
  <c r="M9" i="1"/>
  <c r="B9" i="1"/>
  <c r="Q8" i="1"/>
  <c r="M8" i="1"/>
  <c r="B8" i="1"/>
  <c r="Q7" i="1"/>
  <c r="M7" i="1"/>
  <c r="B7" i="1"/>
  <c r="Q6" i="1"/>
  <c r="M6" i="1"/>
  <c r="B6" i="1"/>
  <c r="Q5" i="1"/>
  <c r="M5" i="1"/>
  <c r="B5" i="1"/>
  <c r="Q82" i="1" l="1"/>
  <c r="Q4" i="1"/>
  <c r="Q3" i="1"/>
  <c r="M4" i="1"/>
  <c r="M3" i="1"/>
  <c r="B4" i="1"/>
  <c r="B3" i="1"/>
</calcChain>
</file>

<file path=xl/sharedStrings.xml><?xml version="1.0" encoding="utf-8"?>
<sst xmlns="http://schemas.openxmlformats.org/spreadsheetml/2006/main" count="888" uniqueCount="580">
  <si>
    <t>#</t>
  </si>
  <si>
    <t xml:space="preserve">Total Component Cost </t>
  </si>
  <si>
    <t>Single Board Cost</t>
  </si>
  <si>
    <t>Item Type</t>
  </si>
  <si>
    <t>Capacitor</t>
  </si>
  <si>
    <t>Diode</t>
  </si>
  <si>
    <t>Zener diode</t>
  </si>
  <si>
    <t>ESD Diode</t>
  </si>
  <si>
    <t>Protection Device</t>
  </si>
  <si>
    <t>Fuse</t>
  </si>
  <si>
    <t>Ferrite Bead</t>
  </si>
  <si>
    <t>Wire To Board Connector</t>
  </si>
  <si>
    <t>Connector</t>
  </si>
  <si>
    <t>UFL Connector</t>
  </si>
  <si>
    <t>SIM Card Connectors</t>
  </si>
  <si>
    <t>Pogo Connector</t>
  </si>
  <si>
    <t>Terminal Blocks</t>
  </si>
  <si>
    <t>Male Header</t>
  </si>
  <si>
    <t>Header</t>
  </si>
  <si>
    <t>Inductor</t>
  </si>
  <si>
    <t>LED</t>
  </si>
  <si>
    <t>TEST POINT</t>
  </si>
  <si>
    <t>Mosfet</t>
  </si>
  <si>
    <t>BJTs</t>
  </si>
  <si>
    <t>Transister</t>
  </si>
  <si>
    <t>Resistor</t>
  </si>
  <si>
    <t>IC</t>
  </si>
  <si>
    <t>IC Module</t>
  </si>
  <si>
    <t>Designator</t>
  </si>
  <si>
    <t>C1, C2, C4, C9, C11, C34, C35</t>
  </si>
  <si>
    <t>C3</t>
  </si>
  <si>
    <t>C5, C6</t>
  </si>
  <si>
    <t>C7</t>
  </si>
  <si>
    <t>C8, C10, C12, C36, C37</t>
  </si>
  <si>
    <t>C13</t>
  </si>
  <si>
    <t>C14</t>
  </si>
  <si>
    <t>C15, C22, C43</t>
  </si>
  <si>
    <t>C16</t>
  </si>
  <si>
    <t>C17, C40, C41</t>
  </si>
  <si>
    <t>C18, C19</t>
  </si>
  <si>
    <t>C20, C21, C23, C25, C26, C31, C32</t>
  </si>
  <si>
    <t>C24, C30, C33, C42</t>
  </si>
  <si>
    <t>C27, C28, C29</t>
  </si>
  <si>
    <t>C38, C39</t>
  </si>
  <si>
    <t>C44, C45</t>
  </si>
  <si>
    <t>C46</t>
  </si>
  <si>
    <t>C47</t>
  </si>
  <si>
    <t>D1</t>
  </si>
  <si>
    <t>D2</t>
  </si>
  <si>
    <t>D3</t>
  </si>
  <si>
    <t>D4</t>
  </si>
  <si>
    <t>D5</t>
  </si>
  <si>
    <t>D6, D14</t>
  </si>
  <si>
    <t>D8, D13</t>
  </si>
  <si>
    <t>D9, D11</t>
  </si>
  <si>
    <t>D10</t>
  </si>
  <si>
    <t>D12</t>
  </si>
  <si>
    <t>F1</t>
  </si>
  <si>
    <t>FB1</t>
  </si>
  <si>
    <t>J1, J2</t>
  </si>
  <si>
    <t>J3</t>
  </si>
  <si>
    <t>J4, J5</t>
  </si>
  <si>
    <t>J6</t>
  </si>
  <si>
    <t>J7</t>
  </si>
  <si>
    <t>J8</t>
  </si>
  <si>
    <t>J9</t>
  </si>
  <si>
    <t>J10, J11</t>
  </si>
  <si>
    <t>J12</t>
  </si>
  <si>
    <t>J13</t>
  </si>
  <si>
    <t>L1</t>
  </si>
  <si>
    <t>L2</t>
  </si>
  <si>
    <t>LED1</t>
  </si>
  <si>
    <t>LED2</t>
  </si>
  <si>
    <t>LED3, LED4, LED5, LED6</t>
  </si>
  <si>
    <t>P1, P2, P3</t>
  </si>
  <si>
    <t>Q1, Q2, Q3, Q4, Q21</t>
  </si>
  <si>
    <t>Q5, Q6, Q7, Q8, Q9, Q10, Q11, Q12, Q17, Q18</t>
  </si>
  <si>
    <t>Q13, Q14</t>
  </si>
  <si>
    <t>Q15, Q16</t>
  </si>
  <si>
    <t>Q19, Q20</t>
  </si>
  <si>
    <t>R1, R2, R3, R4, R5, R6, R7, R8, R9, R10, R11, R12, R13, R14, R15, R16, R17, R18, R19, R86, R88</t>
  </si>
  <si>
    <t>R20, R41, R43, R47</t>
  </si>
  <si>
    <t>R21, R22</t>
  </si>
  <si>
    <t>R23</t>
  </si>
  <si>
    <t>R24, R27</t>
  </si>
  <si>
    <t>R25, R28, R30, R37, R39, R40, R42, R90</t>
  </si>
  <si>
    <t>R26, R29, R31, R32, R38, R91</t>
  </si>
  <si>
    <t>R33, R34, R35, R36</t>
  </si>
  <si>
    <t>R44, R46, R93, R94</t>
  </si>
  <si>
    <t>R45</t>
  </si>
  <si>
    <t>R48, R49, R54, R55, R71, R73, R74, R75, R84, R85</t>
  </si>
  <si>
    <t>R50, R51, R52, R53, R58, R59, R68, R69, R70, R72, R80, R81</t>
  </si>
  <si>
    <t>R56, R57</t>
  </si>
  <si>
    <t>R60, R61, R62, R63</t>
  </si>
  <si>
    <t>R64, R65, R82, R83</t>
  </si>
  <si>
    <t>R66, R67</t>
  </si>
  <si>
    <t>R76, R78</t>
  </si>
  <si>
    <t>R77, R79</t>
  </si>
  <si>
    <t>R87, R89</t>
  </si>
  <si>
    <t>R92</t>
  </si>
  <si>
    <t>R95</t>
  </si>
  <si>
    <t>U1</t>
  </si>
  <si>
    <t>U2</t>
  </si>
  <si>
    <t>U3</t>
  </si>
  <si>
    <t>U4, U6</t>
  </si>
  <si>
    <t>U5</t>
  </si>
  <si>
    <t>U7</t>
  </si>
  <si>
    <t>Description</t>
  </si>
  <si>
    <t>CAP CER 0.1UF 50V Y5V 0603</t>
  </si>
  <si>
    <t>CAP TANT 100UF 20% 10V 1411</t>
  </si>
  <si>
    <t>CAP CER 47UF 25V X5R 1206</t>
  </si>
  <si>
    <t>CAP CER 0.1UF 25V X7R 0402</t>
  </si>
  <si>
    <t>CAP ALUM 10uF 25V SMD</t>
  </si>
  <si>
    <t>CAP CER 2.2UF 25V X5R 0402</t>
  </si>
  <si>
    <t>CAP CER 10PF 50V C0G/NP0 0402</t>
  </si>
  <si>
    <t>CAP CER 33PF 25V C0G/NP0 0402</t>
  </si>
  <si>
    <t>CAP CER 0.1UF 50V X5R 0402</t>
  </si>
  <si>
    <t>CAP CER 1UF 16V X5R 0402</t>
  </si>
  <si>
    <t>CAP CER, X5R, 10 V, 1206 [3216 Metric]</t>
  </si>
  <si>
    <t>CAP CER 0.1UF 25V X6S 0201</t>
  </si>
  <si>
    <t>CAP CER 0.1UF 100V X5R 0402</t>
  </si>
  <si>
    <t>CAP CER 22PF 50V C0G/NP0 0201</t>
  </si>
  <si>
    <t>CAP CER 1UF 25V X5R 0603</t>
  </si>
  <si>
    <t>CAP CER 1PF 50V C0G/NPO 0402</t>
  </si>
  <si>
    <t>CAP CER 1UF 10V X5R 0402</t>
  </si>
  <si>
    <t>CAP CER 100PF 50V C0G/NPO 0402</t>
  </si>
  <si>
    <t>SCHOTTKY DIODE SMB 100V 5A</t>
  </si>
  <si>
    <t>Independent 5W 18V SMB Zener Diodes ROHS</t>
  </si>
  <si>
    <t>DIODE ZENER 16V 1.5W SMA</t>
  </si>
  <si>
    <t>0402 ESD Protection Devices ROHS</t>
  </si>
  <si>
    <t>SOD-523 ESD Protection Devices ROHS</t>
  </si>
  <si>
    <t>5V 10V 3.3V Bi-Directional SOD-882 ESD Protection Devices ROHS</t>
  </si>
  <si>
    <t>TVS DIODE 5VWM 6.3VC DSN0603-2</t>
  </si>
  <si>
    <t>16A 20V 7V 5V@Max Unidirectional SOT-23 TVS ROHS</t>
  </si>
  <si>
    <t>SOT-23 TVS ROHS</t>
  </si>
  <si>
    <t>6V 500mA 40A 1A 0603 Resettable Fuses ROHS</t>
  </si>
  <si>
    <t>FERRITE BEAD 220 OHM 0805 1LN</t>
  </si>
  <si>
    <t>1x12P 12P PicoBlade(MX 1.25) Tin 12 -25℃~+85℃ 2A 1 1.25mm Brass Surface Mount,Vertical SMD,P=1.25mm Wire To Board Connector ROHS</t>
  </si>
  <si>
    <t>1x6P 6P PicoBlade(MX 1.25) Tin 6 -25℃~+85℃ 2A 1 1.25mm Brass Surface Mount,Vertical SMD,P=1.25mm Wire To Board Connector ROHS</t>
  </si>
  <si>
    <t>CONN U.FL RCPT STR 50 OHM SMD</t>
  </si>
  <si>
    <t>Copper Alloy Self bomb Gold plating 1.25mm Deck -40℃~+85℃ 260℃ NanoSIM SMD SIM Card Connectors ROHS</t>
  </si>
  <si>
    <t>Pogo Pad 2.5mm 4 Pin</t>
  </si>
  <si>
    <t>TERMINAL BLOCK, SCREW TYPE, 5.08</t>
  </si>
  <si>
    <t>Gold 250V 3A Straight Square Pins 2.5mm 2P 260℃ 6mm -40℃~+105℃ 3mm 2.54mm Plugin Black Brass 1x2P Plugin,P=2.54mm Pin Headers ROHS</t>
  </si>
  <si>
    <t>Straight Square Pins 2.5mm 7P 6mm -40℃~+105℃ 3mm 2.54mm Plugin Black Brass 1x7P Plugin,P=2.54mm Pin Headers ROHS</t>
  </si>
  <si>
    <t>Straight Square Pins 2.5mm 6mm -40℃~+105℃ 3mm 5 2.54mm 单排 Black Brass 1x5P Plugin,P=2.54mm Pin Headers ROHS</t>
  </si>
  <si>
    <t>3.5A 47uH ±20% 4A 125mΩ SMD,10x11mm Inductors (SMD) ROHS</t>
  </si>
  <si>
    <t>Ind Chip Wirewound 68nH 5% 200MHz 37Q-Factor Ceramic 600mA 0603</t>
  </si>
  <si>
    <t>Yellow-Green 572nm LED Indication - Discrete 2.05V 0603 (1608 Metric)</t>
  </si>
  <si>
    <t>Red 632nm LED Indication - Discrete 2.05V 0603 (1608 Metric)</t>
  </si>
  <si>
    <t>LED RED CLEAR CHIP SMD</t>
  </si>
  <si>
    <t>Test Point ON</t>
  </si>
  <si>
    <t>TRANS NPN 40V 0.6A SMD SOT23-3</t>
  </si>
  <si>
    <t>TRANS NPN 45V 0.1A TO-236AB</t>
  </si>
  <si>
    <t>MOSFET P-CH 20V 3.7A SOT23</t>
  </si>
  <si>
    <t>TRANS PNP 45V 0.1A TO-236AB</t>
  </si>
  <si>
    <t>TRANS NPN 160V 0.6A SOT-23</t>
  </si>
  <si>
    <t>RES 0 OHM JUMPER 1/10W 0603</t>
  </si>
  <si>
    <t>RES 10K OHM 1% 1/16W 0402</t>
  </si>
  <si>
    <t>RES 1K OHM 1% 1/20W 0201</t>
  </si>
  <si>
    <t>RES SMD 10 OHM 1% 1/5W 0402</t>
  </si>
  <si>
    <t>RES SMD 220 OHM 1% 1/10W 0603</t>
  </si>
  <si>
    <t>RES 4.7K OHM 1% 1/16W 0402</t>
  </si>
  <si>
    <t>RES 47K OHM 1% 1/16W 0402</t>
  </si>
  <si>
    <t>RES 22 OHM 1% 1/20W 0201</t>
  </si>
  <si>
    <t>RES 0 OHM JUMPER 1/16W 0402</t>
  </si>
  <si>
    <t>RES 120 OHM 1% 1/10W 0603</t>
  </si>
  <si>
    <t>RES SMD 1K OHM 1% 1/10W 0603</t>
  </si>
  <si>
    <t>RES SMD 4.7K OHM 1% 1/10W 0603</t>
  </si>
  <si>
    <t>RES  SMD 330R 100 mW 0603</t>
  </si>
  <si>
    <t>RES 100K OHM 1% 1/10W 0603</t>
  </si>
  <si>
    <t>RES SMD 10K Ohm 1% 1/10W 0603</t>
  </si>
  <si>
    <t>RES SMD 47K OHM 1% 1/3W 0805</t>
  </si>
  <si>
    <t>RES 150K OHM 1% 1/10W 0603</t>
  </si>
  <si>
    <t>RES SMD 1M OHM 1% 1/10W 0603</t>
  </si>
  <si>
    <t>RES 51 OHM 1% 1/4W 1206</t>
  </si>
  <si>
    <t>RES 470K OHM 1% 1/16W 0402</t>
  </si>
  <si>
    <t>IC REG BUCK 3.3V 2A 8SOP</t>
  </si>
  <si>
    <t>IC REG LINEAR 3.3V 1A 8DFN</t>
  </si>
  <si>
    <t>RF TXRX MODULE CELLULAR SMD</t>
  </si>
  <si>
    <t>IC TRNSLTR BIDIRECTIONAL US8</t>
  </si>
  <si>
    <t>15V 5 Unidirectional 5V SOT-363 ESD Protection Devices ROHS</t>
  </si>
  <si>
    <t>SOP-8 RS-485/RS-422 ICs ROHS</t>
  </si>
  <si>
    <t>Footprint</t>
  </si>
  <si>
    <t>Cap-0603</t>
  </si>
  <si>
    <t>Case-B</t>
  </si>
  <si>
    <t>Cap-1206</t>
  </si>
  <si>
    <t>Cap-0402</t>
  </si>
  <si>
    <t>CAP-0201</t>
  </si>
  <si>
    <t>SMB_</t>
  </si>
  <si>
    <t>SMA</t>
  </si>
  <si>
    <t>TPESD0402G03V</t>
  </si>
  <si>
    <t>SOD-523</t>
  </si>
  <si>
    <t>SOD-882 Bi Directional</t>
  </si>
  <si>
    <t>DSN0603-2</t>
  </si>
  <si>
    <t>SOD-523 (Bi-Directional)</t>
  </si>
  <si>
    <t>Sot-23</t>
  </si>
  <si>
    <t>SOT-23</t>
  </si>
  <si>
    <t>Fuse-0603</t>
  </si>
  <si>
    <t>Ind-0805</t>
  </si>
  <si>
    <t>HC-1.25-12PLT</t>
  </si>
  <si>
    <t>HC-1.25-6PLT</t>
  </si>
  <si>
    <t>XKNANO-113</t>
  </si>
  <si>
    <t>TB008A-508-04BE</t>
  </si>
  <si>
    <t>HDR1X2_</t>
  </si>
  <si>
    <t>TB008A-508-03BE</t>
  </si>
  <si>
    <t>HDR1X7</t>
  </si>
  <si>
    <t>HDR1X5_</t>
  </si>
  <si>
    <t>MDA1040-470M</t>
  </si>
  <si>
    <t>IND-0603 (1608 Metric)</t>
  </si>
  <si>
    <t>LED-0603</t>
  </si>
  <si>
    <t>LED-0402</t>
  </si>
  <si>
    <t>Res-0603</t>
  </si>
  <si>
    <t>Res-0402</t>
  </si>
  <si>
    <t>Res-0201</t>
  </si>
  <si>
    <t>RES-0805</t>
  </si>
  <si>
    <t>Res-1206</t>
  </si>
  <si>
    <t>SOP-8L</t>
  </si>
  <si>
    <t>DFN-8(1.2x1.6)</t>
  </si>
  <si>
    <t>A7672E (FASE)</t>
  </si>
  <si>
    <t>TXB0102DCUT</t>
  </si>
  <si>
    <t>SOT-363</t>
  </si>
  <si>
    <t>SOP-8</t>
  </si>
  <si>
    <t>Manufacturer Part Number</t>
  </si>
  <si>
    <t>CC0603ZRY5V9BB104</t>
  </si>
  <si>
    <t>TAJB107M010RNJ</t>
  </si>
  <si>
    <t>GRM31CR61E476ME44L</t>
  </si>
  <si>
    <t>GRM155R71E104KE14D</t>
  </si>
  <si>
    <t>RVT1E100M0405</t>
  </si>
  <si>
    <t>GRM155R61E225KE11D</t>
  </si>
  <si>
    <t>GRM1555C1H100JA01D</t>
  </si>
  <si>
    <t>GRM1555C1E330JA01D</t>
  </si>
  <si>
    <t>C1005X5R1H104K050BB</t>
  </si>
  <si>
    <t>CC0402KRX5R7BB105</t>
  </si>
  <si>
    <t>C3216X5R1A107M160AC</t>
  </si>
  <si>
    <t>GRM033C81E104KE14D</t>
  </si>
  <si>
    <t>GRM155R62A104KE14D</t>
  </si>
  <si>
    <t>GRM0335C1H220JA01D</t>
  </si>
  <si>
    <t>CC0603KRX5R8BB105</t>
  </si>
  <si>
    <t>CC0402BRNPO9BN1R0</t>
  </si>
  <si>
    <t>CC0402KRX5R6BB105</t>
  </si>
  <si>
    <t>CC0402JRNPO9BN101</t>
  </si>
  <si>
    <t>SS510B</t>
  </si>
  <si>
    <t>SMBJ5355B-MS</t>
  </si>
  <si>
    <t>1SMA5930BT3G</t>
  </si>
  <si>
    <t>LESD5D5.0CT1G</t>
  </si>
  <si>
    <t>LESD8D3.3CAT5G</t>
  </si>
  <si>
    <t>PESD5V0H1BSFYL</t>
  </si>
  <si>
    <t>ESD5302F-3/TR</t>
  </si>
  <si>
    <t>SM712</t>
  </si>
  <si>
    <t>SMD0603-050</t>
  </si>
  <si>
    <t>MPZ2012S221ATD25</t>
  </si>
  <si>
    <t>U.FL-R-SMT-1(80)</t>
  </si>
  <si>
    <t>POGO Connector 4 Pin</t>
  </si>
  <si>
    <t>X6511WV-02H-C60D30</t>
  </si>
  <si>
    <t>PZ254V-11-07P</t>
  </si>
  <si>
    <t>PZ254V-11-05P</t>
  </si>
  <si>
    <t>0603CS-68NXJLW</t>
  </si>
  <si>
    <t>19-21/G6C-FM1N2B/3T</t>
  </si>
  <si>
    <t>19-21/R7C-AK1L2BY/3T</t>
  </si>
  <si>
    <t>XZMDK68W-2</t>
  </si>
  <si>
    <t>MMBT2222A-7-F</t>
  </si>
  <si>
    <t>BC847C,215</t>
  </si>
  <si>
    <t>IRLML6402TRPBF</t>
  </si>
  <si>
    <t>BC857A,215</t>
  </si>
  <si>
    <t>MMBT5551LT1G</t>
  </si>
  <si>
    <t>RC0603JR-070RL</t>
  </si>
  <si>
    <t>RC0402FR-0710KL</t>
  </si>
  <si>
    <t>RC0201FR-071KP</t>
  </si>
  <si>
    <t>CRCW040210R0FKEDHP</t>
  </si>
  <si>
    <t>RC0402FR-074K7L</t>
  </si>
  <si>
    <t>RC0402FR-0747KL</t>
  </si>
  <si>
    <t>RC0201FR-0722RL</t>
  </si>
  <si>
    <t>RC0402FR-070RL</t>
  </si>
  <si>
    <t>RC0603FR-07120RL</t>
  </si>
  <si>
    <t>RC0603FR-071KL</t>
  </si>
  <si>
    <t>RC0603FR-074K7L</t>
  </si>
  <si>
    <t>RC0603JR-07330RL</t>
  </si>
  <si>
    <t>RC0603FR-07100KL</t>
  </si>
  <si>
    <t>RC0603FR-0710KL</t>
  </si>
  <si>
    <t>CRCW080547K0FKEAHP</t>
  </si>
  <si>
    <t>CRCW0603150KFKEA</t>
  </si>
  <si>
    <t>RC0603FR-071ML</t>
  </si>
  <si>
    <t>RC1206FR-0751RL</t>
  </si>
  <si>
    <t>RC0402FR-07470KL</t>
  </si>
  <si>
    <t>AP1509-33SG-13</t>
  </si>
  <si>
    <t>LD56100DPU33R</t>
  </si>
  <si>
    <t>SMF05CT1G-ES</t>
  </si>
  <si>
    <t>SP3485EIM/TR</t>
  </si>
  <si>
    <t>Manufacturer</t>
  </si>
  <si>
    <t>Yageo</t>
  </si>
  <si>
    <t>Kyocera AVX</t>
  </si>
  <si>
    <t>Murata</t>
  </si>
  <si>
    <t>ROQANG</t>
  </si>
  <si>
    <t>TDK</t>
  </si>
  <si>
    <t>MDD</t>
  </si>
  <si>
    <t>MSKSEMI</t>
  </si>
  <si>
    <t>onsemi</t>
  </si>
  <si>
    <t>TECH PUBLIC</t>
  </si>
  <si>
    <t>UMW</t>
  </si>
  <si>
    <t>LRC</t>
  </si>
  <si>
    <t>Nexperia</t>
  </si>
  <si>
    <t>WILLSEMI</t>
  </si>
  <si>
    <t>TECHFUSE</t>
  </si>
  <si>
    <t>HCTL</t>
  </si>
  <si>
    <t>Hirose</t>
  </si>
  <si>
    <t>XKB Connectivity</t>
  </si>
  <si>
    <t>Same Sky</t>
  </si>
  <si>
    <t>XKB</t>
  </si>
  <si>
    <t>XFCN</t>
  </si>
  <si>
    <t>KOHERelec</t>
  </si>
  <si>
    <t>Coilcraft</t>
  </si>
  <si>
    <t>Everlight Elec</t>
  </si>
  <si>
    <t>SunLED</t>
  </si>
  <si>
    <t>Diodes</t>
  </si>
  <si>
    <t>International Rectifier</t>
  </si>
  <si>
    <t>ON Semiconductor</t>
  </si>
  <si>
    <t>Vishay Dale</t>
  </si>
  <si>
    <t>Vishay</t>
  </si>
  <si>
    <t>STMicroelectronics</t>
  </si>
  <si>
    <t>SIMCom Wireless Solutions Limited</t>
  </si>
  <si>
    <t>Texas Instruments</t>
  </si>
  <si>
    <t>ElecSuper</t>
  </si>
  <si>
    <t>HGSEMI</t>
  </si>
  <si>
    <t>LCSC Part Number</t>
  </si>
  <si>
    <t>C106221</t>
  </si>
  <si>
    <t>C7196</t>
  </si>
  <si>
    <t>C403725</t>
  </si>
  <si>
    <t>C77014</t>
  </si>
  <si>
    <t>C970655</t>
  </si>
  <si>
    <t>C385032</t>
  </si>
  <si>
    <t>C76946</t>
  </si>
  <si>
    <t>C441758</t>
  </si>
  <si>
    <t>C2181865</t>
  </si>
  <si>
    <t>C325464</t>
  </si>
  <si>
    <t>C162178</t>
  </si>
  <si>
    <t>C76924</t>
  </si>
  <si>
    <t>C14664</t>
  </si>
  <si>
    <t>C309455</t>
  </si>
  <si>
    <t>C106254</t>
  </si>
  <si>
    <t>C106200</t>
  </si>
  <si>
    <t>C3011128</t>
  </si>
  <si>
    <t>C18547762</t>
  </si>
  <si>
    <t>C128848</t>
  </si>
  <si>
    <t>C558614</t>
  </si>
  <si>
    <t>C5199850</t>
  </si>
  <si>
    <t>C172409</t>
  </si>
  <si>
    <t>C477989</t>
  </si>
  <si>
    <t>C239643</t>
  </si>
  <si>
    <t>C521963</t>
  </si>
  <si>
    <t>C69679</t>
  </si>
  <si>
    <t>C307778</t>
  </si>
  <si>
    <t>C2937190</t>
  </si>
  <si>
    <t>C2845392</t>
  </si>
  <si>
    <t>C88374</t>
  </si>
  <si>
    <t>C381071</t>
  </si>
  <si>
    <t>C706874</t>
  </si>
  <si>
    <t>C492406</t>
  </si>
  <si>
    <t>C492404</t>
  </si>
  <si>
    <t>C2847557</t>
  </si>
  <si>
    <t>C94515</t>
  </si>
  <si>
    <t>C8664</t>
  </si>
  <si>
    <t>C5182043</t>
  </si>
  <si>
    <t>C201757</t>
  </si>
  <si>
    <t>C909756</t>
  </si>
  <si>
    <t>C95177</t>
  </si>
  <si>
    <t>C60490</t>
  </si>
  <si>
    <t>C3953443</t>
  </si>
  <si>
    <t>C4013850</t>
  </si>
  <si>
    <t>C844757</t>
  </si>
  <si>
    <t>C105871</t>
  </si>
  <si>
    <t>C93943</t>
  </si>
  <si>
    <t>C155743</t>
  </si>
  <si>
    <t>C106231</t>
  </si>
  <si>
    <t>C114640</t>
  </si>
  <si>
    <t>C22548</t>
  </si>
  <si>
    <t>C99782</t>
  </si>
  <si>
    <t>C105879</t>
  </si>
  <si>
    <t>C14675</t>
  </si>
  <si>
    <t>C98220</t>
  </si>
  <si>
    <t>C844000</t>
  </si>
  <si>
    <t>C105578</t>
  </si>
  <si>
    <t>C137256</t>
  </si>
  <si>
    <t>C137976</t>
  </si>
  <si>
    <t>C151823</t>
  </si>
  <si>
    <t>C2969937</t>
  </si>
  <si>
    <t>C5180312</t>
  </si>
  <si>
    <t>C519086</t>
  </si>
  <si>
    <t>0.1uF</t>
  </si>
  <si>
    <t>100uF</t>
  </si>
  <si>
    <t>47uF</t>
  </si>
  <si>
    <t>10uF</t>
  </si>
  <si>
    <t>2.2uf</t>
  </si>
  <si>
    <t>10pF</t>
  </si>
  <si>
    <t>33pF</t>
  </si>
  <si>
    <t>1uF</t>
  </si>
  <si>
    <t>0.1uf</t>
  </si>
  <si>
    <t>22pF</t>
  </si>
  <si>
    <t>DNP</t>
  </si>
  <si>
    <t>100pF</t>
  </si>
  <si>
    <t>100MHz</t>
  </si>
  <si>
    <t>47uH</t>
  </si>
  <si>
    <t>68nH</t>
  </si>
  <si>
    <t>0R</t>
  </si>
  <si>
    <t>10K</t>
  </si>
  <si>
    <t>1K</t>
  </si>
  <si>
    <t>10R</t>
  </si>
  <si>
    <t>220R</t>
  </si>
  <si>
    <t>4.7K</t>
  </si>
  <si>
    <t>47K</t>
  </si>
  <si>
    <t>22R</t>
  </si>
  <si>
    <t>120R</t>
  </si>
  <si>
    <t>330R</t>
  </si>
  <si>
    <t>100K</t>
  </si>
  <si>
    <t>150K</t>
  </si>
  <si>
    <t>51R</t>
  </si>
  <si>
    <t>470K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</si>
  <si>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</si>
  <si>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</si>
  <si>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</si>
  <si>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</si>
  <si>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</si>
  <si>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</si>
  <si>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</si>
  <si>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</si>
  <si>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 xml:space="preserve"> Remarks</t>
  </si>
  <si>
    <t>-</t>
  </si>
  <si>
    <t>DO NOT PLACE</t>
  </si>
  <si>
    <t>Custom</t>
  </si>
  <si>
    <t>CRCW0603220RFKEA</t>
  </si>
  <si>
    <t>5</t>
  </si>
  <si>
    <t>10</t>
  </si>
  <si>
    <t>100</t>
  </si>
  <si>
    <t>40</t>
  </si>
  <si>
    <t>50</t>
  </si>
  <si>
    <t>20</t>
  </si>
  <si>
    <t>15</t>
  </si>
  <si>
    <t>200</t>
  </si>
  <si>
    <t>0.2615</t>
  </si>
  <si>
    <t>0.2845</t>
  </si>
  <si>
    <t>0.0030</t>
  </si>
  <si>
    <t>0.0147</t>
  </si>
  <si>
    <t>0.0179</t>
  </si>
  <si>
    <t>0.0025</t>
  </si>
  <si>
    <t>0.0151</t>
  </si>
  <si>
    <t>0.0985</t>
  </si>
  <si>
    <t>0.0041</t>
  </si>
  <si>
    <t>0.0089</t>
  </si>
  <si>
    <t>0.0096</t>
  </si>
  <si>
    <t>0.0014</t>
  </si>
  <si>
    <t>0.0054</t>
  </si>
  <si>
    <t>0.0022</t>
  </si>
  <si>
    <t>0.0011</t>
  </si>
  <si>
    <t>0.0362</t>
  </si>
  <si>
    <t>0.1705</t>
  </si>
  <si>
    <t>0.1711</t>
  </si>
  <si>
    <t>0.0198</t>
  </si>
  <si>
    <t>0.0155</t>
  </si>
  <si>
    <t>0.0088</t>
  </si>
  <si>
    <t>0.0343</t>
  </si>
  <si>
    <t>0.0820</t>
  </si>
  <si>
    <t>0.0397</t>
  </si>
  <si>
    <t>0.0391</t>
  </si>
  <si>
    <t>0.0334</t>
  </si>
  <si>
    <t>0.1706</t>
  </si>
  <si>
    <t>0.1088</t>
  </si>
  <si>
    <t>0.0809</t>
  </si>
  <si>
    <t>0.6220</t>
  </si>
  <si>
    <t>0.0308</t>
  </si>
  <si>
    <t>0.0386</t>
  </si>
  <si>
    <t>0.0284</t>
  </si>
  <si>
    <t>0.9397</t>
  </si>
  <si>
    <t>0.0275</t>
  </si>
  <si>
    <t>0.0094</t>
  </si>
  <si>
    <t>0.0828</t>
  </si>
  <si>
    <t>0.0149</t>
  </si>
  <si>
    <t>0.0006</t>
  </si>
  <si>
    <t>0.0082</t>
  </si>
  <si>
    <t>0.0185</t>
  </si>
  <si>
    <t>0.0049</t>
  </si>
  <si>
    <t>0.0007</t>
  </si>
  <si>
    <t>0.0009</t>
  </si>
  <si>
    <t>0.0012</t>
  </si>
  <si>
    <t>0.0010</t>
  </si>
  <si>
    <t>0.0270</t>
  </si>
  <si>
    <t>0.0044</t>
  </si>
  <si>
    <t>0.0037</t>
  </si>
  <si>
    <t>0.4689</t>
  </si>
  <si>
    <t>0.7171</t>
  </si>
  <si>
    <t>28.2185</t>
  </si>
  <si>
    <t>0.3017</t>
  </si>
  <si>
    <t>0.0268</t>
  </si>
  <si>
    <t>0.2422</t>
  </si>
  <si>
    <t>https://lcsc.com/product-detail/tantalum-capacitors_kyocera-avx-tajb107m010rnj_C7196.html</t>
  </si>
  <si>
    <t>https://lcsc.com/product-detail/multilayer-ceramic-capacitors-mlcc-smd-smt_murata-grm31cr61e476me44l_C403725.html</t>
  </si>
  <si>
    <t>https://lcsc.com/product-detail/multilayer-ceramic-capacitors-mlcc-smd-smt_murata-grm155r71e104ke14d_C77014.html</t>
  </si>
  <si>
    <t>https://lcsc.com/product-detail/aluminum-electrolytic-capacitors-smd_dmbj-rvt1e100m0405-10uf-25v_C970655.html</t>
  </si>
  <si>
    <t>https://lcsc.com/product-detail/multilayer-ceramic-capacitors-mlcc-smd-smt_murata-grm155r61e225ke11d_C385032.html</t>
  </si>
  <si>
    <t>https://lcsc.com/product-detail/multilayer-ceramic-capacitors-mlcc-smd-smt_murata-grm1555c1h100ja01d_C76946.html</t>
  </si>
  <si>
    <t>https://lcsc.com/product-detail/multilayer-ceramic-capacitors-mlcc-smd-smt_murata-grm1555c1e330ja01d_C441758.html</t>
  </si>
  <si>
    <t>https://lcsc.com/product-detail/multilayer-ceramic-capacitors-mlcc-smd-smt_tdk-c1005x5r1h104k050bb_C2181865.html</t>
  </si>
  <si>
    <t>https://lcsc.com/product-detail/multilayer-ceramic-capacitors-mlcc-smd-smt_yageo-cc0402krx5r7bb105_C325464.html</t>
  </si>
  <si>
    <t>https://lcsc.com/product-detail/feed-through-capacitors_tdk-yff32sc1e470m_C6760150.html</t>
  </si>
  <si>
    <t>https://lcsc.com/product-detail/multilayer-ceramic-capacitors-mlcc-smd-smt_murata-grm033c81e104ke14d_C181047.html</t>
  </si>
  <si>
    <t>https://lcsc.com/product-detail/multilayer-ceramic-capacitors-mlcc-smd-smt_murata-grm155r62a104ke14d_C162178.html</t>
  </si>
  <si>
    <t>https://lcsc.com/product-detail/multilayer-ceramic-capacitors-mlcc-smd-smt_murata-grm0335c1h220ja01d_C76924.html</t>
  </si>
  <si>
    <t>https://lcsc.com/product-detail/multilayer-ceramic-capacitors-mlcc-smd-smt_yageo-cc0603krx5r8bb105_C14664.html</t>
  </si>
  <si>
    <t>https://lcsc.com/product-detail/multilayer-ceramic-capacitors-mlcc-smd-smt_yageo-cc0402brnpo9bn1r0_C309455.html</t>
  </si>
  <si>
    <t>https://lcsc.com/product-detail/multilayer-ceramic-capacitors-mlcc-smd-smt_yageo-cc0402krx5r6bb105_C106254.html</t>
  </si>
  <si>
    <t>https://lcsc.com/product-detail/multilayer-ceramic-capacitors-mlcc-smd-smt_yageo-cc0402jrnpo9bn101_C106200.html</t>
  </si>
  <si>
    <t>https://lcsc.com/product-detail/schottky-diodes_juxing-ss510b_C3011128.html</t>
  </si>
  <si>
    <t>https://lcsc.com/product-detail/zener-diodes_msksemi-smbj5355b-ms_C18547762.html</t>
  </si>
  <si>
    <t>https://lcsc.com/product-detail/zener-diodes_onsemi-1sma5930bt3g_C128848.html</t>
  </si>
  <si>
    <t>https://lcsc.com/product-detail/esd-and-surge-protection-tvs-esd_tech-public-tpesd0402g03v_C558614.html</t>
  </si>
  <si>
    <t>https://lcsc.com/product-detail/esd-and-surge-protection-tvs-esd_umw-youtai-semiconductor-co-ltd-lesd5d5-0ct1g_C5199850.html</t>
  </si>
  <si>
    <t>https://lcsc.com/product-detail/esd-and-surge-protection-tvs-esd_lrc-lesd8d3-3cat5g_C172409.html</t>
  </si>
  <si>
    <t>https://lcsc.com/product-detail/esd-and-surge-protection-tvs-esd_nexperia-pesd5v0h1bsf_C477989.html</t>
  </si>
  <si>
    <t>https://lcsc.com/product-detail/esd-and-surge-protection-tvs-esd_willsemi-esd5302f-3-tr_C239643.html</t>
  </si>
  <si>
    <t>https://lcsc.com/product-detail/esd-and-surge-protection-tvs-esd_tech-public-sm712_C521963.html</t>
  </si>
  <si>
    <t>https://lcsc.com/product-detail/resettable-fuses_techfuse-smd0603-050_C69679.html</t>
  </si>
  <si>
    <t>https://lcsc.com/product-detail/ferrite-beads_tdk-mpz2012s221atd25_C307778.html</t>
  </si>
  <si>
    <t>https://lcsc.com/product-detail/wire-to-board-connector_hctl-hc-1-25-12plt_C2937190.html</t>
  </si>
  <si>
    <t>https://lcsc.com/product-detail/wire-to-board-connector_hctl-hc-1-25-6plt_C2845392.html</t>
  </si>
  <si>
    <t>https://lcsc.com/product-detail/coaxial-connectors-rf_hrs-u-fl-r-smt-1-80_C88374.html</t>
  </si>
  <si>
    <t>https://lcsc.com/product-detail/sim-card-connectors_xkb-connection-xknano-113_C381071.html</t>
  </si>
  <si>
    <t>https://lcsc.com/product-detail/pogo-pin-spring-probe-connector_xinyangze-yz196815135t-04025-01_C5296821.html</t>
  </si>
  <si>
    <t>https://lcsc.com/product-detail/screw-terminal-blocks_cui-tb008a-508-04be_C3817171.html</t>
  </si>
  <si>
    <t>https://lcsc.com/product-detail/pin-headers_xkb-connection-x6511wv-02h-c60d30_C706874.html</t>
  </si>
  <si>
    <t>https://lcsc.com/product-detail/screw-terminal-blocks_cui-tb008a-508-03be_C3816667.html</t>
  </si>
  <si>
    <t>https://lcsc.com/product-detail/pin-headers_xfcn-pz254v-11-07p_C492406.html</t>
  </si>
  <si>
    <t>https://lcsc.com/product-detail/pin-headers_xfcn-pz254v-11-05p_C492404.html</t>
  </si>
  <si>
    <t>https://lcsc.com/product-detail/inductors-smd_koherelec-mda1040-470m_C2847557.html</t>
  </si>
  <si>
    <t>https://lcsc.com/product-detail/inductors-smd_coilcraft-0603cs-68nxjlw_C19191685.html</t>
  </si>
  <si>
    <t>https://lcsc.com/product-detail/led-indication-discrete_everlight-19-21-g6c-fm1n2b-3t_C93689.html</t>
  </si>
  <si>
    <t>https://lcsc.com/product-detail/led-indication-discrete_everlight-19-21-r7c-ak1l2by-3t_C1322287.html</t>
  </si>
  <si>
    <t>https://lcsc.com/product-detail/led-indication-discrete_sunled-xzmdk68w-2_C5374048.html</t>
  </si>
  <si>
    <t>https://lcsc.com/product-detail/test-points-test-rings_keystone-4952_C238118.html</t>
  </si>
  <si>
    <t>https://lcsc.com/product-detail/bipolar-bjt_diodes-mmbt2222a-7-f_C94515.html</t>
  </si>
  <si>
    <t>https://lcsc.com/product-detail/bipolar-bjt_nexperia-bc847c-215_C8664.html</t>
  </si>
  <si>
    <t>https://lcsc.com/product-detail/mosfets_tech-public-irlml6402trpbf_C5182043.html</t>
  </si>
  <si>
    <t>https://lcsc.com/product-detail/bipolar-bjt_nexperia-bc857a-215_C201757.html</t>
  </si>
  <si>
    <t>https://lcsc.com/product-detail/bipolar-bjt_goodwork-mmbt5551_C909756.html</t>
  </si>
  <si>
    <t>https://lcsc.com/product-detail/chip-resistor-surface-mount_yageo-rc0603jr-070rl_C95177.html</t>
  </si>
  <si>
    <t>https://lcsc.com/product-detail/chip-resistor-surface-mount_yageo-rc0402fr-0710kl_C60490.html</t>
  </si>
  <si>
    <t>https://lcsc.com/product-detail/chip-resistor-surface-mount_yageo-rc0201fr-071kp_C3953443.html</t>
  </si>
  <si>
    <t>https://lcsc.com/product-detail/chip-resistor-surface-mount_vishay-crcw040210r0fkedhp_C4013850.html</t>
  </si>
  <si>
    <t>https://lcsc.com/product-detail/chip-resistor-surface-mount_vishay-crcw0603220rfkea_C844757.html</t>
  </si>
  <si>
    <t>https://lcsc.com/product-detail/chip-resistor-surface-mount_yageo-rc0402fr-074k7l_C105871.html</t>
  </si>
  <si>
    <t>https://lcsc.com/product-detail/chip-resistor-surface-mount_yageo-rc0402fr-0747kl_C93943.html</t>
  </si>
  <si>
    <t>https://lcsc.com/product-detail/chip-resistor-surface-mount_yageo-rc0201fr-0722rl_C155743.html</t>
  </si>
  <si>
    <t>https://lcsc.com/product-detail/chip-resistor-surface-mount_yageo-rc0402fr-070rl_C106231.html</t>
  </si>
  <si>
    <t>https://lcsc.com/product-detail/chip-resistor-surface-mount_yageo-rc0603fr-07120rl_C114640.html</t>
  </si>
  <si>
    <t>https://lcsc.com/product-detail/chip-resistor-surface-mount_yageo-rc0603fr-071kl_C22548.html</t>
  </si>
  <si>
    <t>https://lcsc.com/product-detail/chip-resistor-surface-mount_yageo-rc0603fr-074k7l_C99782.html</t>
  </si>
  <si>
    <t>https://lcsc.com/product-detail/chip-resistor-surface-mount_yageo-rc0603jr-07330rl_C105879.html</t>
  </si>
  <si>
    <t>https://lcsc.com/product-detail/chip-resistor-surface-mount_yageo-rc0603fr-07100kl_C14675.html</t>
  </si>
  <si>
    <t>https://lcsc.com/product-detail/chip-resistor-surface-mount_yageo-rc0603fr-0710kl_C98220.html</t>
  </si>
  <si>
    <t>https://lcsc.com/product-detail/chip-resistor-surface-mount_vishay-crcw080547k0fkeahp_C844000.html</t>
  </si>
  <si>
    <t>https://lcsc.com/product-detail/chip-resistor-surface-mount_vishay-crcw0603150kfkea_C844740.html</t>
  </si>
  <si>
    <t>https://lcsc.com/product-detail/chip-resistor-surface-mount_yageo-rc0603fr-071ml_C105578.html</t>
  </si>
  <si>
    <t>https://lcsc.com/product-detail/chip-resistor-surface-mount_yageo-rc1206fr-0751rl_C137256.html</t>
  </si>
  <si>
    <t>https://lcsc.com/product-detail/chip-resistor-surface-mount_yageo-rc0402fr-07470kl_C137976.html</t>
  </si>
  <si>
    <t>https://lcsc.com/product-detail/dc-dc-converters_diodes-ap1509-33sg-13_C151823.html</t>
  </si>
  <si>
    <t>https://lcsc.com/product-detail/voltage-regulators-linear-low-drop-out-ldo-regulators_st-ld56100dpu33r_C2969937.html</t>
  </si>
  <si>
    <t>https://lcsc.com/product-detail/rf-modules_simcom-wireless-solutions-a7672e-fase_C5370391.html</t>
  </si>
  <si>
    <t>https://lcsc.com/product-detail/translators-level-shifters_ti-txb0102dcut_C2677366.html</t>
  </si>
  <si>
    <t>https://lcsc.com/product-detail/esd-and-surge-protection-tvs-esd_elecsuper-smf05ct1g-es_C5180312.html</t>
  </si>
  <si>
    <t>https://lcsc.com/product-detail/rs-485-rs-422-ics_hgsemi-sp3485eim-tr_C519086.html</t>
  </si>
  <si>
    <t>Mouser</t>
  </si>
  <si>
    <t>C181047</t>
  </si>
  <si>
    <t>LCSC</t>
  </si>
  <si>
    <t>C19191685</t>
  </si>
  <si>
    <t>C2986009</t>
  </si>
  <si>
    <t>C965805</t>
  </si>
  <si>
    <t>Digikey</t>
  </si>
  <si>
    <t>C844740</t>
  </si>
  <si>
    <t>C5370391</t>
  </si>
  <si>
    <t>C2677366</t>
  </si>
  <si>
    <t>19-21SURC/S530-A2/4T</t>
  </si>
  <si>
    <t>XL-1608SYGC-06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</si>
</sst>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5" fontId="3" fillId="3" borderId="3" xfId="0" quotePrefix="1" applyNumberFormat="1" applyFont="1" applyFill="1" applyBorder="1" applyAlignment="1">
      <alignment horizontal="center" vertical="center" wrapText="1"/>
    </xf>
    <xf numFmtId="165" fontId="3" fillId="3" borderId="7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0" fontId="10" fillId="0" borderId="13" xfId="1" applyFont="1" applyBorder="1" applyAlignment="1"/>
    <xf numFmtId="0" fontId="11" fillId="2" borderId="5" xfId="1" applyFont="1" applyFill="1" applyBorder="1" applyAlignment="1">
      <alignment horizontal="center" vertical="center" wrapText="1"/>
    </xf>
    <xf numFmtId="164" fontId="5" fillId="2" borderId="14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3" borderId="6" xfId="0" applyFont="1" applyFill="1" applyBorder="1" applyAlignment="1" applyProtection="1">
      <alignment horizontal="center" vertical="top"/>
      <protection locked="0"/>
    </xf>
    <xf numFmtId="0" fontId="8" fillId="3" borderId="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esd-and-surge-protection-tvs-esd_umw-youtai-semiconductor-co-ltd-lesd5d5-0ct1g_C5199850.html" TargetMode="External"/><Relationship Id="rId21" Type="http://schemas.openxmlformats.org/officeDocument/2006/relationships/hyperlink" Target="https://lcsc.com/product-detail/zener-diodes_onsemi-1sma5930bt3g_C128848.html" TargetMode="External"/><Relationship Id="rId42" Type="http://schemas.openxmlformats.org/officeDocument/2006/relationships/hyperlink" Target="https://lcsc.com/product-detail/inductors-smd_coilcraft-0603cs-68nxjlw_C19191685.html" TargetMode="External"/><Relationship Id="rId47" Type="http://schemas.openxmlformats.org/officeDocument/2006/relationships/hyperlink" Target="https://lcsc.com/product-detail/bipolar-bjt_diodes-mmbt2222a-7-f_C94515.html" TargetMode="External"/><Relationship Id="rId63" Type="http://schemas.openxmlformats.org/officeDocument/2006/relationships/hyperlink" Target="https://lcsc.com/product-detail/chip-resistor-surface-mount_yageo-rc0603fr-074k7l_C99782.html" TargetMode="External"/><Relationship Id="rId68" Type="http://schemas.openxmlformats.org/officeDocument/2006/relationships/hyperlink" Target="https://lcsc.com/product-detail/chip-resistor-surface-mount_vishay-crcw0603150kfkea_C844740.html" TargetMode="External"/><Relationship Id="rId84" Type="http://schemas.openxmlformats.org/officeDocument/2006/relationships/hyperlink" Target="https://lcsc.com/product-detail/LED-Indication-Discrete_XINGLIGHT-XL-1608SYGC-06_C965805.html" TargetMode="External"/><Relationship Id="rId16" Type="http://schemas.openxmlformats.org/officeDocument/2006/relationships/hyperlink" Target="https://lcsc.com/product-detail/multilayer-ceramic-capacitors-mlcc-smd-smt_yageo-cc0402brnpo9bn1r0_C309455.html" TargetMode="External"/><Relationship Id="rId11" Type="http://schemas.openxmlformats.org/officeDocument/2006/relationships/hyperlink" Target="https://lcsc.com/product-detail/feed-through-capacitors_tdk-yff32sc1e470m_C6760150.html" TargetMode="External"/><Relationship Id="rId32" Type="http://schemas.openxmlformats.org/officeDocument/2006/relationships/hyperlink" Target="https://lcsc.com/product-detail/wire-to-board-connector_hctl-hc-1-25-6plt_C2845392.html" TargetMode="External"/><Relationship Id="rId37" Type="http://schemas.openxmlformats.org/officeDocument/2006/relationships/hyperlink" Target="https://lcsc.com/product-detail/pin-headers_xkb-connection-x6511wv-02h-c60d30_C706874.html" TargetMode="External"/><Relationship Id="rId53" Type="http://schemas.openxmlformats.org/officeDocument/2006/relationships/hyperlink" Target="https://lcsc.com/product-detail/chip-resistor-surface-mount_yageo-rc0402fr-0710kl_C60490.html" TargetMode="External"/><Relationship Id="rId58" Type="http://schemas.openxmlformats.org/officeDocument/2006/relationships/hyperlink" Target="https://lcsc.com/product-detail/chip-resistor-surface-mount_yageo-rc0402fr-0747kl_C93943.html" TargetMode="External"/><Relationship Id="rId74" Type="http://schemas.openxmlformats.org/officeDocument/2006/relationships/hyperlink" Target="https://lcsc.com/product-detail/voltage-regulators-linear-low-drop-out-ldo-regulators_st-ld56100dpu33r_C2969937.html" TargetMode="External"/><Relationship Id="rId79" Type="http://schemas.openxmlformats.org/officeDocument/2006/relationships/hyperlink" Target="https://lcsc.com/product-detail/Multilayer-Ceramic-Capacitors-MLCC-SMD-SMT_YAGEO-CC0603ZRY5V9BB104_C106221.html?s_z=n_C106221" TargetMode="External"/><Relationship Id="rId5" Type="http://schemas.openxmlformats.org/officeDocument/2006/relationships/hyperlink" Target="https://lcsc.com/product-detail/aluminum-electrolytic-capacitors-smd_dmbj-rvt1e100m0405-10uf-25v_C970655.html" TargetMode="External"/><Relationship Id="rId19" Type="http://schemas.openxmlformats.org/officeDocument/2006/relationships/hyperlink" Target="https://lcsc.com/product-detail/schottky-diodes_juxing-ss510b_C3011128.html" TargetMode="External"/><Relationship Id="rId14" Type="http://schemas.openxmlformats.org/officeDocument/2006/relationships/hyperlink" Target="https://lcsc.com/product-detail/multilayer-ceramic-capacitors-mlcc-smd-smt_murata-grm0335c1h220ja01d_C76924.html" TargetMode="External"/><Relationship Id="rId22" Type="http://schemas.openxmlformats.org/officeDocument/2006/relationships/hyperlink" Target="https://lcsc.com/product-detail/esd-and-surge-protection-tvs-esd_tech-public-tpesd0402g03v_C558614.html" TargetMode="External"/><Relationship Id="rId27" Type="http://schemas.openxmlformats.org/officeDocument/2006/relationships/hyperlink" Target="https://lcsc.com/product-detail/esd-and-surge-protection-tvs-esd_willsemi-esd5302f-3-tr_C239643.html" TargetMode="External"/><Relationship Id="rId30" Type="http://schemas.openxmlformats.org/officeDocument/2006/relationships/hyperlink" Target="https://lcsc.com/product-detail/ferrite-beads_tdk-mpz2012s221atd25_C307778.html" TargetMode="External"/><Relationship Id="rId35" Type="http://schemas.openxmlformats.org/officeDocument/2006/relationships/hyperlink" Target="https://lcsc.com/product-detail/pogo-pin-spring-probe-connector_xinyangze-yz196815135t-04025-01_C5296821.html" TargetMode="External"/><Relationship Id="rId43" Type="http://schemas.openxmlformats.org/officeDocument/2006/relationships/hyperlink" Target="https://lcsc.com/product-detail/led-indication-discrete_everlight-19-21-g6c-fm1n2b-3t_C93689.html" TargetMode="External"/><Relationship Id="rId48" Type="http://schemas.openxmlformats.org/officeDocument/2006/relationships/hyperlink" Target="https://lcsc.com/product-detail/bipolar-bjt_nexperia-bc847c-215_C8664.html" TargetMode="External"/><Relationship Id="rId56" Type="http://schemas.openxmlformats.org/officeDocument/2006/relationships/hyperlink" Target="https://lcsc.com/product-detail/chip-resistor-surface-mount_vishay-crcw0603220rfkea_C844757.html" TargetMode="External"/><Relationship Id="rId64" Type="http://schemas.openxmlformats.org/officeDocument/2006/relationships/hyperlink" Target="https://lcsc.com/product-detail/chip-resistor-surface-mount_yageo-rc0603jr-07330rl_C105879.html" TargetMode="External"/><Relationship Id="rId69" Type="http://schemas.openxmlformats.org/officeDocument/2006/relationships/hyperlink" Target="https://lcsc.com/product-detail/chip-resistor-surface-mount_yageo-rc0603fr-071ml_C105578.html" TargetMode="External"/><Relationship Id="rId77" Type="http://schemas.openxmlformats.org/officeDocument/2006/relationships/hyperlink" Target="https://lcsc.com/product-detail/esd-and-surge-protection-tvs-esd_elecsuper-smf05ct1g-es_C5180312.html" TargetMode="External"/><Relationship Id="rId8" Type="http://schemas.openxmlformats.org/officeDocument/2006/relationships/hyperlink" Target="https://lcsc.com/product-detail/multilayer-ceramic-capacitors-mlcc-smd-smt_murata-grm1555c1e330ja01d_C441758.html" TargetMode="External"/><Relationship Id="rId51" Type="http://schemas.openxmlformats.org/officeDocument/2006/relationships/hyperlink" Target="https://lcsc.com/product-detail/bipolar-bjt_goodwork-mmbt5551_C909756.html" TargetMode="External"/><Relationship Id="rId72" Type="http://schemas.openxmlformats.org/officeDocument/2006/relationships/hyperlink" Target="https://lcsc.com/product-detail/chip-resistor-surface-mount_yageo-rc0402fr-07470kl_C137976.html" TargetMode="External"/><Relationship Id="rId80" Type="http://schemas.openxmlformats.org/officeDocument/2006/relationships/hyperlink" Target="https://eu.mouser.com/ProductDetail/Same-Sky/TB008A-508-04BE?qs=vLWxofP3U2wE%252BeCFz1tLxg%3D%3D" TargetMode="External"/><Relationship Id="rId85" Type="http://schemas.openxmlformats.org/officeDocument/2006/relationships/hyperlink" Target="https://www.digikey.com/en/products/detail/sunled/XZMDK68W-2/4745956?s=N4IgTCBcDaIBoC0CyARA0gNgBwHUC0EAugL5A" TargetMode="External"/><Relationship Id="rId3" Type="http://schemas.openxmlformats.org/officeDocument/2006/relationships/hyperlink" Target="https://lcsc.com/product-detail/multilayer-ceramic-capacitors-mlcc-smd-smt_murata-grm31cr61e476me44l_C403725.html" TargetMode="External"/><Relationship Id="rId12" Type="http://schemas.openxmlformats.org/officeDocument/2006/relationships/hyperlink" Target="https://lcsc.com/product-detail/multilayer-ceramic-capacitors-mlcc-smd-smt_murata-grm033c81e104ke14d_C181047.html" TargetMode="External"/><Relationship Id="rId17" Type="http://schemas.openxmlformats.org/officeDocument/2006/relationships/hyperlink" Target="https://lcsc.com/product-detail/multilayer-ceramic-capacitors-mlcc-smd-smt_yageo-cc0402krx5r6bb105_C106254.html" TargetMode="External"/><Relationship Id="rId25" Type="http://schemas.openxmlformats.org/officeDocument/2006/relationships/hyperlink" Target="https://lcsc.com/product-detail/esd-and-surge-protection-tvs-esd_nexperia-pesd5v0h1bsf_C477989.html" TargetMode="External"/><Relationship Id="rId33" Type="http://schemas.openxmlformats.org/officeDocument/2006/relationships/hyperlink" Target="https://lcsc.com/product-detail/coaxial-connectors-rf_hrs-u-fl-r-smt-1-80_C88374.html" TargetMode="External"/><Relationship Id="rId38" Type="http://schemas.openxmlformats.org/officeDocument/2006/relationships/hyperlink" Target="https://lcsc.com/product-detail/screw-terminal-blocks_cui-tb008a-508-03be_C3816667.html" TargetMode="External"/><Relationship Id="rId46" Type="http://schemas.openxmlformats.org/officeDocument/2006/relationships/hyperlink" Target="https://lcsc.com/product-detail/test-points-test-rings_keystone-4952_C238118.html" TargetMode="External"/><Relationship Id="rId59" Type="http://schemas.openxmlformats.org/officeDocument/2006/relationships/hyperlink" Target="https://lcsc.com/product-detail/chip-resistor-surface-mount_yageo-rc0201fr-0722rl_C155743.html" TargetMode="External"/><Relationship Id="rId67" Type="http://schemas.openxmlformats.org/officeDocument/2006/relationships/hyperlink" Target="https://lcsc.com/product-detail/chip-resistor-surface-mount_vishay-crcw080547k0fkeahp_C844000.html" TargetMode="External"/><Relationship Id="rId20" Type="http://schemas.openxmlformats.org/officeDocument/2006/relationships/hyperlink" Target="https://lcsc.com/product-detail/zener-diodes_msksemi-smbj5355b-ms_C18547762.html" TargetMode="External"/><Relationship Id="rId41" Type="http://schemas.openxmlformats.org/officeDocument/2006/relationships/hyperlink" Target="https://lcsc.com/product-detail/inductors-smd_koherelec-mda1040-470m_C2847557.html" TargetMode="External"/><Relationship Id="rId54" Type="http://schemas.openxmlformats.org/officeDocument/2006/relationships/hyperlink" Target="https://lcsc.com/product-detail/chip-resistor-surface-mount_yageo-rc0201fr-071kp_C3953443.html" TargetMode="External"/><Relationship Id="rId62" Type="http://schemas.openxmlformats.org/officeDocument/2006/relationships/hyperlink" Target="https://lcsc.com/product-detail/chip-resistor-surface-mount_yageo-rc0603fr-071kl_C22548.html" TargetMode="External"/><Relationship Id="rId70" Type="http://schemas.openxmlformats.org/officeDocument/2006/relationships/hyperlink" Target="https://lcsc.com/product-detail/chip-resistor-surface-mount_yageo-rc0603jr-070rl_C95177.html" TargetMode="External"/><Relationship Id="rId75" Type="http://schemas.openxmlformats.org/officeDocument/2006/relationships/hyperlink" Target="https://lcsc.com/product-detail/rf-modules_simcom-wireless-solutions-a7672e-fase_C5370391.html" TargetMode="External"/><Relationship Id="rId83" Type="http://schemas.openxmlformats.org/officeDocument/2006/relationships/hyperlink" Target="https://lcsc.com/product-detail/LED-Indication-Discrete_EVERLIGHT-19-21SURC-S530-A2-4T_C2986009.html" TargetMode="External"/><Relationship Id="rId1" Type="http://schemas.openxmlformats.org/officeDocument/2006/relationships/hyperlink" Target="https://eu.mouser.com/ProductDetail/TDK/C3216X5R1A107M160AC?qs=NRhsANhppD%252B0MpDu1pf9NA%3D%3D" TargetMode="External"/><Relationship Id="rId6" Type="http://schemas.openxmlformats.org/officeDocument/2006/relationships/hyperlink" Target="https://lcsc.com/product-detail/multilayer-ceramic-capacitors-mlcc-smd-smt_murata-grm155r61e225ke11d_C385032.html" TargetMode="External"/><Relationship Id="rId15" Type="http://schemas.openxmlformats.org/officeDocument/2006/relationships/hyperlink" Target="https://lcsc.com/product-detail/multilayer-ceramic-capacitors-mlcc-smd-smt_yageo-cc0603krx5r8bb105_C14664.html" TargetMode="External"/><Relationship Id="rId23" Type="http://schemas.openxmlformats.org/officeDocument/2006/relationships/hyperlink" Target="https://lcsc.com/product-detail/esd-and-surge-protection-tvs-esd_umw-youtai-semiconductor-co-ltd-lesd5d5-0ct1g_C5199850.html" TargetMode="External"/><Relationship Id="rId28" Type="http://schemas.openxmlformats.org/officeDocument/2006/relationships/hyperlink" Target="https://lcsc.com/product-detail/esd-and-surge-protection-tvs-esd_tech-public-sm712_C521963.html" TargetMode="External"/><Relationship Id="rId36" Type="http://schemas.openxmlformats.org/officeDocument/2006/relationships/hyperlink" Target="https://lcsc.com/product-detail/screw-terminal-blocks_cui-tb008a-508-04be_C3817171.html" TargetMode="External"/><Relationship Id="rId49" Type="http://schemas.openxmlformats.org/officeDocument/2006/relationships/hyperlink" Target="https://lcsc.com/product-detail/mosfets_tech-public-irlml6402trpbf_C5182043.html" TargetMode="External"/><Relationship Id="rId57" Type="http://schemas.openxmlformats.org/officeDocument/2006/relationships/hyperlink" Target="https://lcsc.com/product-detail/chip-resistor-surface-mount_yageo-rc0402fr-074k7l_C105871.html" TargetMode="External"/><Relationship Id="rId10" Type="http://schemas.openxmlformats.org/officeDocument/2006/relationships/hyperlink" Target="https://lcsc.com/product-detail/multilayer-ceramic-capacitors-mlcc-smd-smt_yageo-cc0402krx5r7bb105_C325464.html" TargetMode="External"/><Relationship Id="rId31" Type="http://schemas.openxmlformats.org/officeDocument/2006/relationships/hyperlink" Target="https://lcsc.com/product-detail/wire-to-board-connector_hctl-hc-1-25-12plt_C2937190.html" TargetMode="External"/><Relationship Id="rId44" Type="http://schemas.openxmlformats.org/officeDocument/2006/relationships/hyperlink" Target="https://lcsc.com/product-detail/led-indication-discrete_everlight-19-21-r7c-ak1l2by-3t_C1322287.html" TargetMode="External"/><Relationship Id="rId52" Type="http://schemas.openxmlformats.org/officeDocument/2006/relationships/hyperlink" Target="https://lcsc.com/product-detail/chip-resistor-surface-mount_yageo-rc0603jr-070rl_C95177.html" TargetMode="External"/><Relationship Id="rId60" Type="http://schemas.openxmlformats.org/officeDocument/2006/relationships/hyperlink" Target="https://lcsc.com/product-detail/chip-resistor-surface-mount_yageo-rc0402fr-070rl_C106231.html" TargetMode="External"/><Relationship Id="rId65" Type="http://schemas.openxmlformats.org/officeDocument/2006/relationships/hyperlink" Target="https://lcsc.com/product-detail/chip-resistor-surface-mount_yageo-rc0603fr-07100kl_C14675.html" TargetMode="External"/><Relationship Id="rId73" Type="http://schemas.openxmlformats.org/officeDocument/2006/relationships/hyperlink" Target="https://lcsc.com/product-detail/dc-dc-converters_diodes-ap1509-33sg-13_C151823.html" TargetMode="External"/><Relationship Id="rId78" Type="http://schemas.openxmlformats.org/officeDocument/2006/relationships/hyperlink" Target="https://lcsc.com/product-detail/rs-485-rs-422-ics_hgsemi-sp3485eim-tr_C519086.html" TargetMode="External"/><Relationship Id="rId81" Type="http://schemas.openxmlformats.org/officeDocument/2006/relationships/hyperlink" Target="https://eu.mouser.com/ProductDetail/Same-Sky/TB008A-508-03BE?qs=vLWxofP3U2ySMdcVUeIORQ%3D%3D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murata-grm155r71e104ke14d_C77014.html" TargetMode="External"/><Relationship Id="rId9" Type="http://schemas.openxmlformats.org/officeDocument/2006/relationships/hyperlink" Target="https://lcsc.com/product-detail/multilayer-ceramic-capacitors-mlcc-smd-smt_tdk-c1005x5r1h104k050bb_C2181865.html" TargetMode="External"/><Relationship Id="rId13" Type="http://schemas.openxmlformats.org/officeDocument/2006/relationships/hyperlink" Target="https://lcsc.com/product-detail/multilayer-ceramic-capacitors-mlcc-smd-smt_murata-grm155r62a104ke14d_C162178.html" TargetMode="External"/><Relationship Id="rId18" Type="http://schemas.openxmlformats.org/officeDocument/2006/relationships/hyperlink" Target="https://lcsc.com/product-detail/multilayer-ceramic-capacitors-mlcc-smd-smt_yageo-cc0402jrnpo9bn101_C106200.html" TargetMode="External"/><Relationship Id="rId39" Type="http://schemas.openxmlformats.org/officeDocument/2006/relationships/hyperlink" Target="https://lcsc.com/product-detail/pin-headers_xfcn-pz254v-11-07p_C492406.html" TargetMode="External"/><Relationship Id="rId34" Type="http://schemas.openxmlformats.org/officeDocument/2006/relationships/hyperlink" Target="https://lcsc.com/product-detail/sim-card-connectors_xkb-connection-xknano-113_C381071.html" TargetMode="External"/><Relationship Id="rId50" Type="http://schemas.openxmlformats.org/officeDocument/2006/relationships/hyperlink" Target="https://lcsc.com/product-detail/bipolar-bjt_nexperia-bc857a-215_C201757.html" TargetMode="External"/><Relationship Id="rId55" Type="http://schemas.openxmlformats.org/officeDocument/2006/relationships/hyperlink" Target="https://lcsc.com/product-detail/chip-resistor-surface-mount_vishay-crcw040210r0fkedhp_C4013850.html" TargetMode="External"/><Relationship Id="rId76" Type="http://schemas.openxmlformats.org/officeDocument/2006/relationships/hyperlink" Target="https://lcsc.com/product-detail/translators-level-shifters_ti-txb0102dcut_C2677366.html" TargetMode="External"/><Relationship Id="rId7" Type="http://schemas.openxmlformats.org/officeDocument/2006/relationships/hyperlink" Target="https://lcsc.com/product-detail/multilayer-ceramic-capacitors-mlcc-smd-smt_murata-grm1555c1h100ja01d_C76946.html" TargetMode="External"/><Relationship Id="rId71" Type="http://schemas.openxmlformats.org/officeDocument/2006/relationships/hyperlink" Target="https://lcsc.com/product-detail/chip-resistor-surface-mount_yageo-rc1206fr-0751rl_C137256.html" TargetMode="External"/><Relationship Id="rId2" Type="http://schemas.openxmlformats.org/officeDocument/2006/relationships/hyperlink" Target="https://lcsc.com/product-detail/tantalum-capacitors_kyocera-avx-tajb107m010rnj_C7196.html" TargetMode="External"/><Relationship Id="rId29" Type="http://schemas.openxmlformats.org/officeDocument/2006/relationships/hyperlink" Target="https://lcsc.com/product-detail/resettable-fuses_techfuse-smd0603-050_C69679.html" TargetMode="External"/><Relationship Id="rId24" Type="http://schemas.openxmlformats.org/officeDocument/2006/relationships/hyperlink" Target="https://lcsc.com/product-detail/esd-and-surge-protection-tvs-esd_lrc-lesd8d3-3cat5g_C172409.html" TargetMode="External"/><Relationship Id="rId40" Type="http://schemas.openxmlformats.org/officeDocument/2006/relationships/hyperlink" Target="https://lcsc.com/product-detail/pin-headers_xfcn-pz254v-11-05p_C492404.html" TargetMode="External"/><Relationship Id="rId45" Type="http://schemas.openxmlformats.org/officeDocument/2006/relationships/hyperlink" Target="https://lcsc.com/product-detail/led-indication-discrete_sunled-xzmdk68w-2_C5374048.html" TargetMode="External"/><Relationship Id="rId66" Type="http://schemas.openxmlformats.org/officeDocument/2006/relationships/hyperlink" Target="https://lcsc.com/product-detail/chip-resistor-surface-mount_yageo-rc0603fr-0710kl_C98220.html" TargetMode="External"/><Relationship Id="rId61" Type="http://schemas.openxmlformats.org/officeDocument/2006/relationships/hyperlink" Target="https://lcsc.com/product-detail/chip-resistor-surface-mount_yageo-rc0603fr-07120rl_C114640.html" TargetMode="External"/><Relationship Id="rId82" Type="http://schemas.openxmlformats.org/officeDocument/2006/relationships/hyperlink" Target="https://lcsc.com/product-detail/Inductors-SMD_Coilcraft-0603CS-68NXJLW_C19191685.html?s_z=n_0603CS-68NXJ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94"/>
  <sheetViews>
    <sheetView tabSelected="1" workbookViewId="0">
      <selection activeCell="L86" sqref="L86"/>
    </sheetView>
  </sheetViews>
  <sheetFormatPr defaultRowHeight="15"/>
  <cols>
    <col min="2" max="2" width="3.140625" style="4" customWidth="1"/>
    <col min="3" max="3" width="18" style="4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8.7109375" bestFit="1" customWidth="1"/>
    <col min="9" max="9" width="21.5703125" bestFit="1" customWidth="1"/>
    <col min="10" max="10" width="17" bestFit="1" customWidth="1"/>
    <col min="11" max="11" width="6.855468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710937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28" ht="15.75" thickBot="1">
      <c r="A1" s="1"/>
      <c r="B1" s="3"/>
      <c r="C1" s="3"/>
      <c r="D1" s="2"/>
      <c r="E1" s="2"/>
      <c r="F1" s="2"/>
      <c r="G1" s="2"/>
      <c r="H1" s="2"/>
      <c r="I1" s="2"/>
      <c r="J1" s="2"/>
      <c r="K1" s="36"/>
      <c r="L1" s="36"/>
      <c r="M1" s="36"/>
      <c r="N1" s="36"/>
      <c r="O1" s="36"/>
      <c r="P1" s="36"/>
      <c r="Q1" s="36"/>
      <c r="R1" s="36"/>
    </row>
    <row r="2" spans="1:28" ht="15.75" thickBot="1">
      <c r="A2" s="1"/>
      <c r="B2" s="5" t="s">
        <v>0</v>
      </c>
      <c r="C2" s="5" t="s">
        <v>3</v>
      </c>
      <c r="D2" s="5" t="s">
        <v>28</v>
      </c>
      <c r="E2" s="5" t="s">
        <v>107</v>
      </c>
      <c r="F2" s="5" t="s">
        <v>183</v>
      </c>
      <c r="G2" s="5" t="s">
        <v>223</v>
      </c>
      <c r="H2" s="5" t="s">
        <v>289</v>
      </c>
      <c r="I2" s="5" t="s">
        <v>418</v>
      </c>
      <c r="J2" s="5" t="s">
        <v>324</v>
      </c>
      <c r="K2" s="5" t="s">
        <v>419</v>
      </c>
      <c r="L2" s="5" t="s">
        <v>417</v>
      </c>
      <c r="M2" s="5" t="s">
        <v>420</v>
      </c>
      <c r="N2" s="17" t="s">
        <v>421</v>
      </c>
      <c r="O2" s="5" t="s">
        <v>422</v>
      </c>
      <c r="P2" s="18" t="s">
        <v>423</v>
      </c>
      <c r="Q2" s="5" t="s">
        <v>424</v>
      </c>
      <c r="R2" s="5" t="s">
        <v>425</v>
      </c>
    </row>
    <row r="3" spans="1:28">
      <c r="A3" s="1"/>
      <c r="B3" s="8">
        <f>ROW(B3) - ROW($B$2)</f>
        <v>1</v>
      </c>
      <c r="C3" s="14" t="s">
        <v>4</v>
      </c>
      <c r="D3" s="6" t="s">
        <v>29</v>
      </c>
      <c r="E3" s="6" t="s">
        <v>108</v>
      </c>
      <c r="F3" s="6" t="s">
        <v>184</v>
      </c>
      <c r="G3" s="6" t="s">
        <v>224</v>
      </c>
      <c r="H3" s="6" t="s">
        <v>290</v>
      </c>
      <c r="I3" s="6"/>
      <c r="J3" s="6" t="s">
        <v>325</v>
      </c>
      <c r="K3" s="26" t="s">
        <v>388</v>
      </c>
      <c r="L3" s="6">
        <v>7</v>
      </c>
      <c r="M3" s="6">
        <f>L3*5</f>
        <v>35</v>
      </c>
      <c r="N3" s="6">
        <v>100</v>
      </c>
      <c r="O3" s="32" t="s">
        <v>570</v>
      </c>
      <c r="P3" s="7">
        <v>3.0999999999999999E-3</v>
      </c>
      <c r="Q3" s="7">
        <f>P3*N3</f>
        <v>0.31</v>
      </c>
      <c r="R3" s="6"/>
    </row>
    <row r="4" spans="1:28">
      <c r="A4" s="1"/>
      <c r="B4" s="9">
        <f t="shared" ref="B4:B80" si="0">ROW(B4) - ROW($B$2)</f>
        <v>2</v>
      </c>
      <c r="C4" s="15" t="s">
        <v>4</v>
      </c>
      <c r="D4" s="12" t="s">
        <v>30</v>
      </c>
      <c r="E4" s="12" t="s">
        <v>109</v>
      </c>
      <c r="F4" s="12" t="s">
        <v>185</v>
      </c>
      <c r="G4" s="12" t="s">
        <v>225</v>
      </c>
      <c r="H4" s="12" t="s">
        <v>291</v>
      </c>
      <c r="I4" s="12"/>
      <c r="J4" s="12" t="s">
        <v>326</v>
      </c>
      <c r="K4" s="27" t="s">
        <v>389</v>
      </c>
      <c r="L4" s="12">
        <v>1</v>
      </c>
      <c r="M4" s="12">
        <f t="shared" ref="M4" si="1">L4*5</f>
        <v>5</v>
      </c>
      <c r="N4" s="12" t="s">
        <v>430</v>
      </c>
      <c r="O4" s="32" t="str">
        <f>HYPERLINK(AB4, "LCSC")</f>
        <v>LCSC</v>
      </c>
      <c r="P4" s="13" t="s">
        <v>438</v>
      </c>
      <c r="Q4" s="13">
        <f t="shared" ref="Q4" si="2">P4*N4</f>
        <v>1.3075000000000001</v>
      </c>
      <c r="R4" s="12"/>
      <c r="AB4" s="31" t="s">
        <v>493</v>
      </c>
    </row>
    <row r="5" spans="1:28">
      <c r="A5" s="1"/>
      <c r="B5" s="8">
        <f>ROW(B5) - ROW($B$2)</f>
        <v>3</v>
      </c>
      <c r="C5" s="14" t="s">
        <v>4</v>
      </c>
      <c r="D5" s="6" t="s">
        <v>31</v>
      </c>
      <c r="E5" s="6" t="s">
        <v>110</v>
      </c>
      <c r="F5" s="6" t="s">
        <v>186</v>
      </c>
      <c r="G5" s="6" t="s">
        <v>226</v>
      </c>
      <c r="H5" s="6" t="s">
        <v>292</v>
      </c>
      <c r="I5" s="6"/>
      <c r="J5" s="6" t="s">
        <v>327</v>
      </c>
      <c r="K5" s="26" t="s">
        <v>390</v>
      </c>
      <c r="L5" s="6">
        <v>2</v>
      </c>
      <c r="M5" s="6">
        <f>L5*5</f>
        <v>10</v>
      </c>
      <c r="N5" s="6" t="s">
        <v>431</v>
      </c>
      <c r="O5" s="32" t="str">
        <f t="shared" ref="O5:O68" si="3">HYPERLINK(AB5, "LCSC")</f>
        <v>LCSC</v>
      </c>
      <c r="P5" s="7" t="s">
        <v>439</v>
      </c>
      <c r="Q5" s="7">
        <f>P5*N5</f>
        <v>2.8449999999999998</v>
      </c>
      <c r="R5" s="6"/>
      <c r="AB5" s="31" t="s">
        <v>494</v>
      </c>
    </row>
    <row r="6" spans="1:28">
      <c r="A6" s="1"/>
      <c r="B6" s="9">
        <f t="shared" si="0"/>
        <v>4</v>
      </c>
      <c r="C6" s="14" t="s">
        <v>4</v>
      </c>
      <c r="D6" s="12" t="s">
        <v>32</v>
      </c>
      <c r="E6" s="12" t="s">
        <v>111</v>
      </c>
      <c r="F6" s="12" t="s">
        <v>187</v>
      </c>
      <c r="G6" s="12" t="s">
        <v>227</v>
      </c>
      <c r="H6" s="12" t="s">
        <v>292</v>
      </c>
      <c r="I6" s="12"/>
      <c r="J6" s="12" t="s">
        <v>328</v>
      </c>
      <c r="K6" s="27" t="s">
        <v>388</v>
      </c>
      <c r="L6" s="12">
        <v>1</v>
      </c>
      <c r="M6" s="12">
        <f t="shared" ref="M6" si="4">L6*5</f>
        <v>5</v>
      </c>
      <c r="N6" s="12" t="s">
        <v>432</v>
      </c>
      <c r="O6" s="32" t="str">
        <f t="shared" si="3"/>
        <v>LCSC</v>
      </c>
      <c r="P6" s="13" t="s">
        <v>440</v>
      </c>
      <c r="Q6" s="13">
        <f t="shared" ref="Q6" si="5">P6*N6</f>
        <v>0.3</v>
      </c>
      <c r="R6" s="12"/>
      <c r="AB6" s="31" t="s">
        <v>495</v>
      </c>
    </row>
    <row r="7" spans="1:28">
      <c r="A7" s="1"/>
      <c r="B7" s="8">
        <f>ROW(B7) - ROW($B$2)</f>
        <v>5</v>
      </c>
      <c r="C7" s="14" t="s">
        <v>4</v>
      </c>
      <c r="D7" s="6" t="s">
        <v>33</v>
      </c>
      <c r="E7" s="6" t="s">
        <v>112</v>
      </c>
      <c r="F7" s="6" t="s">
        <v>428</v>
      </c>
      <c r="G7" s="6" t="s">
        <v>228</v>
      </c>
      <c r="H7" s="6" t="s">
        <v>293</v>
      </c>
      <c r="I7" s="6"/>
      <c r="J7" s="6" t="s">
        <v>329</v>
      </c>
      <c r="K7" s="26" t="s">
        <v>391</v>
      </c>
      <c r="L7" s="6">
        <v>5</v>
      </c>
      <c r="M7" s="6">
        <f>L7*5</f>
        <v>25</v>
      </c>
      <c r="N7" s="6" t="s">
        <v>433</v>
      </c>
      <c r="O7" s="32" t="str">
        <f t="shared" si="3"/>
        <v>LCSC</v>
      </c>
      <c r="P7" s="7" t="s">
        <v>441</v>
      </c>
      <c r="Q7" s="7">
        <f>P7*N7</f>
        <v>0.58799999999999997</v>
      </c>
      <c r="R7" s="6"/>
      <c r="AB7" s="31" t="s">
        <v>496</v>
      </c>
    </row>
    <row r="8" spans="1:28">
      <c r="A8" s="1"/>
      <c r="B8" s="9">
        <f t="shared" si="0"/>
        <v>6</v>
      </c>
      <c r="C8" s="14" t="s">
        <v>4</v>
      </c>
      <c r="D8" s="12" t="s">
        <v>34</v>
      </c>
      <c r="E8" s="12" t="s">
        <v>113</v>
      </c>
      <c r="F8" s="12" t="s">
        <v>187</v>
      </c>
      <c r="G8" s="12" t="s">
        <v>229</v>
      </c>
      <c r="H8" s="12" t="s">
        <v>292</v>
      </c>
      <c r="I8" s="12"/>
      <c r="J8" s="12" t="s">
        <v>330</v>
      </c>
      <c r="K8" s="27" t="s">
        <v>392</v>
      </c>
      <c r="L8" s="12">
        <v>1</v>
      </c>
      <c r="M8" s="12">
        <f t="shared" ref="M8" si="6">L8*5</f>
        <v>5</v>
      </c>
      <c r="N8" s="12" t="s">
        <v>434</v>
      </c>
      <c r="O8" s="32" t="str">
        <f t="shared" si="3"/>
        <v>LCSC</v>
      </c>
      <c r="P8" s="13" t="s">
        <v>442</v>
      </c>
      <c r="Q8" s="13">
        <f t="shared" ref="Q8" si="7">P8*N8</f>
        <v>0.89500000000000002</v>
      </c>
      <c r="R8" s="12"/>
      <c r="AB8" s="31" t="s">
        <v>497</v>
      </c>
    </row>
    <row r="9" spans="1:28">
      <c r="A9" s="1"/>
      <c r="B9" s="8">
        <f>ROW(B9) - ROW($B$2)</f>
        <v>7</v>
      </c>
      <c r="C9" s="14" t="s">
        <v>4</v>
      </c>
      <c r="D9" s="6" t="s">
        <v>35</v>
      </c>
      <c r="E9" s="6" t="s">
        <v>114</v>
      </c>
      <c r="F9" s="6" t="s">
        <v>187</v>
      </c>
      <c r="G9" s="6" t="s">
        <v>230</v>
      </c>
      <c r="H9" s="6" t="s">
        <v>292</v>
      </c>
      <c r="I9" s="6"/>
      <c r="J9" s="6" t="s">
        <v>331</v>
      </c>
      <c r="K9" s="26" t="s">
        <v>393</v>
      </c>
      <c r="L9" s="6">
        <v>1</v>
      </c>
      <c r="M9" s="6">
        <f>L9*5</f>
        <v>5</v>
      </c>
      <c r="N9" s="6" t="s">
        <v>432</v>
      </c>
      <c r="O9" s="32" t="str">
        <f t="shared" si="3"/>
        <v>LCSC</v>
      </c>
      <c r="P9" s="7" t="s">
        <v>443</v>
      </c>
      <c r="Q9" s="7">
        <f>P9*N9</f>
        <v>0.25</v>
      </c>
      <c r="R9" s="6"/>
      <c r="AB9" s="31" t="s">
        <v>498</v>
      </c>
    </row>
    <row r="10" spans="1:28">
      <c r="A10" s="1"/>
      <c r="B10" s="9">
        <f t="shared" si="0"/>
        <v>8</v>
      </c>
      <c r="C10" s="14" t="s">
        <v>4</v>
      </c>
      <c r="D10" s="12" t="s">
        <v>36</v>
      </c>
      <c r="E10" s="12" t="s">
        <v>115</v>
      </c>
      <c r="F10" s="12" t="s">
        <v>187</v>
      </c>
      <c r="G10" s="12" t="s">
        <v>231</v>
      </c>
      <c r="H10" s="12" t="s">
        <v>292</v>
      </c>
      <c r="I10" s="12"/>
      <c r="J10" s="12" t="s">
        <v>332</v>
      </c>
      <c r="K10" s="27" t="s">
        <v>394</v>
      </c>
      <c r="L10" s="12">
        <v>3</v>
      </c>
      <c r="M10" s="12">
        <f t="shared" ref="M10" si="8">L10*5</f>
        <v>15</v>
      </c>
      <c r="N10" s="12" t="s">
        <v>435</v>
      </c>
      <c r="O10" s="32" t="str">
        <f t="shared" si="3"/>
        <v>LCSC</v>
      </c>
      <c r="P10" s="13" t="s">
        <v>444</v>
      </c>
      <c r="Q10" s="13">
        <f t="shared" ref="Q10" si="9">P10*N10</f>
        <v>0.30199999999999999</v>
      </c>
      <c r="R10" s="12"/>
      <c r="AB10" s="31" t="s">
        <v>499</v>
      </c>
    </row>
    <row r="11" spans="1:28">
      <c r="A11" s="1"/>
      <c r="B11" s="8">
        <f>ROW(B11) - ROW($B$2)</f>
        <v>9</v>
      </c>
      <c r="C11" s="14" t="s">
        <v>4</v>
      </c>
      <c r="D11" s="6" t="s">
        <v>37</v>
      </c>
      <c r="E11" s="6" t="s">
        <v>116</v>
      </c>
      <c r="F11" s="6" t="s">
        <v>187</v>
      </c>
      <c r="G11" s="6" t="s">
        <v>232</v>
      </c>
      <c r="H11" s="6" t="s">
        <v>294</v>
      </c>
      <c r="I11" s="6"/>
      <c r="J11" s="6" t="s">
        <v>333</v>
      </c>
      <c r="K11" s="26" t="s">
        <v>388</v>
      </c>
      <c r="L11" s="6">
        <v>1</v>
      </c>
      <c r="M11" s="6">
        <f>L11*5</f>
        <v>5</v>
      </c>
      <c r="N11" s="6" t="s">
        <v>430</v>
      </c>
      <c r="O11" s="32" t="str">
        <f t="shared" si="3"/>
        <v>LCSC</v>
      </c>
      <c r="P11" s="7" t="s">
        <v>445</v>
      </c>
      <c r="Q11" s="7">
        <f>P11*N11</f>
        <v>0.49250000000000005</v>
      </c>
      <c r="R11" s="6"/>
      <c r="AB11" s="31" t="s">
        <v>500</v>
      </c>
    </row>
    <row r="12" spans="1:28">
      <c r="A12" s="1"/>
      <c r="B12" s="9">
        <f t="shared" si="0"/>
        <v>10</v>
      </c>
      <c r="C12" s="14" t="s">
        <v>4</v>
      </c>
      <c r="D12" s="12" t="s">
        <v>38</v>
      </c>
      <c r="E12" s="12" t="s">
        <v>117</v>
      </c>
      <c r="F12" s="12" t="s">
        <v>187</v>
      </c>
      <c r="G12" s="12" t="s">
        <v>233</v>
      </c>
      <c r="H12" s="12" t="s">
        <v>290</v>
      </c>
      <c r="I12" s="12"/>
      <c r="J12" s="12" t="s">
        <v>334</v>
      </c>
      <c r="K12" s="27" t="s">
        <v>395</v>
      </c>
      <c r="L12" s="12">
        <v>3</v>
      </c>
      <c r="M12" s="12">
        <f t="shared" ref="M12" si="10">L12*5</f>
        <v>15</v>
      </c>
      <c r="N12" s="12" t="s">
        <v>432</v>
      </c>
      <c r="O12" s="32" t="str">
        <f t="shared" si="3"/>
        <v>LCSC</v>
      </c>
      <c r="P12" s="13" t="s">
        <v>446</v>
      </c>
      <c r="Q12" s="13">
        <f t="shared" ref="Q12" si="11">P12*N12</f>
        <v>0.41000000000000003</v>
      </c>
      <c r="R12" s="12"/>
      <c r="AB12" s="31" t="s">
        <v>501</v>
      </c>
    </row>
    <row r="13" spans="1:28">
      <c r="A13" s="1"/>
      <c r="B13" s="8">
        <f>ROW(B13) - ROW($B$2)</f>
        <v>11</v>
      </c>
      <c r="C13" s="14" t="s">
        <v>4</v>
      </c>
      <c r="D13" s="6" t="s">
        <v>39</v>
      </c>
      <c r="E13" s="6" t="s">
        <v>118</v>
      </c>
      <c r="F13" s="6" t="s">
        <v>186</v>
      </c>
      <c r="G13" s="6" t="s">
        <v>234</v>
      </c>
      <c r="H13" s="6" t="s">
        <v>294</v>
      </c>
      <c r="I13" s="6"/>
      <c r="J13" s="6" t="s">
        <v>426</v>
      </c>
      <c r="K13" s="26" t="s">
        <v>389</v>
      </c>
      <c r="L13" s="6">
        <v>2</v>
      </c>
      <c r="M13" s="6">
        <f>L13*5</f>
        <v>10</v>
      </c>
      <c r="N13" s="6">
        <v>10</v>
      </c>
      <c r="O13" s="32" t="s">
        <v>568</v>
      </c>
      <c r="P13" s="7">
        <v>0.96099999999999997</v>
      </c>
      <c r="Q13" s="7">
        <f>P13*N13</f>
        <v>9.61</v>
      </c>
      <c r="R13" s="6"/>
      <c r="AB13" s="31" t="s">
        <v>502</v>
      </c>
    </row>
    <row r="14" spans="1:28">
      <c r="A14" s="1"/>
      <c r="B14" s="9">
        <f t="shared" si="0"/>
        <v>12</v>
      </c>
      <c r="C14" s="14" t="s">
        <v>4</v>
      </c>
      <c r="D14" s="12" t="s">
        <v>40</v>
      </c>
      <c r="E14" s="12" t="s">
        <v>119</v>
      </c>
      <c r="F14" s="12" t="s">
        <v>188</v>
      </c>
      <c r="G14" s="12" t="s">
        <v>235</v>
      </c>
      <c r="H14" s="12" t="s">
        <v>292</v>
      </c>
      <c r="I14" s="12"/>
      <c r="J14" s="12" t="s">
        <v>569</v>
      </c>
      <c r="K14" s="27" t="s">
        <v>388</v>
      </c>
      <c r="L14" s="12">
        <v>7</v>
      </c>
      <c r="M14" s="12">
        <f t="shared" ref="M14" si="12">L14*5</f>
        <v>35</v>
      </c>
      <c r="N14" s="12" t="s">
        <v>434</v>
      </c>
      <c r="O14" s="32" t="str">
        <f t="shared" si="3"/>
        <v>LCSC</v>
      </c>
      <c r="P14" s="13" t="s">
        <v>447</v>
      </c>
      <c r="Q14" s="13">
        <f t="shared" ref="Q14" si="13">P14*N14</f>
        <v>0.44500000000000001</v>
      </c>
      <c r="R14" s="12"/>
      <c r="AB14" s="31" t="s">
        <v>503</v>
      </c>
    </row>
    <row r="15" spans="1:28">
      <c r="A15" s="1"/>
      <c r="B15" s="8">
        <f>ROW(B15) - ROW($B$2)</f>
        <v>13</v>
      </c>
      <c r="C15" s="14" t="s">
        <v>4</v>
      </c>
      <c r="D15" s="6" t="s">
        <v>41</v>
      </c>
      <c r="E15" s="6" t="s">
        <v>120</v>
      </c>
      <c r="F15" s="6" t="s">
        <v>187</v>
      </c>
      <c r="G15" s="6" t="s">
        <v>236</v>
      </c>
      <c r="H15" s="6" t="s">
        <v>292</v>
      </c>
      <c r="I15" s="6"/>
      <c r="J15" s="6" t="s">
        <v>335</v>
      </c>
      <c r="K15" s="26" t="s">
        <v>396</v>
      </c>
      <c r="L15" s="6">
        <v>4</v>
      </c>
      <c r="M15" s="6">
        <f>L15*5</f>
        <v>20</v>
      </c>
      <c r="N15" s="6" t="s">
        <v>434</v>
      </c>
      <c r="O15" s="32" t="str">
        <f t="shared" si="3"/>
        <v>LCSC</v>
      </c>
      <c r="P15" s="7" t="s">
        <v>448</v>
      </c>
      <c r="Q15" s="7">
        <f>P15*N15</f>
        <v>0.48</v>
      </c>
      <c r="R15" s="6"/>
      <c r="AB15" s="31" t="s">
        <v>504</v>
      </c>
    </row>
    <row r="16" spans="1:28">
      <c r="A16" s="1"/>
      <c r="B16" s="9">
        <f t="shared" si="0"/>
        <v>14</v>
      </c>
      <c r="C16" s="15" t="s">
        <v>4</v>
      </c>
      <c r="D16" s="12" t="s">
        <v>42</v>
      </c>
      <c r="E16" s="12" t="s">
        <v>121</v>
      </c>
      <c r="F16" s="12" t="s">
        <v>188</v>
      </c>
      <c r="G16" s="12" t="s">
        <v>237</v>
      </c>
      <c r="H16" s="12" t="s">
        <v>292</v>
      </c>
      <c r="I16" s="12"/>
      <c r="J16" s="12" t="s">
        <v>336</v>
      </c>
      <c r="K16" s="27" t="s">
        <v>397</v>
      </c>
      <c r="L16" s="12">
        <v>3</v>
      </c>
      <c r="M16" s="12">
        <f t="shared" ref="M16" si="14">L16*5</f>
        <v>15</v>
      </c>
      <c r="N16" s="12" t="s">
        <v>432</v>
      </c>
      <c r="O16" s="32" t="str">
        <f t="shared" si="3"/>
        <v>LCSC</v>
      </c>
      <c r="P16" s="13" t="s">
        <v>449</v>
      </c>
      <c r="Q16" s="13">
        <f t="shared" ref="Q16" si="15">P16*N16</f>
        <v>0.13999999999999999</v>
      </c>
      <c r="R16" s="12"/>
      <c r="AB16" s="31" t="s">
        <v>505</v>
      </c>
    </row>
    <row r="17" spans="1:28">
      <c r="A17" s="1"/>
      <c r="B17" s="8">
        <f>ROW(B17) - ROW($B$2)</f>
        <v>15</v>
      </c>
      <c r="C17" s="14" t="s">
        <v>4</v>
      </c>
      <c r="D17" s="6" t="s">
        <v>43</v>
      </c>
      <c r="E17" s="6" t="s">
        <v>122</v>
      </c>
      <c r="F17" s="6" t="s">
        <v>184</v>
      </c>
      <c r="G17" s="6" t="s">
        <v>238</v>
      </c>
      <c r="H17" s="6" t="s">
        <v>290</v>
      </c>
      <c r="I17" s="6"/>
      <c r="J17" s="6" t="s">
        <v>337</v>
      </c>
      <c r="K17" s="26" t="s">
        <v>395</v>
      </c>
      <c r="L17" s="6">
        <v>2</v>
      </c>
      <c r="M17" s="6">
        <f>L17*5</f>
        <v>10</v>
      </c>
      <c r="N17" s="6" t="s">
        <v>432</v>
      </c>
      <c r="O17" s="32" t="str">
        <f t="shared" si="3"/>
        <v>LCSC</v>
      </c>
      <c r="P17" s="7" t="s">
        <v>450</v>
      </c>
      <c r="Q17" s="7">
        <f>P17*N17</f>
        <v>0.54</v>
      </c>
      <c r="R17" s="6"/>
      <c r="AB17" s="31" t="s">
        <v>506</v>
      </c>
    </row>
    <row r="18" spans="1:28">
      <c r="A18" s="1"/>
      <c r="B18" s="9">
        <f t="shared" si="0"/>
        <v>16</v>
      </c>
      <c r="C18" s="15" t="s">
        <v>4</v>
      </c>
      <c r="D18" s="19" t="s">
        <v>44</v>
      </c>
      <c r="E18" s="19" t="s">
        <v>123</v>
      </c>
      <c r="F18" s="19" t="s">
        <v>187</v>
      </c>
      <c r="G18" s="19" t="s">
        <v>239</v>
      </c>
      <c r="H18" s="19" t="s">
        <v>290</v>
      </c>
      <c r="I18" s="6"/>
      <c r="J18" s="19" t="s">
        <v>338</v>
      </c>
      <c r="K18" s="20" t="s">
        <v>398</v>
      </c>
      <c r="L18" s="19">
        <v>2</v>
      </c>
      <c r="M18" s="19">
        <f t="shared" ref="M18" si="16">L18*5</f>
        <v>10</v>
      </c>
      <c r="N18" s="21" t="s">
        <v>432</v>
      </c>
      <c r="O18" s="32" t="s">
        <v>426</v>
      </c>
      <c r="P18" s="23" t="s">
        <v>426</v>
      </c>
      <c r="Q18" s="24" t="s">
        <v>426</v>
      </c>
      <c r="R18" s="25" t="s">
        <v>427</v>
      </c>
      <c r="AB18" s="31" t="s">
        <v>507</v>
      </c>
    </row>
    <row r="19" spans="1:28">
      <c r="A19" s="1"/>
      <c r="B19" s="8">
        <f>ROW(B19) - ROW($B$2)</f>
        <v>17</v>
      </c>
      <c r="C19" s="14" t="s">
        <v>4</v>
      </c>
      <c r="D19" s="6" t="s">
        <v>45</v>
      </c>
      <c r="E19" s="6" t="s">
        <v>124</v>
      </c>
      <c r="F19" s="6" t="s">
        <v>187</v>
      </c>
      <c r="G19" s="6" t="s">
        <v>240</v>
      </c>
      <c r="H19" s="6" t="s">
        <v>290</v>
      </c>
      <c r="I19" s="6"/>
      <c r="J19" s="6" t="s">
        <v>339</v>
      </c>
      <c r="K19" s="26" t="s">
        <v>395</v>
      </c>
      <c r="L19" s="6">
        <v>1</v>
      </c>
      <c r="M19" s="6">
        <f>L19*5</f>
        <v>5</v>
      </c>
      <c r="N19" s="6" t="s">
        <v>432</v>
      </c>
      <c r="O19" s="32" t="str">
        <f t="shared" si="3"/>
        <v>LCSC</v>
      </c>
      <c r="P19" s="7" t="s">
        <v>451</v>
      </c>
      <c r="Q19" s="7">
        <f>P19*N19</f>
        <v>0.22</v>
      </c>
      <c r="R19" s="6"/>
      <c r="AB19" s="31" t="s">
        <v>508</v>
      </c>
    </row>
    <row r="20" spans="1:28">
      <c r="A20" s="1"/>
      <c r="B20" s="9">
        <f t="shared" si="0"/>
        <v>18</v>
      </c>
      <c r="C20" s="15" t="s">
        <v>4</v>
      </c>
      <c r="D20" s="12" t="s">
        <v>46</v>
      </c>
      <c r="E20" s="12" t="s">
        <v>125</v>
      </c>
      <c r="F20" s="12" t="s">
        <v>187</v>
      </c>
      <c r="G20" s="12" t="s">
        <v>241</v>
      </c>
      <c r="H20" s="12" t="s">
        <v>290</v>
      </c>
      <c r="I20" s="12"/>
      <c r="J20" s="12" t="s">
        <v>340</v>
      </c>
      <c r="K20" s="27" t="s">
        <v>399</v>
      </c>
      <c r="L20" s="12">
        <v>1</v>
      </c>
      <c r="M20" s="12">
        <f t="shared" ref="M20" si="17">L20*5</f>
        <v>5</v>
      </c>
      <c r="N20" s="12" t="s">
        <v>432</v>
      </c>
      <c r="O20" s="32" t="str">
        <f t="shared" si="3"/>
        <v>LCSC</v>
      </c>
      <c r="P20" s="13" t="s">
        <v>452</v>
      </c>
      <c r="Q20" s="13">
        <f t="shared" ref="Q20" si="18">P20*N20</f>
        <v>0.11</v>
      </c>
      <c r="R20" s="12"/>
      <c r="AB20" s="31" t="s">
        <v>509</v>
      </c>
    </row>
    <row r="21" spans="1:28">
      <c r="A21" s="1"/>
      <c r="B21" s="8">
        <f>ROW(B21) - ROW($B$2)</f>
        <v>19</v>
      </c>
      <c r="C21" s="14" t="s">
        <v>5</v>
      </c>
      <c r="D21" s="6" t="s">
        <v>47</v>
      </c>
      <c r="E21" s="6" t="s">
        <v>126</v>
      </c>
      <c r="F21" s="6" t="s">
        <v>189</v>
      </c>
      <c r="G21" s="6" t="s">
        <v>242</v>
      </c>
      <c r="H21" s="6" t="s">
        <v>295</v>
      </c>
      <c r="I21" s="6"/>
      <c r="J21" s="6" t="s">
        <v>341</v>
      </c>
      <c r="K21" s="26" t="s">
        <v>426</v>
      </c>
      <c r="L21" s="6">
        <v>1</v>
      </c>
      <c r="M21" s="6">
        <f>L21*5</f>
        <v>5</v>
      </c>
      <c r="N21" s="6" t="s">
        <v>431</v>
      </c>
      <c r="O21" s="32" t="str">
        <f t="shared" si="3"/>
        <v>LCSC</v>
      </c>
      <c r="P21" s="7" t="s">
        <v>453</v>
      </c>
      <c r="Q21" s="7">
        <f>P21*N21</f>
        <v>0.36200000000000004</v>
      </c>
      <c r="R21" s="6"/>
      <c r="AB21" s="31" t="s">
        <v>510</v>
      </c>
    </row>
    <row r="22" spans="1:28" ht="24">
      <c r="A22" s="1"/>
      <c r="B22" s="9">
        <f t="shared" si="0"/>
        <v>20</v>
      </c>
      <c r="C22" s="15" t="s">
        <v>5</v>
      </c>
      <c r="D22" s="12" t="s">
        <v>48</v>
      </c>
      <c r="E22" s="12" t="s">
        <v>127</v>
      </c>
      <c r="F22" s="12" t="s">
        <v>189</v>
      </c>
      <c r="G22" s="12" t="s">
        <v>243</v>
      </c>
      <c r="H22" s="12" t="s">
        <v>296</v>
      </c>
      <c r="I22" s="12"/>
      <c r="J22" s="12" t="s">
        <v>342</v>
      </c>
      <c r="K22" s="26" t="s">
        <v>426</v>
      </c>
      <c r="L22" s="12">
        <v>1</v>
      </c>
      <c r="M22" s="12">
        <f t="shared" ref="M22" si="19">L22*5</f>
        <v>5</v>
      </c>
      <c r="N22" s="12" t="s">
        <v>430</v>
      </c>
      <c r="O22" s="32" t="str">
        <f t="shared" si="3"/>
        <v>LCSC</v>
      </c>
      <c r="P22" s="13" t="s">
        <v>454</v>
      </c>
      <c r="Q22" s="13">
        <f t="shared" ref="Q22" si="20">P22*N22</f>
        <v>0.85250000000000004</v>
      </c>
      <c r="R22" s="12"/>
      <c r="AB22" s="31" t="s">
        <v>511</v>
      </c>
    </row>
    <row r="23" spans="1:28">
      <c r="A23" s="1"/>
      <c r="B23" s="8">
        <f>ROW(B23) - ROW($B$2)</f>
        <v>21</v>
      </c>
      <c r="C23" s="14" t="s">
        <v>6</v>
      </c>
      <c r="D23" s="6" t="s">
        <v>49</v>
      </c>
      <c r="E23" s="6" t="s">
        <v>128</v>
      </c>
      <c r="F23" s="6" t="s">
        <v>190</v>
      </c>
      <c r="G23" s="6" t="s">
        <v>244</v>
      </c>
      <c r="H23" s="6" t="s">
        <v>297</v>
      </c>
      <c r="I23" s="6"/>
      <c r="J23" s="6" t="s">
        <v>343</v>
      </c>
      <c r="K23" s="26" t="s">
        <v>426</v>
      </c>
      <c r="L23" s="6">
        <v>1</v>
      </c>
      <c r="M23" s="6">
        <f>L23*5</f>
        <v>5</v>
      </c>
      <c r="N23" s="6" t="s">
        <v>430</v>
      </c>
      <c r="O23" s="32" t="str">
        <f t="shared" si="3"/>
        <v>LCSC</v>
      </c>
      <c r="P23" s="7" t="s">
        <v>455</v>
      </c>
      <c r="Q23" s="7">
        <f>P23*N23</f>
        <v>0.85550000000000004</v>
      </c>
      <c r="R23" s="6"/>
      <c r="AB23" s="31" t="s">
        <v>512</v>
      </c>
    </row>
    <row r="24" spans="1:28">
      <c r="A24" s="1"/>
      <c r="B24" s="9">
        <f t="shared" si="0"/>
        <v>22</v>
      </c>
      <c r="C24" s="15" t="s">
        <v>7</v>
      </c>
      <c r="D24" s="12" t="s">
        <v>50</v>
      </c>
      <c r="E24" s="12" t="s">
        <v>129</v>
      </c>
      <c r="F24" s="6" t="s">
        <v>428</v>
      </c>
      <c r="G24" s="12" t="s">
        <v>191</v>
      </c>
      <c r="H24" s="12" t="s">
        <v>298</v>
      </c>
      <c r="I24" s="12"/>
      <c r="J24" s="12" t="s">
        <v>344</v>
      </c>
      <c r="K24" s="26" t="s">
        <v>426</v>
      </c>
      <c r="L24" s="12">
        <v>1</v>
      </c>
      <c r="M24" s="12">
        <f t="shared" ref="M24" si="21">L24*5</f>
        <v>5</v>
      </c>
      <c r="N24" s="12" t="s">
        <v>435</v>
      </c>
      <c r="O24" s="32" t="str">
        <f t="shared" si="3"/>
        <v>LCSC</v>
      </c>
      <c r="P24" s="13" t="s">
        <v>456</v>
      </c>
      <c r="Q24" s="13">
        <f t="shared" ref="Q24" si="22">P24*N24</f>
        <v>0.39600000000000002</v>
      </c>
      <c r="R24" s="12"/>
      <c r="AB24" s="31" t="s">
        <v>513</v>
      </c>
    </row>
    <row r="25" spans="1:28">
      <c r="A25" s="1"/>
      <c r="B25" s="8">
        <f>ROW(B25) - ROW($B$2)</f>
        <v>23</v>
      </c>
      <c r="C25" s="14" t="s">
        <v>8</v>
      </c>
      <c r="D25" s="6" t="s">
        <v>51</v>
      </c>
      <c r="E25" s="6" t="s">
        <v>130</v>
      </c>
      <c r="F25" s="6" t="s">
        <v>192</v>
      </c>
      <c r="G25" s="6" t="s">
        <v>245</v>
      </c>
      <c r="H25" s="6" t="s">
        <v>299</v>
      </c>
      <c r="I25" s="6"/>
      <c r="J25" s="6" t="s">
        <v>345</v>
      </c>
      <c r="K25" s="26" t="s">
        <v>426</v>
      </c>
      <c r="L25" s="6">
        <v>1</v>
      </c>
      <c r="M25" s="6">
        <f>L25*5</f>
        <v>5</v>
      </c>
      <c r="N25" s="6" t="s">
        <v>434</v>
      </c>
      <c r="O25" s="32" t="str">
        <f t="shared" si="3"/>
        <v>LCSC</v>
      </c>
      <c r="P25" s="7" t="s">
        <v>457</v>
      </c>
      <c r="Q25" s="7">
        <f>P25*N25</f>
        <v>0.77500000000000002</v>
      </c>
      <c r="R25" s="6"/>
      <c r="AB25" s="31" t="s">
        <v>514</v>
      </c>
    </row>
    <row r="26" spans="1:28" ht="24">
      <c r="A26" s="1"/>
      <c r="B26" s="9">
        <f t="shared" si="0"/>
        <v>24</v>
      </c>
      <c r="C26" s="15" t="s">
        <v>8</v>
      </c>
      <c r="D26" s="12" t="s">
        <v>52</v>
      </c>
      <c r="E26" s="12" t="s">
        <v>131</v>
      </c>
      <c r="F26" s="12" t="s">
        <v>193</v>
      </c>
      <c r="G26" s="12" t="s">
        <v>246</v>
      </c>
      <c r="H26" s="12" t="s">
        <v>300</v>
      </c>
      <c r="I26" s="12"/>
      <c r="J26" s="12" t="s">
        <v>346</v>
      </c>
      <c r="K26" s="26" t="s">
        <v>426</v>
      </c>
      <c r="L26" s="12">
        <v>2</v>
      </c>
      <c r="M26" s="12">
        <f t="shared" ref="M26" si="23">L26*5</f>
        <v>10</v>
      </c>
      <c r="N26" s="12" t="s">
        <v>434</v>
      </c>
      <c r="O26" s="32" t="str">
        <f t="shared" si="3"/>
        <v>LCSC</v>
      </c>
      <c r="P26" s="13" t="s">
        <v>458</v>
      </c>
      <c r="Q26" s="13">
        <f t="shared" ref="Q26" si="24">P26*N26</f>
        <v>0.44</v>
      </c>
      <c r="R26" s="12"/>
      <c r="AB26" s="31" t="s">
        <v>515</v>
      </c>
    </row>
    <row r="27" spans="1:28">
      <c r="A27" s="1"/>
      <c r="B27" s="8">
        <f>ROW(B27) - ROW($B$2)</f>
        <v>25</v>
      </c>
      <c r="C27" s="14" t="s">
        <v>5</v>
      </c>
      <c r="D27" s="6" t="s">
        <v>53</v>
      </c>
      <c r="E27" s="6" t="s">
        <v>132</v>
      </c>
      <c r="F27" s="6" t="s">
        <v>194</v>
      </c>
      <c r="G27" s="6" t="s">
        <v>247</v>
      </c>
      <c r="H27" s="6" t="s">
        <v>301</v>
      </c>
      <c r="I27" s="6"/>
      <c r="J27" s="6" t="s">
        <v>347</v>
      </c>
      <c r="K27" s="26" t="s">
        <v>426</v>
      </c>
      <c r="L27" s="6">
        <v>2</v>
      </c>
      <c r="M27" s="6">
        <f>L27*5</f>
        <v>10</v>
      </c>
      <c r="N27" s="6" t="s">
        <v>435</v>
      </c>
      <c r="O27" s="32" t="str">
        <f t="shared" si="3"/>
        <v>LCSC</v>
      </c>
      <c r="P27" s="7" t="s">
        <v>459</v>
      </c>
      <c r="Q27" s="7">
        <f>P27*N27</f>
        <v>0.68599999999999994</v>
      </c>
      <c r="R27" s="6"/>
      <c r="AB27" s="31" t="s">
        <v>516</v>
      </c>
    </row>
    <row r="28" spans="1:28">
      <c r="A28" s="1"/>
      <c r="B28" s="9">
        <f t="shared" si="0"/>
        <v>26</v>
      </c>
      <c r="C28" s="15" t="s">
        <v>8</v>
      </c>
      <c r="D28" s="12" t="s">
        <v>54</v>
      </c>
      <c r="E28" s="12" t="s">
        <v>130</v>
      </c>
      <c r="F28" s="12" t="s">
        <v>195</v>
      </c>
      <c r="G28" s="12" t="s">
        <v>245</v>
      </c>
      <c r="H28" s="12" t="s">
        <v>299</v>
      </c>
      <c r="I28" s="12"/>
      <c r="J28" s="12" t="s">
        <v>345</v>
      </c>
      <c r="K28" s="26" t="s">
        <v>426</v>
      </c>
      <c r="L28" s="12">
        <v>2</v>
      </c>
      <c r="M28" s="12">
        <f t="shared" ref="M28" si="25">L28*5</f>
        <v>10</v>
      </c>
      <c r="N28" s="12" t="s">
        <v>434</v>
      </c>
      <c r="O28" s="32" t="str">
        <f t="shared" si="3"/>
        <v>LCSC</v>
      </c>
      <c r="P28" s="13" t="s">
        <v>457</v>
      </c>
      <c r="Q28" s="13">
        <f t="shared" ref="Q28" si="26">P28*N28</f>
        <v>0.77500000000000002</v>
      </c>
      <c r="R28" s="12"/>
      <c r="AB28" s="31" t="s">
        <v>514</v>
      </c>
    </row>
    <row r="29" spans="1:28" ht="24">
      <c r="A29" s="1"/>
      <c r="B29" s="8">
        <f>ROW(B29) - ROW($B$2)</f>
        <v>27</v>
      </c>
      <c r="C29" s="14" t="s">
        <v>5</v>
      </c>
      <c r="D29" s="6" t="s">
        <v>55</v>
      </c>
      <c r="E29" s="6" t="s">
        <v>133</v>
      </c>
      <c r="F29" s="6" t="s">
        <v>196</v>
      </c>
      <c r="G29" s="6" t="s">
        <v>248</v>
      </c>
      <c r="H29" s="6" t="s">
        <v>302</v>
      </c>
      <c r="I29" s="6"/>
      <c r="J29" s="6" t="s">
        <v>348</v>
      </c>
      <c r="K29" s="26" t="s">
        <v>426</v>
      </c>
      <c r="L29" s="6">
        <v>1</v>
      </c>
      <c r="M29" s="6">
        <f>L29*5</f>
        <v>5</v>
      </c>
      <c r="N29" s="6" t="s">
        <v>431</v>
      </c>
      <c r="O29" s="32" t="str">
        <f t="shared" si="3"/>
        <v>LCSC</v>
      </c>
      <c r="P29" s="7" t="s">
        <v>460</v>
      </c>
      <c r="Q29" s="7">
        <f>P29*N29</f>
        <v>0.82000000000000006</v>
      </c>
      <c r="R29" s="6"/>
      <c r="AB29" s="31" t="s">
        <v>517</v>
      </c>
    </row>
    <row r="30" spans="1:28">
      <c r="A30" s="1"/>
      <c r="B30" s="9">
        <f t="shared" si="0"/>
        <v>28</v>
      </c>
      <c r="C30" s="15" t="s">
        <v>5</v>
      </c>
      <c r="D30" s="12" t="s">
        <v>56</v>
      </c>
      <c r="E30" s="12" t="s">
        <v>134</v>
      </c>
      <c r="F30" s="12" t="s">
        <v>197</v>
      </c>
      <c r="G30" s="12" t="s">
        <v>249</v>
      </c>
      <c r="H30" s="12" t="s">
        <v>298</v>
      </c>
      <c r="I30" s="12"/>
      <c r="J30" s="12" t="s">
        <v>349</v>
      </c>
      <c r="K30" s="26" t="s">
        <v>426</v>
      </c>
      <c r="L30" s="12">
        <v>1</v>
      </c>
      <c r="M30" s="12">
        <f t="shared" ref="M30" si="27">L30*5</f>
        <v>5</v>
      </c>
      <c r="N30" s="12" t="s">
        <v>431</v>
      </c>
      <c r="O30" s="32" t="str">
        <f t="shared" si="3"/>
        <v>LCSC</v>
      </c>
      <c r="P30" s="13" t="s">
        <v>461</v>
      </c>
      <c r="Q30" s="13">
        <f t="shared" ref="Q30" si="28">P30*N30</f>
        <v>0.39700000000000002</v>
      </c>
      <c r="R30" s="12"/>
      <c r="AB30" s="31" t="s">
        <v>518</v>
      </c>
    </row>
    <row r="31" spans="1:28" ht="24">
      <c r="A31" s="1"/>
      <c r="B31" s="8">
        <f>ROW(B31) - ROW($B$2)</f>
        <v>29</v>
      </c>
      <c r="C31" s="14" t="s">
        <v>9</v>
      </c>
      <c r="D31" s="6" t="s">
        <v>57</v>
      </c>
      <c r="E31" s="6" t="s">
        <v>135</v>
      </c>
      <c r="F31" s="6" t="s">
        <v>198</v>
      </c>
      <c r="G31" s="6" t="s">
        <v>250</v>
      </c>
      <c r="H31" s="6" t="s">
        <v>303</v>
      </c>
      <c r="I31" s="6"/>
      <c r="J31" s="6" t="s">
        <v>350</v>
      </c>
      <c r="K31" s="26" t="s">
        <v>426</v>
      </c>
      <c r="L31" s="6">
        <v>1</v>
      </c>
      <c r="M31" s="6">
        <f>L31*5</f>
        <v>5</v>
      </c>
      <c r="N31" s="6" t="s">
        <v>435</v>
      </c>
      <c r="O31" s="32" t="str">
        <f t="shared" si="3"/>
        <v>LCSC</v>
      </c>
      <c r="P31" s="7" t="s">
        <v>462</v>
      </c>
      <c r="Q31" s="7">
        <f>P31*N31</f>
        <v>0.78200000000000003</v>
      </c>
      <c r="R31" s="6"/>
      <c r="AB31" s="31" t="s">
        <v>519</v>
      </c>
    </row>
    <row r="32" spans="1:28">
      <c r="A32" s="1"/>
      <c r="B32" s="9">
        <f t="shared" si="0"/>
        <v>30</v>
      </c>
      <c r="C32" s="15" t="s">
        <v>10</v>
      </c>
      <c r="D32" s="12" t="s">
        <v>58</v>
      </c>
      <c r="E32" s="12" t="s">
        <v>136</v>
      </c>
      <c r="F32" s="12" t="s">
        <v>199</v>
      </c>
      <c r="G32" s="12" t="s">
        <v>251</v>
      </c>
      <c r="H32" s="12" t="s">
        <v>294</v>
      </c>
      <c r="I32" s="12"/>
      <c r="J32" s="12" t="s">
        <v>351</v>
      </c>
      <c r="K32" s="27" t="s">
        <v>400</v>
      </c>
      <c r="L32" s="12">
        <v>1</v>
      </c>
      <c r="M32" s="12">
        <f t="shared" ref="M32" si="29">L32*5</f>
        <v>5</v>
      </c>
      <c r="N32" s="12" t="s">
        <v>431</v>
      </c>
      <c r="O32" s="32" t="str">
        <f t="shared" si="3"/>
        <v>LCSC</v>
      </c>
      <c r="P32" s="13" t="s">
        <v>463</v>
      </c>
      <c r="Q32" s="13">
        <f t="shared" ref="Q32" si="30">P32*N32</f>
        <v>0.33399999999999996</v>
      </c>
      <c r="R32" s="12"/>
      <c r="AB32" s="31" t="s">
        <v>520</v>
      </c>
    </row>
    <row r="33" spans="1:28" ht="48">
      <c r="A33" s="1"/>
      <c r="B33" s="8">
        <f>ROW(B33) - ROW($B$2)</f>
        <v>31</v>
      </c>
      <c r="C33" s="14" t="s">
        <v>11</v>
      </c>
      <c r="D33" s="6" t="s">
        <v>59</v>
      </c>
      <c r="E33" s="6" t="s">
        <v>137</v>
      </c>
      <c r="F33" s="6" t="s">
        <v>428</v>
      </c>
      <c r="G33" s="6" t="s">
        <v>200</v>
      </c>
      <c r="H33" s="6" t="s">
        <v>304</v>
      </c>
      <c r="I33" s="6"/>
      <c r="J33" s="6" t="s">
        <v>352</v>
      </c>
      <c r="K33" s="26" t="s">
        <v>426</v>
      </c>
      <c r="L33" s="6">
        <v>2</v>
      </c>
      <c r="M33" s="6">
        <f>L33*5</f>
        <v>10</v>
      </c>
      <c r="N33" s="6" t="s">
        <v>431</v>
      </c>
      <c r="O33" s="32" t="str">
        <f t="shared" si="3"/>
        <v>LCSC</v>
      </c>
      <c r="P33" s="7" t="s">
        <v>464</v>
      </c>
      <c r="Q33" s="7">
        <f>P33*N33</f>
        <v>1.706</v>
      </c>
      <c r="R33" s="6"/>
      <c r="AB33" s="31" t="s">
        <v>521</v>
      </c>
    </row>
    <row r="34" spans="1:28" ht="48">
      <c r="A34" s="1"/>
      <c r="B34" s="9">
        <f t="shared" si="0"/>
        <v>32</v>
      </c>
      <c r="C34" s="15" t="s">
        <v>12</v>
      </c>
      <c r="D34" s="12" t="s">
        <v>60</v>
      </c>
      <c r="E34" s="12" t="s">
        <v>138</v>
      </c>
      <c r="F34" s="6" t="s">
        <v>428</v>
      </c>
      <c r="G34" s="12" t="s">
        <v>201</v>
      </c>
      <c r="H34" s="12" t="s">
        <v>304</v>
      </c>
      <c r="I34" s="12"/>
      <c r="J34" s="12" t="s">
        <v>353</v>
      </c>
      <c r="K34" s="26" t="s">
        <v>426</v>
      </c>
      <c r="L34" s="12">
        <v>1</v>
      </c>
      <c r="M34" s="12">
        <f t="shared" ref="M34" si="31">L34*5</f>
        <v>5</v>
      </c>
      <c r="N34" s="12" t="s">
        <v>430</v>
      </c>
      <c r="O34" s="32" t="str">
        <f t="shared" si="3"/>
        <v>LCSC</v>
      </c>
      <c r="P34" s="13" t="s">
        <v>465</v>
      </c>
      <c r="Q34" s="13">
        <f t="shared" ref="Q34" si="32">P34*N34</f>
        <v>0.54399999999999993</v>
      </c>
      <c r="R34" s="12"/>
      <c r="AB34" s="31" t="s">
        <v>522</v>
      </c>
    </row>
    <row r="35" spans="1:28">
      <c r="A35" s="1"/>
      <c r="B35" s="8">
        <f>ROW(B35) - ROW($B$2)</f>
        <v>33</v>
      </c>
      <c r="C35" s="14" t="s">
        <v>13</v>
      </c>
      <c r="D35" s="6" t="s">
        <v>61</v>
      </c>
      <c r="E35" s="6" t="s">
        <v>139</v>
      </c>
      <c r="F35" s="6" t="s">
        <v>428</v>
      </c>
      <c r="G35" s="6" t="s">
        <v>252</v>
      </c>
      <c r="H35" s="6" t="s">
        <v>305</v>
      </c>
      <c r="I35" s="6"/>
      <c r="J35" s="6" t="s">
        <v>354</v>
      </c>
      <c r="K35" s="26" t="s">
        <v>426</v>
      </c>
      <c r="L35" s="6">
        <v>2</v>
      </c>
      <c r="M35" s="6">
        <f>L35*5</f>
        <v>10</v>
      </c>
      <c r="N35" s="6" t="s">
        <v>431</v>
      </c>
      <c r="O35" s="32" t="str">
        <f t="shared" si="3"/>
        <v>LCSC</v>
      </c>
      <c r="P35" s="7" t="s">
        <v>466</v>
      </c>
      <c r="Q35" s="7">
        <f>P35*N35</f>
        <v>0.80899999999999994</v>
      </c>
      <c r="R35" s="6"/>
      <c r="AB35" s="31" t="s">
        <v>523</v>
      </c>
    </row>
    <row r="36" spans="1:28" ht="48">
      <c r="A36" s="1"/>
      <c r="B36" s="9">
        <f t="shared" si="0"/>
        <v>34</v>
      </c>
      <c r="C36" s="15" t="s">
        <v>14</v>
      </c>
      <c r="D36" s="12" t="s">
        <v>62</v>
      </c>
      <c r="E36" s="12" t="s">
        <v>140</v>
      </c>
      <c r="F36" s="6" t="s">
        <v>428</v>
      </c>
      <c r="G36" s="12" t="s">
        <v>202</v>
      </c>
      <c r="H36" s="12" t="s">
        <v>306</v>
      </c>
      <c r="I36" s="12"/>
      <c r="J36" s="12" t="s">
        <v>355</v>
      </c>
      <c r="K36" s="26" t="s">
        <v>426</v>
      </c>
      <c r="L36" s="12">
        <v>1</v>
      </c>
      <c r="M36" s="12">
        <f t="shared" ref="M36" si="33">L36*5</f>
        <v>5</v>
      </c>
      <c r="N36" s="12" t="s">
        <v>430</v>
      </c>
      <c r="O36" s="32" t="str">
        <f t="shared" si="3"/>
        <v>LCSC</v>
      </c>
      <c r="P36" s="13" t="s">
        <v>467</v>
      </c>
      <c r="Q36" s="13">
        <f t="shared" ref="Q36" si="34">P36*N36</f>
        <v>3.11</v>
      </c>
      <c r="R36" s="12"/>
      <c r="AB36" s="31" t="s">
        <v>524</v>
      </c>
    </row>
    <row r="37" spans="1:28">
      <c r="A37" s="1"/>
      <c r="B37" s="8">
        <f>ROW(B37) - ROW($B$2)</f>
        <v>35</v>
      </c>
      <c r="C37" s="14" t="s">
        <v>15</v>
      </c>
      <c r="D37" s="29" t="s">
        <v>63</v>
      </c>
      <c r="E37" s="29" t="s">
        <v>141</v>
      </c>
      <c r="F37" s="29" t="s">
        <v>428</v>
      </c>
      <c r="G37" s="29" t="s">
        <v>253</v>
      </c>
      <c r="H37" s="29" t="s">
        <v>426</v>
      </c>
      <c r="I37" s="29" t="s">
        <v>426</v>
      </c>
      <c r="J37" s="29" t="s">
        <v>426</v>
      </c>
      <c r="K37" s="28" t="s">
        <v>426</v>
      </c>
      <c r="L37" s="29">
        <v>1</v>
      </c>
      <c r="M37" s="29">
        <f>L37*5</f>
        <v>5</v>
      </c>
      <c r="N37" s="29" t="s">
        <v>430</v>
      </c>
      <c r="O37" s="32" t="s">
        <v>426</v>
      </c>
      <c r="P37" s="30" t="s">
        <v>426</v>
      </c>
      <c r="Q37" s="30" t="s">
        <v>426</v>
      </c>
      <c r="R37" s="25" t="s">
        <v>427</v>
      </c>
      <c r="AB37" s="31" t="s">
        <v>525</v>
      </c>
    </row>
    <row r="38" spans="1:28">
      <c r="A38" s="1"/>
      <c r="B38" s="9">
        <f t="shared" si="0"/>
        <v>36</v>
      </c>
      <c r="C38" s="15" t="s">
        <v>16</v>
      </c>
      <c r="D38" s="12" t="s">
        <v>64</v>
      </c>
      <c r="E38" s="12" t="s">
        <v>142</v>
      </c>
      <c r="F38" s="6" t="s">
        <v>428</v>
      </c>
      <c r="G38" s="12" t="s">
        <v>203</v>
      </c>
      <c r="H38" s="12" t="s">
        <v>307</v>
      </c>
      <c r="I38" s="12"/>
      <c r="J38" s="12" t="s">
        <v>426</v>
      </c>
      <c r="K38" s="26" t="s">
        <v>426</v>
      </c>
      <c r="L38" s="12">
        <v>1</v>
      </c>
      <c r="M38" s="12">
        <f t="shared" ref="M38" si="35">L38*5</f>
        <v>5</v>
      </c>
      <c r="N38" s="12" t="s">
        <v>430</v>
      </c>
      <c r="O38" s="22" t="s">
        <v>568</v>
      </c>
      <c r="P38" s="33">
        <v>1.1399999999999999</v>
      </c>
      <c r="Q38" s="13">
        <f t="shared" ref="Q38" si="36">P38*N38</f>
        <v>5.6999999999999993</v>
      </c>
      <c r="R38" s="12"/>
      <c r="AB38" s="31" t="s">
        <v>526</v>
      </c>
    </row>
    <row r="39" spans="1:28" ht="48">
      <c r="A39" s="1"/>
      <c r="B39" s="8">
        <f>ROW(B39) - ROW($B$2)</f>
        <v>37</v>
      </c>
      <c r="C39" s="14" t="s">
        <v>17</v>
      </c>
      <c r="D39" s="6" t="s">
        <v>65</v>
      </c>
      <c r="E39" s="6" t="s">
        <v>143</v>
      </c>
      <c r="F39" s="6" t="s">
        <v>204</v>
      </c>
      <c r="G39" s="6" t="s">
        <v>254</v>
      </c>
      <c r="H39" s="6" t="s">
        <v>308</v>
      </c>
      <c r="I39" s="6"/>
      <c r="J39" s="6" t="s">
        <v>356</v>
      </c>
      <c r="K39" s="26" t="s">
        <v>426</v>
      </c>
      <c r="L39" s="6">
        <v>1</v>
      </c>
      <c r="M39" s="6">
        <f>L39*5</f>
        <v>5</v>
      </c>
      <c r="N39" s="6" t="s">
        <v>435</v>
      </c>
      <c r="O39" s="32" t="str">
        <f t="shared" si="3"/>
        <v>LCSC</v>
      </c>
      <c r="P39" s="7" t="s">
        <v>468</v>
      </c>
      <c r="Q39" s="7">
        <f>P39*N39</f>
        <v>0.61599999999999999</v>
      </c>
      <c r="R39" s="6"/>
      <c r="AB39" s="31" t="s">
        <v>527</v>
      </c>
    </row>
    <row r="40" spans="1:28">
      <c r="A40" s="1"/>
      <c r="B40" s="9">
        <f t="shared" si="0"/>
        <v>38</v>
      </c>
      <c r="C40" s="15" t="s">
        <v>16</v>
      </c>
      <c r="D40" s="12" t="s">
        <v>66</v>
      </c>
      <c r="E40" s="12" t="s">
        <v>142</v>
      </c>
      <c r="F40" s="6" t="s">
        <v>428</v>
      </c>
      <c r="G40" s="12" t="s">
        <v>205</v>
      </c>
      <c r="H40" s="12" t="s">
        <v>307</v>
      </c>
      <c r="I40" s="12"/>
      <c r="J40" s="12" t="s">
        <v>426</v>
      </c>
      <c r="K40" s="26" t="s">
        <v>426</v>
      </c>
      <c r="L40" s="12">
        <v>2</v>
      </c>
      <c r="M40" s="12">
        <f t="shared" ref="M40" si="37">L40*5</f>
        <v>10</v>
      </c>
      <c r="N40" s="12" t="s">
        <v>431</v>
      </c>
      <c r="O40" s="22" t="s">
        <v>568</v>
      </c>
      <c r="P40" s="34">
        <v>0.75</v>
      </c>
      <c r="Q40" s="13">
        <f t="shared" ref="Q40" si="38">P40*N40</f>
        <v>7.5</v>
      </c>
      <c r="R40" s="12"/>
      <c r="AB40" s="31" t="s">
        <v>528</v>
      </c>
    </row>
    <row r="41" spans="1:28" ht="48">
      <c r="A41" s="1"/>
      <c r="B41" s="8">
        <f>ROW(B41) - ROW($B$2)</f>
        <v>39</v>
      </c>
      <c r="C41" s="14" t="s">
        <v>17</v>
      </c>
      <c r="D41" s="6" t="s">
        <v>67</v>
      </c>
      <c r="E41" s="6" t="s">
        <v>144</v>
      </c>
      <c r="F41" s="6" t="s">
        <v>206</v>
      </c>
      <c r="G41" s="6" t="s">
        <v>255</v>
      </c>
      <c r="H41" s="6" t="s">
        <v>309</v>
      </c>
      <c r="I41" s="6"/>
      <c r="J41" s="6" t="s">
        <v>357</v>
      </c>
      <c r="K41" s="26" t="s">
        <v>426</v>
      </c>
      <c r="L41" s="6">
        <v>1</v>
      </c>
      <c r="M41" s="6">
        <f>L41*5</f>
        <v>5</v>
      </c>
      <c r="N41" s="6" t="s">
        <v>431</v>
      </c>
      <c r="O41" s="32" t="str">
        <f t="shared" si="3"/>
        <v>LCSC</v>
      </c>
      <c r="P41" s="7" t="s">
        <v>469</v>
      </c>
      <c r="Q41" s="7">
        <f>P41*N41</f>
        <v>0.38600000000000001</v>
      </c>
      <c r="R41" s="6"/>
      <c r="AB41" s="31" t="s">
        <v>529</v>
      </c>
    </row>
    <row r="42" spans="1:28" ht="48">
      <c r="A42" s="1"/>
      <c r="B42" s="9">
        <f t="shared" si="0"/>
        <v>40</v>
      </c>
      <c r="C42" s="15" t="s">
        <v>18</v>
      </c>
      <c r="D42" s="12" t="s">
        <v>68</v>
      </c>
      <c r="E42" s="12" t="s">
        <v>145</v>
      </c>
      <c r="F42" s="12" t="s">
        <v>207</v>
      </c>
      <c r="G42" s="12" t="s">
        <v>256</v>
      </c>
      <c r="H42" s="12" t="s">
        <v>309</v>
      </c>
      <c r="I42" s="12"/>
      <c r="J42" s="12" t="s">
        <v>358</v>
      </c>
      <c r="K42" s="26" t="s">
        <v>426</v>
      </c>
      <c r="L42" s="12">
        <v>1</v>
      </c>
      <c r="M42" s="12">
        <f t="shared" ref="M42" si="39">L42*5</f>
        <v>5</v>
      </c>
      <c r="N42" s="12" t="s">
        <v>435</v>
      </c>
      <c r="O42" s="32" t="str">
        <f t="shared" si="3"/>
        <v>LCSC</v>
      </c>
      <c r="P42" s="13" t="s">
        <v>470</v>
      </c>
      <c r="Q42" s="13">
        <f t="shared" ref="Q42" si="40">P42*N42</f>
        <v>0.56800000000000006</v>
      </c>
      <c r="R42" s="12"/>
      <c r="AB42" s="31" t="s">
        <v>530</v>
      </c>
    </row>
    <row r="43" spans="1:28" ht="24">
      <c r="A43" s="1"/>
      <c r="B43" s="8">
        <f>ROW(B43) - ROW($B$2)</f>
        <v>41</v>
      </c>
      <c r="C43" s="14" t="s">
        <v>19</v>
      </c>
      <c r="D43" s="6" t="s">
        <v>69</v>
      </c>
      <c r="E43" s="6" t="s">
        <v>146</v>
      </c>
      <c r="F43" s="6" t="s">
        <v>428</v>
      </c>
      <c r="G43" s="6" t="s">
        <v>208</v>
      </c>
      <c r="H43" s="6" t="s">
        <v>310</v>
      </c>
      <c r="I43" s="6"/>
      <c r="J43" s="6" t="s">
        <v>359</v>
      </c>
      <c r="K43" s="26" t="s">
        <v>401</v>
      </c>
      <c r="L43" s="6">
        <v>1</v>
      </c>
      <c r="M43" s="6">
        <f>L43*5</f>
        <v>5</v>
      </c>
      <c r="N43" s="6" t="s">
        <v>430</v>
      </c>
      <c r="O43" s="32" t="str">
        <f t="shared" si="3"/>
        <v>LCSC</v>
      </c>
      <c r="P43" s="7" t="s">
        <v>471</v>
      </c>
      <c r="Q43" s="7">
        <f>P43*N43</f>
        <v>4.6985000000000001</v>
      </c>
      <c r="R43" s="6"/>
      <c r="AB43" s="31" t="s">
        <v>531</v>
      </c>
    </row>
    <row r="44" spans="1:28" ht="24">
      <c r="A44" s="1"/>
      <c r="B44" s="9">
        <f t="shared" si="0"/>
        <v>42</v>
      </c>
      <c r="C44" s="15" t="s">
        <v>19</v>
      </c>
      <c r="D44" s="12" t="s">
        <v>70</v>
      </c>
      <c r="E44" s="12" t="s">
        <v>147</v>
      </c>
      <c r="F44" s="12" t="s">
        <v>209</v>
      </c>
      <c r="G44" s="12" t="s">
        <v>257</v>
      </c>
      <c r="H44" s="12" t="s">
        <v>311</v>
      </c>
      <c r="I44" s="12"/>
      <c r="J44" s="12" t="s">
        <v>571</v>
      </c>
      <c r="K44" s="27" t="s">
        <v>402</v>
      </c>
      <c r="L44" s="12">
        <v>1</v>
      </c>
      <c r="M44" s="12">
        <f t="shared" ref="M44" si="41">L44*5</f>
        <v>5</v>
      </c>
      <c r="N44" s="12" t="s">
        <v>430</v>
      </c>
      <c r="O44" s="32" t="s">
        <v>570</v>
      </c>
      <c r="P44" s="13">
        <v>0.87929999999999997</v>
      </c>
      <c r="Q44" s="13">
        <f t="shared" ref="Q44" si="42">P44*N44</f>
        <v>4.3964999999999996</v>
      </c>
      <c r="R44" s="12"/>
      <c r="AB44" s="31" t="s">
        <v>532</v>
      </c>
    </row>
    <row r="45" spans="1:28" ht="24">
      <c r="A45" s="1"/>
      <c r="B45" s="8">
        <f>ROW(B45) - ROW($B$2)</f>
        <v>43</v>
      </c>
      <c r="C45" s="14" t="s">
        <v>20</v>
      </c>
      <c r="D45" s="6" t="s">
        <v>71</v>
      </c>
      <c r="E45" s="6" t="s">
        <v>148</v>
      </c>
      <c r="F45" s="6" t="s">
        <v>210</v>
      </c>
      <c r="G45" s="19" t="s">
        <v>258</v>
      </c>
      <c r="H45" s="6" t="s">
        <v>312</v>
      </c>
      <c r="I45" s="6" t="s">
        <v>579</v>
      </c>
      <c r="J45" s="6" t="s">
        <v>573</v>
      </c>
      <c r="K45" s="26" t="s">
        <v>426</v>
      </c>
      <c r="L45" s="6">
        <v>1</v>
      </c>
      <c r="M45" s="6">
        <f>L45*5</f>
        <v>5</v>
      </c>
      <c r="N45" s="6">
        <v>100</v>
      </c>
      <c r="O45" s="32" t="s">
        <v>570</v>
      </c>
      <c r="P45" s="7">
        <v>5.5999999999999999E-3</v>
      </c>
      <c r="Q45" s="7">
        <f>P45*N45</f>
        <v>0.55999999999999994</v>
      </c>
      <c r="R45" s="6"/>
      <c r="AB45" s="31" t="s">
        <v>533</v>
      </c>
    </row>
    <row r="46" spans="1:28" ht="24">
      <c r="A46" s="1"/>
      <c r="B46" s="9">
        <f t="shared" si="0"/>
        <v>44</v>
      </c>
      <c r="C46" s="15" t="s">
        <v>20</v>
      </c>
      <c r="D46" s="12" t="s">
        <v>72</v>
      </c>
      <c r="E46" s="12" t="s">
        <v>149</v>
      </c>
      <c r="F46" s="12" t="s">
        <v>210</v>
      </c>
      <c r="G46" s="19" t="s">
        <v>259</v>
      </c>
      <c r="H46" s="12" t="s">
        <v>312</v>
      </c>
      <c r="I46" s="12" t="s">
        <v>578</v>
      </c>
      <c r="J46" s="12" t="s">
        <v>572</v>
      </c>
      <c r="K46" s="26" t="s">
        <v>426</v>
      </c>
      <c r="L46" s="12">
        <v>1</v>
      </c>
      <c r="M46" s="12">
        <f t="shared" ref="M46" si="43">L46*5</f>
        <v>5</v>
      </c>
      <c r="N46" s="12">
        <v>20</v>
      </c>
      <c r="O46" s="32" t="s">
        <v>570</v>
      </c>
      <c r="P46" s="13">
        <v>2.47E-2</v>
      </c>
      <c r="Q46" s="13">
        <f t="shared" ref="Q46" si="44">P46*N46</f>
        <v>0.49399999999999999</v>
      </c>
      <c r="R46" s="12"/>
      <c r="AB46" s="31" t="s">
        <v>534</v>
      </c>
    </row>
    <row r="47" spans="1:28">
      <c r="A47" s="1"/>
      <c r="B47" s="8">
        <f>ROW(B47) - ROW($B$2)</f>
        <v>45</v>
      </c>
      <c r="C47" s="14" t="s">
        <v>20</v>
      </c>
      <c r="D47" s="6" t="s">
        <v>73</v>
      </c>
      <c r="E47" s="6" t="s">
        <v>150</v>
      </c>
      <c r="F47" s="6" t="s">
        <v>211</v>
      </c>
      <c r="G47" s="6" t="s">
        <v>260</v>
      </c>
      <c r="H47" s="6" t="s">
        <v>313</v>
      </c>
      <c r="I47" s="6"/>
      <c r="J47" s="6" t="s">
        <v>426</v>
      </c>
      <c r="K47" s="26" t="s">
        <v>426</v>
      </c>
      <c r="L47" s="6">
        <v>4</v>
      </c>
      <c r="M47" s="6">
        <f>L47*5</f>
        <v>20</v>
      </c>
      <c r="N47" s="6" t="s">
        <v>435</v>
      </c>
      <c r="O47" s="32" t="s">
        <v>574</v>
      </c>
      <c r="P47" s="7">
        <v>0.22</v>
      </c>
      <c r="Q47" s="7">
        <f>P47*N47</f>
        <v>4.4000000000000004</v>
      </c>
      <c r="R47" s="6"/>
      <c r="AB47" s="31" t="s">
        <v>535</v>
      </c>
    </row>
    <row r="48" spans="1:28">
      <c r="A48" s="1"/>
      <c r="B48" s="9">
        <f t="shared" si="0"/>
        <v>46</v>
      </c>
      <c r="C48" s="15" t="s">
        <v>21</v>
      </c>
      <c r="D48" s="19" t="s">
        <v>74</v>
      </c>
      <c r="E48" s="19" t="s">
        <v>151</v>
      </c>
      <c r="F48" s="19" t="s">
        <v>428</v>
      </c>
      <c r="G48" s="19" t="s">
        <v>151</v>
      </c>
      <c r="H48" s="19" t="s">
        <v>426</v>
      </c>
      <c r="I48" s="19" t="s">
        <v>426</v>
      </c>
      <c r="J48" s="19" t="s">
        <v>426</v>
      </c>
      <c r="K48" s="20" t="s">
        <v>426</v>
      </c>
      <c r="L48" s="19">
        <v>3</v>
      </c>
      <c r="M48" s="19">
        <f t="shared" ref="M48" si="45">L48*5</f>
        <v>15</v>
      </c>
      <c r="N48" s="19" t="s">
        <v>436</v>
      </c>
      <c r="O48" s="35" t="str">
        <f t="shared" si="3"/>
        <v>LCSC</v>
      </c>
      <c r="P48" s="24" t="s">
        <v>426</v>
      </c>
      <c r="Q48" s="24" t="s">
        <v>426</v>
      </c>
      <c r="R48" s="25" t="s">
        <v>427</v>
      </c>
      <c r="AB48" s="31" t="s">
        <v>536</v>
      </c>
    </row>
    <row r="49" spans="1:28">
      <c r="A49" s="1"/>
      <c r="B49" s="8">
        <f>ROW(B49) - ROW($B$2)</f>
        <v>47</v>
      </c>
      <c r="C49" s="14" t="s">
        <v>22</v>
      </c>
      <c r="D49" s="6" t="s">
        <v>75</v>
      </c>
      <c r="E49" s="6" t="s">
        <v>152</v>
      </c>
      <c r="F49" s="6" t="s">
        <v>197</v>
      </c>
      <c r="G49" s="6" t="s">
        <v>261</v>
      </c>
      <c r="H49" s="6" t="s">
        <v>314</v>
      </c>
      <c r="I49" s="6"/>
      <c r="J49" s="6" t="s">
        <v>360</v>
      </c>
      <c r="K49" s="26" t="s">
        <v>426</v>
      </c>
      <c r="L49" s="6">
        <v>5</v>
      </c>
      <c r="M49" s="6">
        <f>L49*5</f>
        <v>25</v>
      </c>
      <c r="N49" s="6" t="s">
        <v>433</v>
      </c>
      <c r="O49" s="32" t="str">
        <f t="shared" si="3"/>
        <v>LCSC</v>
      </c>
      <c r="P49" s="7" t="s">
        <v>472</v>
      </c>
      <c r="Q49" s="7">
        <f>P49*N49</f>
        <v>1.1000000000000001</v>
      </c>
      <c r="R49" s="6"/>
      <c r="AB49" s="31" t="s">
        <v>537</v>
      </c>
    </row>
    <row r="50" spans="1:28" ht="24">
      <c r="A50" s="1"/>
      <c r="B50" s="9">
        <f t="shared" si="0"/>
        <v>48</v>
      </c>
      <c r="C50" s="15" t="s">
        <v>23</v>
      </c>
      <c r="D50" s="12" t="s">
        <v>76</v>
      </c>
      <c r="E50" s="12" t="s">
        <v>153</v>
      </c>
      <c r="F50" s="12" t="s">
        <v>197</v>
      </c>
      <c r="G50" s="12" t="s">
        <v>262</v>
      </c>
      <c r="H50" s="12" t="s">
        <v>301</v>
      </c>
      <c r="I50" s="12"/>
      <c r="J50" s="12" t="s">
        <v>361</v>
      </c>
      <c r="K50" s="26" t="s">
        <v>426</v>
      </c>
      <c r="L50" s="12">
        <v>10</v>
      </c>
      <c r="M50" s="12">
        <f t="shared" ref="M50" si="46">L50*5</f>
        <v>50</v>
      </c>
      <c r="N50" s="12" t="s">
        <v>434</v>
      </c>
      <c r="O50" s="32" t="str">
        <f t="shared" si="3"/>
        <v>LCSC</v>
      </c>
      <c r="P50" s="13" t="s">
        <v>473</v>
      </c>
      <c r="Q50" s="13">
        <f t="shared" ref="Q50" si="47">P50*N50</f>
        <v>0.47000000000000003</v>
      </c>
      <c r="R50" s="12"/>
      <c r="AB50" s="31" t="s">
        <v>538</v>
      </c>
    </row>
    <row r="51" spans="1:28">
      <c r="A51" s="1"/>
      <c r="B51" s="8">
        <f>ROW(B51) - ROW($B$2)</f>
        <v>49</v>
      </c>
      <c r="C51" s="14" t="s">
        <v>22</v>
      </c>
      <c r="D51" s="6" t="s">
        <v>77</v>
      </c>
      <c r="E51" s="6" t="s">
        <v>154</v>
      </c>
      <c r="F51" s="6" t="s">
        <v>197</v>
      </c>
      <c r="G51" s="6" t="s">
        <v>263</v>
      </c>
      <c r="H51" s="6" t="s">
        <v>315</v>
      </c>
      <c r="I51" s="6"/>
      <c r="J51" s="6" t="s">
        <v>362</v>
      </c>
      <c r="K51" s="26" t="s">
        <v>426</v>
      </c>
      <c r="L51" s="6">
        <v>2</v>
      </c>
      <c r="M51" s="6">
        <f>L51*5</f>
        <v>10</v>
      </c>
      <c r="N51" s="6" t="s">
        <v>431</v>
      </c>
      <c r="O51" s="32" t="str">
        <f t="shared" si="3"/>
        <v>LCSC</v>
      </c>
      <c r="P51" s="7" t="s">
        <v>474</v>
      </c>
      <c r="Q51" s="7">
        <f>P51*N51</f>
        <v>0.82799999999999996</v>
      </c>
      <c r="R51" s="6"/>
      <c r="AB51" s="31" t="s">
        <v>539</v>
      </c>
    </row>
    <row r="52" spans="1:28">
      <c r="A52" s="1"/>
      <c r="B52" s="9">
        <f t="shared" si="0"/>
        <v>50</v>
      </c>
      <c r="C52" s="15" t="s">
        <v>22</v>
      </c>
      <c r="D52" s="12" t="s">
        <v>78</v>
      </c>
      <c r="E52" s="12" t="s">
        <v>155</v>
      </c>
      <c r="F52" s="12" t="s">
        <v>197</v>
      </c>
      <c r="G52" s="12" t="s">
        <v>264</v>
      </c>
      <c r="H52" s="12" t="s">
        <v>301</v>
      </c>
      <c r="I52" s="12"/>
      <c r="J52" s="12" t="s">
        <v>363</v>
      </c>
      <c r="K52" s="26" t="s">
        <v>426</v>
      </c>
      <c r="L52" s="12">
        <v>2</v>
      </c>
      <c r="M52" s="12">
        <f t="shared" ref="M52" si="48">L52*5</f>
        <v>10</v>
      </c>
      <c r="N52" s="12" t="s">
        <v>434</v>
      </c>
      <c r="O52" s="32" t="str">
        <f t="shared" si="3"/>
        <v>LCSC</v>
      </c>
      <c r="P52" s="13" t="s">
        <v>475</v>
      </c>
      <c r="Q52" s="13">
        <f t="shared" ref="Q52" si="49">P52*N52</f>
        <v>0.745</v>
      </c>
      <c r="R52" s="12"/>
      <c r="AB52" s="31" t="s">
        <v>540</v>
      </c>
    </row>
    <row r="53" spans="1:28">
      <c r="A53" s="1"/>
      <c r="B53" s="8">
        <f>ROW(B53) - ROW($B$2)</f>
        <v>51</v>
      </c>
      <c r="C53" s="14" t="s">
        <v>24</v>
      </c>
      <c r="D53" s="6" t="s">
        <v>79</v>
      </c>
      <c r="E53" s="6" t="s">
        <v>156</v>
      </c>
      <c r="F53" s="6" t="s">
        <v>197</v>
      </c>
      <c r="G53" s="6" t="s">
        <v>265</v>
      </c>
      <c r="H53" s="6" t="s">
        <v>316</v>
      </c>
      <c r="I53" s="6"/>
      <c r="J53" s="6" t="s">
        <v>364</v>
      </c>
      <c r="K53" s="26" t="s">
        <v>426</v>
      </c>
      <c r="L53" s="6">
        <v>2</v>
      </c>
      <c r="M53" s="6">
        <f>L53*5</f>
        <v>10</v>
      </c>
      <c r="N53" s="6" t="s">
        <v>434</v>
      </c>
      <c r="O53" s="32" t="str">
        <f t="shared" si="3"/>
        <v>LCSC</v>
      </c>
      <c r="P53" s="7" t="s">
        <v>448</v>
      </c>
      <c r="Q53" s="7">
        <f>P53*N53</f>
        <v>0.48</v>
      </c>
      <c r="R53" s="6"/>
      <c r="AB53" s="31" t="s">
        <v>541</v>
      </c>
    </row>
    <row r="54" spans="1:28" ht="36">
      <c r="A54" s="1"/>
      <c r="B54" s="9">
        <f t="shared" si="0"/>
        <v>52</v>
      </c>
      <c r="C54" s="15" t="s">
        <v>25</v>
      </c>
      <c r="D54" s="12" t="s">
        <v>80</v>
      </c>
      <c r="E54" s="12" t="s">
        <v>157</v>
      </c>
      <c r="F54" s="12" t="s">
        <v>212</v>
      </c>
      <c r="G54" s="12" t="s">
        <v>266</v>
      </c>
      <c r="H54" s="12" t="s">
        <v>290</v>
      </c>
      <c r="I54" s="12"/>
      <c r="J54" s="12" t="s">
        <v>365</v>
      </c>
      <c r="K54" s="27" t="s">
        <v>403</v>
      </c>
      <c r="L54" s="12">
        <v>21</v>
      </c>
      <c r="M54" s="12">
        <f t="shared" ref="M54" si="50">L54*5</f>
        <v>105</v>
      </c>
      <c r="N54" s="12" t="s">
        <v>437</v>
      </c>
      <c r="O54" s="32" t="str">
        <f t="shared" si="3"/>
        <v>LCSC</v>
      </c>
      <c r="P54" s="13" t="s">
        <v>452</v>
      </c>
      <c r="Q54" s="13">
        <f t="shared" ref="Q54" si="51">P54*N54</f>
        <v>0.22</v>
      </c>
      <c r="R54" s="12"/>
      <c r="AB54" s="31" t="s">
        <v>542</v>
      </c>
    </row>
    <row r="55" spans="1:28">
      <c r="A55" s="1"/>
      <c r="B55" s="8">
        <f>ROW(B55) - ROW($B$2)</f>
        <v>53</v>
      </c>
      <c r="C55" s="15" t="s">
        <v>25</v>
      </c>
      <c r="D55" s="6" t="s">
        <v>81</v>
      </c>
      <c r="E55" s="6" t="s">
        <v>158</v>
      </c>
      <c r="F55" s="6" t="s">
        <v>213</v>
      </c>
      <c r="G55" s="6" t="s">
        <v>267</v>
      </c>
      <c r="H55" s="6" t="s">
        <v>290</v>
      </c>
      <c r="I55" s="6"/>
      <c r="J55" s="6" t="s">
        <v>366</v>
      </c>
      <c r="K55" s="26" t="s">
        <v>404</v>
      </c>
      <c r="L55" s="6">
        <v>4</v>
      </c>
      <c r="M55" s="6">
        <f>L55*5</f>
        <v>20</v>
      </c>
      <c r="N55" s="6" t="s">
        <v>432</v>
      </c>
      <c r="O55" s="32" t="str">
        <f t="shared" si="3"/>
        <v>LCSC</v>
      </c>
      <c r="P55" s="7" t="s">
        <v>476</v>
      </c>
      <c r="Q55" s="7">
        <f>P55*N55</f>
        <v>0.06</v>
      </c>
      <c r="R55" s="6"/>
      <c r="AB55" s="31" t="s">
        <v>543</v>
      </c>
    </row>
    <row r="56" spans="1:28">
      <c r="A56" s="1"/>
      <c r="B56" s="9">
        <f t="shared" si="0"/>
        <v>54</v>
      </c>
      <c r="C56" s="15" t="s">
        <v>25</v>
      </c>
      <c r="D56" s="12" t="s">
        <v>82</v>
      </c>
      <c r="E56" s="12" t="s">
        <v>159</v>
      </c>
      <c r="F56" s="12" t="s">
        <v>214</v>
      </c>
      <c r="G56" s="12" t="s">
        <v>268</v>
      </c>
      <c r="H56" s="12" t="s">
        <v>290</v>
      </c>
      <c r="I56" s="12"/>
      <c r="J56" s="12" t="s">
        <v>367</v>
      </c>
      <c r="K56" s="27" t="s">
        <v>405</v>
      </c>
      <c r="L56" s="12">
        <v>2</v>
      </c>
      <c r="M56" s="12">
        <f t="shared" ref="M56" si="52">L56*5</f>
        <v>10</v>
      </c>
      <c r="N56" s="12" t="s">
        <v>431</v>
      </c>
      <c r="O56" s="32" t="str">
        <f t="shared" si="3"/>
        <v>LCSC</v>
      </c>
      <c r="P56" s="13" t="s">
        <v>477</v>
      </c>
      <c r="Q56" s="13">
        <f t="shared" ref="Q56" si="53">P56*N56</f>
        <v>8.2000000000000003E-2</v>
      </c>
      <c r="R56" s="12"/>
      <c r="AB56" s="31" t="s">
        <v>544</v>
      </c>
    </row>
    <row r="57" spans="1:28">
      <c r="A57" s="1"/>
      <c r="B57" s="8">
        <f>ROW(B57) - ROW($B$2)</f>
        <v>55</v>
      </c>
      <c r="C57" s="15" t="s">
        <v>25</v>
      </c>
      <c r="D57" s="6" t="s">
        <v>83</v>
      </c>
      <c r="E57" s="6" t="s">
        <v>160</v>
      </c>
      <c r="F57" s="6" t="s">
        <v>213</v>
      </c>
      <c r="G57" s="6" t="s">
        <v>269</v>
      </c>
      <c r="H57" s="6" t="s">
        <v>317</v>
      </c>
      <c r="I57" s="6"/>
      <c r="J57" s="6" t="s">
        <v>368</v>
      </c>
      <c r="K57" s="26" t="s">
        <v>406</v>
      </c>
      <c r="L57" s="6">
        <v>1</v>
      </c>
      <c r="M57" s="6">
        <f>L57*5</f>
        <v>5</v>
      </c>
      <c r="N57" s="6" t="s">
        <v>435</v>
      </c>
      <c r="O57" s="32" t="str">
        <f t="shared" si="3"/>
        <v>LCSC</v>
      </c>
      <c r="P57" s="7" t="s">
        <v>478</v>
      </c>
      <c r="Q57" s="7">
        <f>P57*N57</f>
        <v>0.37</v>
      </c>
      <c r="R57" s="6"/>
      <c r="AB57" s="31" t="s">
        <v>545</v>
      </c>
    </row>
    <row r="58" spans="1:28">
      <c r="A58" s="1"/>
      <c r="B58" s="9">
        <f t="shared" si="0"/>
        <v>56</v>
      </c>
      <c r="C58" s="15" t="s">
        <v>25</v>
      </c>
      <c r="D58" s="12" t="s">
        <v>84</v>
      </c>
      <c r="E58" s="12" t="s">
        <v>161</v>
      </c>
      <c r="F58" s="12" t="s">
        <v>212</v>
      </c>
      <c r="G58" s="27" t="s">
        <v>429</v>
      </c>
      <c r="H58" s="6" t="s">
        <v>317</v>
      </c>
      <c r="I58" s="12"/>
      <c r="J58" s="12" t="s">
        <v>369</v>
      </c>
      <c r="K58" s="27" t="s">
        <v>407</v>
      </c>
      <c r="L58" s="12">
        <v>2</v>
      </c>
      <c r="M58" s="12">
        <f t="shared" ref="M58" si="54">L58*5</f>
        <v>10</v>
      </c>
      <c r="N58" s="12" t="s">
        <v>432</v>
      </c>
      <c r="O58" s="32" t="str">
        <f t="shared" si="3"/>
        <v>LCSC</v>
      </c>
      <c r="P58" s="13" t="s">
        <v>479</v>
      </c>
      <c r="Q58" s="13">
        <f t="shared" ref="Q58" si="55">P58*N58</f>
        <v>0.49</v>
      </c>
      <c r="R58" s="12"/>
      <c r="AB58" s="31" t="s">
        <v>546</v>
      </c>
    </row>
    <row r="59" spans="1:28" ht="24">
      <c r="A59" s="1"/>
      <c r="B59" s="8">
        <f>ROW(B59) - ROW($B$2)</f>
        <v>57</v>
      </c>
      <c r="C59" s="15" t="s">
        <v>25</v>
      </c>
      <c r="D59" s="6" t="s">
        <v>85</v>
      </c>
      <c r="E59" s="6" t="s">
        <v>162</v>
      </c>
      <c r="F59" s="6" t="s">
        <v>213</v>
      </c>
      <c r="G59" s="6" t="s">
        <v>270</v>
      </c>
      <c r="H59" s="6" t="s">
        <v>290</v>
      </c>
      <c r="I59" s="6"/>
      <c r="J59" s="6" t="s">
        <v>370</v>
      </c>
      <c r="K59" s="26" t="s">
        <v>408</v>
      </c>
      <c r="L59" s="6">
        <v>8</v>
      </c>
      <c r="M59" s="6">
        <f>L59*5</f>
        <v>40</v>
      </c>
      <c r="N59" s="6" t="s">
        <v>432</v>
      </c>
      <c r="O59" s="32" t="str">
        <f t="shared" si="3"/>
        <v>LCSC</v>
      </c>
      <c r="P59" s="7" t="s">
        <v>480</v>
      </c>
      <c r="Q59" s="7">
        <f>P59*N59</f>
        <v>6.9999999999999993E-2</v>
      </c>
      <c r="R59" s="6"/>
      <c r="AB59" s="31" t="s">
        <v>547</v>
      </c>
    </row>
    <row r="60" spans="1:28">
      <c r="A60" s="1"/>
      <c r="B60" s="9">
        <f t="shared" si="0"/>
        <v>58</v>
      </c>
      <c r="C60" s="15" t="s">
        <v>25</v>
      </c>
      <c r="D60" s="12" t="s">
        <v>86</v>
      </c>
      <c r="E60" s="12" t="s">
        <v>163</v>
      </c>
      <c r="F60" s="12" t="s">
        <v>213</v>
      </c>
      <c r="G60" s="12" t="s">
        <v>271</v>
      </c>
      <c r="H60" s="12" t="s">
        <v>290</v>
      </c>
      <c r="I60" s="12"/>
      <c r="J60" s="12" t="s">
        <v>371</v>
      </c>
      <c r="K60" s="27" t="s">
        <v>409</v>
      </c>
      <c r="L60" s="12">
        <v>6</v>
      </c>
      <c r="M60" s="12">
        <f t="shared" ref="M60" si="56">L60*5</f>
        <v>30</v>
      </c>
      <c r="N60" s="12" t="s">
        <v>432</v>
      </c>
      <c r="O60" s="32" t="str">
        <f t="shared" si="3"/>
        <v>LCSC</v>
      </c>
      <c r="P60" s="13" t="s">
        <v>480</v>
      </c>
      <c r="Q60" s="13">
        <f t="shared" ref="Q60" si="57">P60*N60</f>
        <v>6.9999999999999993E-2</v>
      </c>
      <c r="R60" s="12"/>
      <c r="AB60" s="31" t="s">
        <v>548</v>
      </c>
    </row>
    <row r="61" spans="1:28">
      <c r="A61" s="1"/>
      <c r="B61" s="8">
        <f>ROW(B61) - ROW($B$2)</f>
        <v>59</v>
      </c>
      <c r="C61" s="15" t="s">
        <v>25</v>
      </c>
      <c r="D61" s="6" t="s">
        <v>87</v>
      </c>
      <c r="E61" s="6" t="s">
        <v>164</v>
      </c>
      <c r="F61" s="6" t="s">
        <v>214</v>
      </c>
      <c r="G61" s="6" t="s">
        <v>272</v>
      </c>
      <c r="H61" s="6" t="s">
        <v>290</v>
      </c>
      <c r="I61" s="6"/>
      <c r="J61" s="6" t="s">
        <v>372</v>
      </c>
      <c r="K61" s="26" t="s">
        <v>410</v>
      </c>
      <c r="L61" s="6">
        <v>4</v>
      </c>
      <c r="M61" s="6">
        <f>L61*5</f>
        <v>20</v>
      </c>
      <c r="N61" s="6" t="s">
        <v>432</v>
      </c>
      <c r="O61" s="32" t="str">
        <f t="shared" si="3"/>
        <v>LCSC</v>
      </c>
      <c r="P61" s="7" t="s">
        <v>481</v>
      </c>
      <c r="Q61" s="7">
        <f>P61*N61</f>
        <v>0.09</v>
      </c>
      <c r="R61" s="6"/>
      <c r="AB61" s="31" t="s">
        <v>549</v>
      </c>
    </row>
    <row r="62" spans="1:28">
      <c r="A62" s="1"/>
      <c r="B62" s="9">
        <f t="shared" si="0"/>
        <v>60</v>
      </c>
      <c r="C62" s="15" t="s">
        <v>25</v>
      </c>
      <c r="D62" s="12" t="s">
        <v>88</v>
      </c>
      <c r="E62" s="12" t="s">
        <v>165</v>
      </c>
      <c r="F62" s="12" t="s">
        <v>213</v>
      </c>
      <c r="G62" s="12" t="s">
        <v>273</v>
      </c>
      <c r="H62" s="12" t="s">
        <v>290</v>
      </c>
      <c r="I62" s="12"/>
      <c r="J62" s="12" t="s">
        <v>373</v>
      </c>
      <c r="K62" s="27" t="s">
        <v>403</v>
      </c>
      <c r="L62" s="12">
        <v>4</v>
      </c>
      <c r="M62" s="12">
        <f t="shared" ref="M62" si="58">L62*5</f>
        <v>20</v>
      </c>
      <c r="N62" s="12" t="s">
        <v>432</v>
      </c>
      <c r="O62" s="32" t="str">
        <f t="shared" si="3"/>
        <v>LCSC</v>
      </c>
      <c r="P62" s="13" t="s">
        <v>476</v>
      </c>
      <c r="Q62" s="13">
        <f t="shared" ref="Q62" si="59">P62*N62</f>
        <v>0.06</v>
      </c>
      <c r="R62" s="12"/>
      <c r="AB62" s="31" t="s">
        <v>550</v>
      </c>
    </row>
    <row r="63" spans="1:28">
      <c r="A63" s="1"/>
      <c r="B63" s="8">
        <f>ROW(B63) - ROW($B$2)</f>
        <v>61</v>
      </c>
      <c r="C63" s="15" t="s">
        <v>25</v>
      </c>
      <c r="D63" s="6" t="s">
        <v>89</v>
      </c>
      <c r="E63" s="6" t="s">
        <v>166</v>
      </c>
      <c r="F63" s="6" t="s">
        <v>212</v>
      </c>
      <c r="G63" s="6" t="s">
        <v>274</v>
      </c>
      <c r="H63" s="6" t="s">
        <v>290</v>
      </c>
      <c r="I63" s="6"/>
      <c r="J63" s="6" t="s">
        <v>374</v>
      </c>
      <c r="K63" s="26" t="s">
        <v>411</v>
      </c>
      <c r="L63" s="6">
        <v>1</v>
      </c>
      <c r="M63" s="6">
        <f>L63*5</f>
        <v>5</v>
      </c>
      <c r="N63" s="6" t="s">
        <v>432</v>
      </c>
      <c r="O63" s="32" t="str">
        <f t="shared" si="3"/>
        <v>LCSC</v>
      </c>
      <c r="P63" s="7" t="s">
        <v>482</v>
      </c>
      <c r="Q63" s="7">
        <f>P63*N63</f>
        <v>0.12</v>
      </c>
      <c r="R63" s="6"/>
      <c r="AB63" s="31" t="s">
        <v>551</v>
      </c>
    </row>
    <row r="64" spans="1:28" ht="24">
      <c r="A64" s="1"/>
      <c r="B64" s="9">
        <f t="shared" si="0"/>
        <v>62</v>
      </c>
      <c r="C64" s="15" t="s">
        <v>25</v>
      </c>
      <c r="D64" s="12" t="s">
        <v>90</v>
      </c>
      <c r="E64" s="12" t="s">
        <v>167</v>
      </c>
      <c r="F64" s="12" t="s">
        <v>212</v>
      </c>
      <c r="G64" s="12" t="s">
        <v>275</v>
      </c>
      <c r="H64" s="12" t="s">
        <v>290</v>
      </c>
      <c r="I64" s="12"/>
      <c r="J64" s="12" t="s">
        <v>375</v>
      </c>
      <c r="K64" s="27" t="s">
        <v>405</v>
      </c>
      <c r="L64" s="12">
        <v>10</v>
      </c>
      <c r="M64" s="12">
        <f t="shared" ref="M64" si="60">L64*5</f>
        <v>50</v>
      </c>
      <c r="N64" s="12" t="s">
        <v>432</v>
      </c>
      <c r="O64" s="32" t="str">
        <f t="shared" si="3"/>
        <v>LCSC</v>
      </c>
      <c r="P64" s="13" t="s">
        <v>452</v>
      </c>
      <c r="Q64" s="13">
        <f t="shared" ref="Q64" si="61">P64*N64</f>
        <v>0.11</v>
      </c>
      <c r="R64" s="12"/>
      <c r="AB64" s="31" t="s">
        <v>552</v>
      </c>
    </row>
    <row r="65" spans="1:28" ht="24">
      <c r="A65" s="1"/>
      <c r="B65" s="8">
        <f>ROW(B65) - ROW($B$2)</f>
        <v>63</v>
      </c>
      <c r="C65" s="14" t="s">
        <v>25</v>
      </c>
      <c r="D65" s="6" t="s">
        <v>91</v>
      </c>
      <c r="E65" s="6" t="s">
        <v>168</v>
      </c>
      <c r="F65" s="6" t="s">
        <v>212</v>
      </c>
      <c r="G65" s="6" t="s">
        <v>276</v>
      </c>
      <c r="H65" s="6" t="s">
        <v>290</v>
      </c>
      <c r="I65" s="6"/>
      <c r="J65" s="6" t="s">
        <v>376</v>
      </c>
      <c r="K65" s="26" t="s">
        <v>408</v>
      </c>
      <c r="L65" s="6">
        <v>12</v>
      </c>
      <c r="M65" s="6">
        <f>L65*5</f>
        <v>60</v>
      </c>
      <c r="N65" s="6" t="s">
        <v>432</v>
      </c>
      <c r="O65" s="32" t="str">
        <f t="shared" si="3"/>
        <v>LCSC</v>
      </c>
      <c r="P65" s="7" t="s">
        <v>452</v>
      </c>
      <c r="Q65" s="7">
        <f>P65*N65</f>
        <v>0.11</v>
      </c>
      <c r="R65" s="6"/>
      <c r="AB65" s="31" t="s">
        <v>553</v>
      </c>
    </row>
    <row r="66" spans="1:28">
      <c r="A66" s="1"/>
      <c r="B66" s="9">
        <f t="shared" si="0"/>
        <v>64</v>
      </c>
      <c r="C66" s="15" t="s">
        <v>25</v>
      </c>
      <c r="D66" s="12" t="s">
        <v>92</v>
      </c>
      <c r="E66" s="12" t="s">
        <v>169</v>
      </c>
      <c r="F66" s="12" t="s">
        <v>212</v>
      </c>
      <c r="G66" s="12" t="s">
        <v>277</v>
      </c>
      <c r="H66" s="12" t="s">
        <v>290</v>
      </c>
      <c r="I66" s="12"/>
      <c r="J66" s="12" t="s">
        <v>377</v>
      </c>
      <c r="K66" s="27" t="s">
        <v>412</v>
      </c>
      <c r="L66" s="12">
        <v>2</v>
      </c>
      <c r="M66" s="12">
        <f t="shared" ref="M66" si="62">L66*5</f>
        <v>10</v>
      </c>
      <c r="N66" s="12" t="s">
        <v>432</v>
      </c>
      <c r="O66" s="32" t="str">
        <f t="shared" si="3"/>
        <v>LCSC</v>
      </c>
      <c r="P66" s="13" t="s">
        <v>452</v>
      </c>
      <c r="Q66" s="13">
        <f t="shared" ref="Q66" si="63">P66*N66</f>
        <v>0.11</v>
      </c>
      <c r="R66" s="12"/>
      <c r="AB66" s="31" t="s">
        <v>554</v>
      </c>
    </row>
    <row r="67" spans="1:28">
      <c r="A67" s="1"/>
      <c r="B67" s="8">
        <f>ROW(B67) - ROW($B$2)</f>
        <v>65</v>
      </c>
      <c r="C67" s="15" t="s">
        <v>25</v>
      </c>
      <c r="D67" s="6" t="s">
        <v>93</v>
      </c>
      <c r="E67" s="6" t="s">
        <v>170</v>
      </c>
      <c r="F67" s="6" t="s">
        <v>212</v>
      </c>
      <c r="G67" s="6" t="s">
        <v>278</v>
      </c>
      <c r="H67" s="6" t="s">
        <v>290</v>
      </c>
      <c r="I67" s="6"/>
      <c r="J67" s="6" t="s">
        <v>378</v>
      </c>
      <c r="K67" s="26" t="s">
        <v>413</v>
      </c>
      <c r="L67" s="6">
        <v>4</v>
      </c>
      <c r="M67" s="6">
        <f>L67*5</f>
        <v>20</v>
      </c>
      <c r="N67" s="6" t="s">
        <v>432</v>
      </c>
      <c r="O67" s="32" t="str">
        <f t="shared" si="3"/>
        <v>LCSC</v>
      </c>
      <c r="P67" s="7" t="s">
        <v>483</v>
      </c>
      <c r="Q67" s="7">
        <f>P67*N67</f>
        <v>0.1</v>
      </c>
      <c r="R67" s="6"/>
      <c r="AB67" s="31" t="s">
        <v>555</v>
      </c>
    </row>
    <row r="68" spans="1:28">
      <c r="A68" s="1"/>
      <c r="B68" s="9">
        <f t="shared" si="0"/>
        <v>66</v>
      </c>
      <c r="C68" s="15" t="s">
        <v>25</v>
      </c>
      <c r="D68" s="12" t="s">
        <v>94</v>
      </c>
      <c r="E68" s="12" t="s">
        <v>171</v>
      </c>
      <c r="F68" s="12" t="s">
        <v>212</v>
      </c>
      <c r="G68" s="12" t="s">
        <v>279</v>
      </c>
      <c r="H68" s="12" t="s">
        <v>290</v>
      </c>
      <c r="I68" s="12"/>
      <c r="J68" s="12" t="s">
        <v>379</v>
      </c>
      <c r="K68" s="27" t="s">
        <v>404</v>
      </c>
      <c r="L68" s="12">
        <v>4</v>
      </c>
      <c r="M68" s="12">
        <f t="shared" ref="M68" si="64">L68*5</f>
        <v>20</v>
      </c>
      <c r="N68" s="12" t="s">
        <v>432</v>
      </c>
      <c r="O68" s="32" t="str">
        <f t="shared" si="3"/>
        <v>LCSC</v>
      </c>
      <c r="P68" s="13" t="s">
        <v>452</v>
      </c>
      <c r="Q68" s="13">
        <f t="shared" ref="Q68" si="65">P68*N68</f>
        <v>0.11</v>
      </c>
      <c r="R68" s="12"/>
      <c r="AB68" s="31" t="s">
        <v>556</v>
      </c>
    </row>
    <row r="69" spans="1:28">
      <c r="A69" s="1"/>
      <c r="B69" s="8">
        <f>ROW(B69) - ROW($B$2)</f>
        <v>67</v>
      </c>
      <c r="C69" s="15" t="s">
        <v>25</v>
      </c>
      <c r="D69" s="6" t="s">
        <v>95</v>
      </c>
      <c r="E69" s="6" t="s">
        <v>172</v>
      </c>
      <c r="F69" s="6" t="s">
        <v>215</v>
      </c>
      <c r="G69" s="6" t="s">
        <v>280</v>
      </c>
      <c r="H69" s="6" t="s">
        <v>318</v>
      </c>
      <c r="I69" s="6"/>
      <c r="J69" s="6" t="s">
        <v>380</v>
      </c>
      <c r="K69" s="26" t="s">
        <v>409</v>
      </c>
      <c r="L69" s="6">
        <v>2</v>
      </c>
      <c r="M69" s="6">
        <f>L69*5</f>
        <v>10</v>
      </c>
      <c r="N69" s="6" t="s">
        <v>431</v>
      </c>
      <c r="O69" s="32" t="str">
        <f t="shared" ref="O69:O80" si="66">HYPERLINK(AB69, "LCSC")</f>
        <v>LCSC</v>
      </c>
      <c r="P69" s="7" t="s">
        <v>484</v>
      </c>
      <c r="Q69" s="7">
        <f>P69*N69</f>
        <v>0.27</v>
      </c>
      <c r="R69" s="6"/>
      <c r="AB69" s="31" t="s">
        <v>557</v>
      </c>
    </row>
    <row r="70" spans="1:28">
      <c r="A70" s="1"/>
      <c r="B70" s="9">
        <f t="shared" si="0"/>
        <v>68</v>
      </c>
      <c r="C70" s="15" t="s">
        <v>25</v>
      </c>
      <c r="D70" s="12" t="s">
        <v>96</v>
      </c>
      <c r="E70" s="12" t="s">
        <v>173</v>
      </c>
      <c r="F70" s="12" t="s">
        <v>212</v>
      </c>
      <c r="G70" s="12" t="s">
        <v>281</v>
      </c>
      <c r="H70" s="12" t="s">
        <v>318</v>
      </c>
      <c r="I70" s="12"/>
      <c r="J70" s="12" t="s">
        <v>575</v>
      </c>
      <c r="K70" s="27" t="s">
        <v>414</v>
      </c>
      <c r="L70" s="12">
        <v>2</v>
      </c>
      <c r="M70" s="12">
        <f t="shared" ref="M70" si="67">L70*5</f>
        <v>10</v>
      </c>
      <c r="N70" s="12" t="s">
        <v>432</v>
      </c>
      <c r="O70" s="32" t="str">
        <f t="shared" si="66"/>
        <v>LCSC</v>
      </c>
      <c r="P70" s="13" t="s">
        <v>485</v>
      </c>
      <c r="Q70" s="13">
        <f t="shared" ref="Q70" si="68">P70*N70</f>
        <v>0.44</v>
      </c>
      <c r="R70" s="12"/>
      <c r="AB70" s="31" t="s">
        <v>558</v>
      </c>
    </row>
    <row r="71" spans="1:28">
      <c r="A71" s="1"/>
      <c r="B71" s="8">
        <f>ROW(B71) - ROW($B$2)</f>
        <v>69</v>
      </c>
      <c r="C71" s="14" t="s">
        <v>25</v>
      </c>
      <c r="D71" s="19" t="s">
        <v>97</v>
      </c>
      <c r="E71" s="19" t="s">
        <v>174</v>
      </c>
      <c r="F71" s="29" t="s">
        <v>212</v>
      </c>
      <c r="G71" s="19" t="s">
        <v>282</v>
      </c>
      <c r="H71" s="19" t="s">
        <v>290</v>
      </c>
      <c r="I71" s="6"/>
      <c r="J71" s="19" t="s">
        <v>381</v>
      </c>
      <c r="K71" s="28" t="s">
        <v>398</v>
      </c>
      <c r="L71" s="19">
        <v>2</v>
      </c>
      <c r="M71" s="19">
        <f>L71*5</f>
        <v>10</v>
      </c>
      <c r="N71" s="21" t="s">
        <v>432</v>
      </c>
      <c r="O71" s="32" t="str">
        <f t="shared" si="66"/>
        <v>LCSC</v>
      </c>
      <c r="P71" s="24" t="s">
        <v>426</v>
      </c>
      <c r="Q71" s="24" t="s">
        <v>426</v>
      </c>
      <c r="R71" s="25" t="s">
        <v>427</v>
      </c>
      <c r="AB71" s="31" t="s">
        <v>559</v>
      </c>
    </row>
    <row r="72" spans="1:28">
      <c r="A72" s="1"/>
      <c r="B72" s="9">
        <f t="shared" si="0"/>
        <v>70</v>
      </c>
      <c r="C72" s="15" t="s">
        <v>25</v>
      </c>
      <c r="D72" s="19" t="s">
        <v>98</v>
      </c>
      <c r="E72" s="19" t="s">
        <v>157</v>
      </c>
      <c r="F72" s="19" t="s">
        <v>212</v>
      </c>
      <c r="G72" s="19" t="s">
        <v>266</v>
      </c>
      <c r="H72" s="19" t="s">
        <v>290</v>
      </c>
      <c r="I72" s="6"/>
      <c r="J72" s="19" t="s">
        <v>365</v>
      </c>
      <c r="K72" s="20" t="s">
        <v>398</v>
      </c>
      <c r="L72" s="19">
        <v>2</v>
      </c>
      <c r="M72" s="19">
        <f t="shared" ref="M72" si="69">L72*5</f>
        <v>10</v>
      </c>
      <c r="N72" s="21" t="s">
        <v>432</v>
      </c>
      <c r="O72" s="32" t="str">
        <f t="shared" si="66"/>
        <v>LCSC</v>
      </c>
      <c r="P72" s="24" t="s">
        <v>426</v>
      </c>
      <c r="Q72" s="24" t="s">
        <v>426</v>
      </c>
      <c r="R72" s="25" t="s">
        <v>427</v>
      </c>
      <c r="AB72" s="31" t="s">
        <v>542</v>
      </c>
    </row>
    <row r="73" spans="1:28">
      <c r="A73" s="1"/>
      <c r="B73" s="8">
        <f>ROW(B73) - ROW($B$2)</f>
        <v>71</v>
      </c>
      <c r="C73" s="14" t="s">
        <v>25</v>
      </c>
      <c r="D73" s="6" t="s">
        <v>99</v>
      </c>
      <c r="E73" s="6" t="s">
        <v>175</v>
      </c>
      <c r="F73" s="6" t="s">
        <v>216</v>
      </c>
      <c r="G73" s="6" t="s">
        <v>283</v>
      </c>
      <c r="H73" s="6" t="s">
        <v>290</v>
      </c>
      <c r="I73" s="6"/>
      <c r="J73" s="6" t="s">
        <v>382</v>
      </c>
      <c r="K73" s="26" t="s">
        <v>415</v>
      </c>
      <c r="L73" s="6">
        <v>1</v>
      </c>
      <c r="M73" s="6">
        <f>L73*5</f>
        <v>5</v>
      </c>
      <c r="N73" s="6" t="s">
        <v>432</v>
      </c>
      <c r="O73" s="32" t="str">
        <f t="shared" si="66"/>
        <v>LCSC</v>
      </c>
      <c r="P73" s="7" t="s">
        <v>486</v>
      </c>
      <c r="Q73" s="7">
        <f>P73*N73</f>
        <v>0.37</v>
      </c>
      <c r="R73" s="6"/>
      <c r="AB73" s="31" t="s">
        <v>560</v>
      </c>
    </row>
    <row r="74" spans="1:28">
      <c r="A74" s="1"/>
      <c r="B74" s="9">
        <f t="shared" si="0"/>
        <v>72</v>
      </c>
      <c r="C74" s="15" t="s">
        <v>25</v>
      </c>
      <c r="D74" s="12" t="s">
        <v>100</v>
      </c>
      <c r="E74" s="12" t="s">
        <v>176</v>
      </c>
      <c r="F74" s="12" t="s">
        <v>213</v>
      </c>
      <c r="G74" s="12" t="s">
        <v>284</v>
      </c>
      <c r="H74" s="12" t="s">
        <v>290</v>
      </c>
      <c r="I74" s="12"/>
      <c r="J74" s="12" t="s">
        <v>383</v>
      </c>
      <c r="K74" s="27" t="s">
        <v>416</v>
      </c>
      <c r="L74" s="12">
        <v>1</v>
      </c>
      <c r="M74" s="12">
        <f t="shared" ref="M74" si="70">L74*5</f>
        <v>5</v>
      </c>
      <c r="N74" s="12" t="s">
        <v>432</v>
      </c>
      <c r="O74" s="32" t="str">
        <f t="shared" si="66"/>
        <v>LCSC</v>
      </c>
      <c r="P74" s="13" t="s">
        <v>480</v>
      </c>
      <c r="Q74" s="13">
        <f t="shared" ref="Q74" si="71">P74*N74</f>
        <v>6.9999999999999993E-2</v>
      </c>
      <c r="R74" s="12"/>
      <c r="AB74" s="31" t="s">
        <v>561</v>
      </c>
    </row>
    <row r="75" spans="1:28">
      <c r="A75" s="1"/>
      <c r="B75" s="8">
        <f>ROW(B75) - ROW($B$2)</f>
        <v>73</v>
      </c>
      <c r="C75" s="14" t="s">
        <v>26</v>
      </c>
      <c r="D75" s="6" t="s">
        <v>101</v>
      </c>
      <c r="E75" s="6" t="s">
        <v>177</v>
      </c>
      <c r="F75" s="6" t="s">
        <v>217</v>
      </c>
      <c r="G75" s="6" t="s">
        <v>285</v>
      </c>
      <c r="H75" s="6" t="s">
        <v>314</v>
      </c>
      <c r="I75" s="6"/>
      <c r="J75" s="6" t="s">
        <v>384</v>
      </c>
      <c r="K75" s="26" t="s">
        <v>426</v>
      </c>
      <c r="L75" s="6">
        <v>1</v>
      </c>
      <c r="M75" s="6">
        <f>L75*5</f>
        <v>5</v>
      </c>
      <c r="N75" s="6" t="s">
        <v>430</v>
      </c>
      <c r="O75" s="32" t="str">
        <f t="shared" si="66"/>
        <v>LCSC</v>
      </c>
      <c r="P75" s="7" t="s">
        <v>487</v>
      </c>
      <c r="Q75" s="7">
        <f>P75*N75</f>
        <v>2.3445</v>
      </c>
      <c r="R75" s="6"/>
      <c r="AB75" s="31" t="s">
        <v>562</v>
      </c>
    </row>
    <row r="76" spans="1:28">
      <c r="A76" s="1"/>
      <c r="B76" s="9">
        <f t="shared" si="0"/>
        <v>74</v>
      </c>
      <c r="C76" s="15" t="s">
        <v>26</v>
      </c>
      <c r="D76" s="12" t="s">
        <v>102</v>
      </c>
      <c r="E76" s="12" t="s">
        <v>178</v>
      </c>
      <c r="F76" s="12" t="s">
        <v>218</v>
      </c>
      <c r="G76" s="12" t="s">
        <v>286</v>
      </c>
      <c r="H76" s="12" t="s">
        <v>319</v>
      </c>
      <c r="I76" s="12"/>
      <c r="J76" s="12" t="s">
        <v>385</v>
      </c>
      <c r="K76" s="26" t="s">
        <v>426</v>
      </c>
      <c r="L76" s="12">
        <v>1</v>
      </c>
      <c r="M76" s="12">
        <f t="shared" ref="M76" si="72">L76*5</f>
        <v>5</v>
      </c>
      <c r="N76" s="12" t="s">
        <v>430</v>
      </c>
      <c r="O76" s="32" t="str">
        <f t="shared" si="66"/>
        <v>LCSC</v>
      </c>
      <c r="P76" s="13" t="s">
        <v>488</v>
      </c>
      <c r="Q76" s="13">
        <f t="shared" ref="Q76" si="73">P76*N76</f>
        <v>3.5854999999999997</v>
      </c>
      <c r="R76" s="12"/>
      <c r="AB76" s="31" t="s">
        <v>563</v>
      </c>
    </row>
    <row r="77" spans="1:28" ht="24">
      <c r="A77" s="1"/>
      <c r="B77" s="8">
        <f>ROW(B77) - ROW($B$2)</f>
        <v>75</v>
      </c>
      <c r="C77" s="14" t="s">
        <v>27</v>
      </c>
      <c r="D77" s="6" t="s">
        <v>103</v>
      </c>
      <c r="E77" s="6" t="s">
        <v>179</v>
      </c>
      <c r="F77" s="6" t="s">
        <v>428</v>
      </c>
      <c r="G77" s="6" t="s">
        <v>219</v>
      </c>
      <c r="H77" s="6" t="s">
        <v>320</v>
      </c>
      <c r="I77" s="6"/>
      <c r="J77" s="6" t="s">
        <v>576</v>
      </c>
      <c r="K77" s="26" t="s">
        <v>426</v>
      </c>
      <c r="L77" s="6">
        <v>1</v>
      </c>
      <c r="M77" s="6">
        <f>L77*5</f>
        <v>5</v>
      </c>
      <c r="N77" s="6" t="s">
        <v>430</v>
      </c>
      <c r="O77" s="32" t="str">
        <f t="shared" si="66"/>
        <v>LCSC</v>
      </c>
      <c r="P77" s="7" t="s">
        <v>489</v>
      </c>
      <c r="Q77" s="7">
        <f>P77*N77</f>
        <v>141.0925</v>
      </c>
      <c r="R77" s="6"/>
      <c r="AB77" s="31" t="s">
        <v>564</v>
      </c>
    </row>
    <row r="78" spans="1:28">
      <c r="A78" s="1"/>
      <c r="B78" s="9">
        <f t="shared" si="0"/>
        <v>76</v>
      </c>
      <c r="C78" s="15" t="s">
        <v>26</v>
      </c>
      <c r="D78" s="12" t="s">
        <v>104</v>
      </c>
      <c r="E78" s="12" t="s">
        <v>180</v>
      </c>
      <c r="F78" s="6" t="s">
        <v>428</v>
      </c>
      <c r="G78" s="12" t="s">
        <v>220</v>
      </c>
      <c r="H78" s="12" t="s">
        <v>321</v>
      </c>
      <c r="I78" s="12"/>
      <c r="J78" s="12" t="s">
        <v>577</v>
      </c>
      <c r="K78" s="26" t="s">
        <v>426</v>
      </c>
      <c r="L78" s="12">
        <v>2</v>
      </c>
      <c r="M78" s="12">
        <f t="shared" ref="M78" si="74">L78*5</f>
        <v>10</v>
      </c>
      <c r="N78" s="12" t="s">
        <v>431</v>
      </c>
      <c r="O78" s="32" t="str">
        <f t="shared" si="66"/>
        <v>LCSC</v>
      </c>
      <c r="P78" s="13" t="s">
        <v>490</v>
      </c>
      <c r="Q78" s="13">
        <f t="shared" ref="Q78" si="75">P78*N78</f>
        <v>3.0170000000000003</v>
      </c>
      <c r="R78" s="12"/>
      <c r="AB78" s="31" t="s">
        <v>565</v>
      </c>
    </row>
    <row r="79" spans="1:28" ht="24">
      <c r="A79" s="1"/>
      <c r="B79" s="8">
        <f>ROW(B79) - ROW($B$2)</f>
        <v>77</v>
      </c>
      <c r="C79" s="14" t="s">
        <v>7</v>
      </c>
      <c r="D79" s="6" t="s">
        <v>105</v>
      </c>
      <c r="E79" s="6" t="s">
        <v>181</v>
      </c>
      <c r="F79" s="6" t="s">
        <v>221</v>
      </c>
      <c r="G79" s="6" t="s">
        <v>287</v>
      </c>
      <c r="H79" s="6" t="s">
        <v>322</v>
      </c>
      <c r="I79" s="6"/>
      <c r="J79" s="6" t="s">
        <v>386</v>
      </c>
      <c r="K79" s="26" t="s">
        <v>426</v>
      </c>
      <c r="L79" s="6">
        <v>1</v>
      </c>
      <c r="M79" s="6">
        <f>L79*5</f>
        <v>5</v>
      </c>
      <c r="N79" s="6" t="s">
        <v>430</v>
      </c>
      <c r="O79" s="32" t="str">
        <f t="shared" si="66"/>
        <v>LCSC</v>
      </c>
      <c r="P79" s="7" t="s">
        <v>491</v>
      </c>
      <c r="Q79" s="7">
        <f>P79*N79</f>
        <v>0.13400000000000001</v>
      </c>
      <c r="R79" s="6"/>
      <c r="AB79" s="31" t="s">
        <v>566</v>
      </c>
    </row>
    <row r="80" spans="1:28" ht="15.75" thickBot="1">
      <c r="A80" s="1"/>
      <c r="B80" s="9">
        <f t="shared" si="0"/>
        <v>78</v>
      </c>
      <c r="C80" s="15" t="s">
        <v>26</v>
      </c>
      <c r="D80" s="12" t="s">
        <v>106</v>
      </c>
      <c r="E80" s="12" t="s">
        <v>182</v>
      </c>
      <c r="F80" s="12" t="s">
        <v>222</v>
      </c>
      <c r="G80" s="12" t="s">
        <v>288</v>
      </c>
      <c r="H80" s="12" t="s">
        <v>323</v>
      </c>
      <c r="I80" s="12"/>
      <c r="J80" s="12" t="s">
        <v>387</v>
      </c>
      <c r="K80" s="26" t="s">
        <v>426</v>
      </c>
      <c r="L80" s="12">
        <v>1</v>
      </c>
      <c r="M80" s="12">
        <f t="shared" ref="M80" si="76">L80*5</f>
        <v>5</v>
      </c>
      <c r="N80" s="12" t="s">
        <v>430</v>
      </c>
      <c r="O80" s="32" t="str">
        <f t="shared" si="66"/>
        <v>LCSC</v>
      </c>
      <c r="P80" s="13" t="s">
        <v>492</v>
      </c>
      <c r="Q80" s="13">
        <f t="shared" ref="Q80" si="77">P80*N80</f>
        <v>1.2110000000000001</v>
      </c>
      <c r="R80" s="12"/>
      <c r="AB80" s="31" t="s">
        <v>567</v>
      </c>
    </row>
    <row r="81" spans="1:18" ht="19.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7" t="s">
        <v>1</v>
      </c>
      <c r="O81" s="38"/>
      <c r="P81" s="38"/>
      <c r="Q81" s="10">
        <f>SUM(Q3:Q80)</f>
        <v>220.53749999999999</v>
      </c>
      <c r="R81" s="1"/>
    </row>
    <row r="82" spans="1:18" ht="19.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7" t="s">
        <v>2</v>
      </c>
      <c r="O82" s="38"/>
      <c r="P82" s="38"/>
      <c r="Q82" s="11">
        <f>Q81/5</f>
        <v>44.107500000000002</v>
      </c>
      <c r="R82" s="1"/>
    </row>
    <row r="94" spans="1:18">
      <c r="M94" s="16"/>
    </row>
  </sheetData>
  <mergeCells count="3">
    <mergeCell ref="K1:R1"/>
    <mergeCell ref="N81:P81"/>
    <mergeCell ref="N82:P82"/>
  </mergeCells>
  <hyperlinks>
    <hyperlink ref="O13" r:id="rId1"/>
    <hyperlink ref="AB4" r:id="rId2" display="url"/>
    <hyperlink ref="AB5" r:id="rId3" display="url"/>
    <hyperlink ref="AB6" r:id="rId4" display="url"/>
    <hyperlink ref="AB7" r:id="rId5" display="url"/>
    <hyperlink ref="AB8" r:id="rId6" display="url"/>
    <hyperlink ref="AB9" r:id="rId7" display="url"/>
    <hyperlink ref="AB10" r:id="rId8" display="url"/>
    <hyperlink ref="AB11" r:id="rId9" display="url"/>
    <hyperlink ref="AB12" r:id="rId10" display="url"/>
    <hyperlink ref="AB13" r:id="rId11" display="url"/>
    <hyperlink ref="AB14" r:id="rId12" display="url"/>
    <hyperlink ref="AB15" r:id="rId13" display="url"/>
    <hyperlink ref="AB16" r:id="rId14" display="url"/>
    <hyperlink ref="AB17" r:id="rId15" display="url"/>
    <hyperlink ref="AB18" r:id="rId16" display="url"/>
    <hyperlink ref="AB19" r:id="rId17" display="url"/>
    <hyperlink ref="AB20" r:id="rId18" display="url"/>
    <hyperlink ref="AB21" r:id="rId19" display="url"/>
    <hyperlink ref="AB22" r:id="rId20" display="url"/>
    <hyperlink ref="AB23" r:id="rId21" display="url"/>
    <hyperlink ref="AB24" r:id="rId22" display="url"/>
    <hyperlink ref="AB25" r:id="rId23" display="url"/>
    <hyperlink ref="AB26" r:id="rId24" display="url"/>
    <hyperlink ref="AB27" r:id="rId25" display="url"/>
    <hyperlink ref="AB28" r:id="rId26" display="url"/>
    <hyperlink ref="AB29" r:id="rId27" display="url"/>
    <hyperlink ref="AB30" r:id="rId28" display="url"/>
    <hyperlink ref="AB31" r:id="rId29" display="url"/>
    <hyperlink ref="AB32" r:id="rId30" display="url"/>
    <hyperlink ref="AB33" r:id="rId31" display="url"/>
    <hyperlink ref="AB34" r:id="rId32" display="url"/>
    <hyperlink ref="AB35" r:id="rId33" display="url"/>
    <hyperlink ref="AB36" r:id="rId34" display="url"/>
    <hyperlink ref="AB37" r:id="rId35" display="url"/>
    <hyperlink ref="AB38" r:id="rId36" display="url"/>
    <hyperlink ref="AB39" r:id="rId37" display="url"/>
    <hyperlink ref="AB40" r:id="rId38" display="url"/>
    <hyperlink ref="AB41" r:id="rId39" display="url"/>
    <hyperlink ref="AB42" r:id="rId40" display="url"/>
    <hyperlink ref="AB43" r:id="rId41" display="url"/>
    <hyperlink ref="AB44" r:id="rId42" display="url"/>
    <hyperlink ref="AB45" r:id="rId43" display="url"/>
    <hyperlink ref="AB46" r:id="rId44" display="url"/>
    <hyperlink ref="AB47" r:id="rId45" display="url"/>
    <hyperlink ref="AB48" r:id="rId46" display="url"/>
    <hyperlink ref="AB49" r:id="rId47" display="url"/>
    <hyperlink ref="AB50" r:id="rId48" display="url"/>
    <hyperlink ref="AB51" r:id="rId49" display="url"/>
    <hyperlink ref="AB52" r:id="rId50" display="url"/>
    <hyperlink ref="AB53" r:id="rId51" display="url"/>
    <hyperlink ref="AB54" r:id="rId52" display="url"/>
    <hyperlink ref="AB55" r:id="rId53" display="url"/>
    <hyperlink ref="AB56" r:id="rId54" display="url"/>
    <hyperlink ref="AB57" r:id="rId55" display="url"/>
    <hyperlink ref="AB58" r:id="rId56" display="url"/>
    <hyperlink ref="AB59" r:id="rId57" display="url"/>
    <hyperlink ref="AB60" r:id="rId58" display="url"/>
    <hyperlink ref="AB61" r:id="rId59" display="url"/>
    <hyperlink ref="AB62" r:id="rId60" display="url"/>
    <hyperlink ref="AB63" r:id="rId61" display="url"/>
    <hyperlink ref="AB64" r:id="rId62" display="url"/>
    <hyperlink ref="AB65" r:id="rId63" display="url"/>
    <hyperlink ref="AB66" r:id="rId64" display="url"/>
    <hyperlink ref="AB67" r:id="rId65" display="url"/>
    <hyperlink ref="AB68" r:id="rId66" display="url"/>
    <hyperlink ref="AB69" r:id="rId67" display="url"/>
    <hyperlink ref="AB70" r:id="rId68" display="url"/>
    <hyperlink ref="AB71" r:id="rId69" display="url"/>
    <hyperlink ref="AB72" r:id="rId70" display="url"/>
    <hyperlink ref="AB73" r:id="rId71" display="url"/>
    <hyperlink ref="AB74" r:id="rId72" display="url"/>
    <hyperlink ref="AB75" r:id="rId73" display="url"/>
    <hyperlink ref="AB76" r:id="rId74" display="url"/>
    <hyperlink ref="AB77" r:id="rId75" display="url"/>
    <hyperlink ref="AB78" r:id="rId76" display="url"/>
    <hyperlink ref="AB79" r:id="rId77" display="url"/>
    <hyperlink ref="AB80" r:id="rId78" display="url"/>
    <hyperlink ref="O3" r:id="rId79"/>
    <hyperlink ref="O38" r:id="rId80"/>
    <hyperlink ref="O40" r:id="rId81"/>
    <hyperlink ref="O44" r:id="rId82"/>
    <hyperlink ref="O46" r:id="rId83"/>
    <hyperlink ref="O45" r:id="rId84"/>
    <hyperlink ref="O47" r:id="rId85"/>
  </hyperlinks>
  <pageMargins left="0.7" right="0.7" top="0.75" bottom="0.75" header="0.3" footer="0.3"/>
  <pageSetup paperSize="9" orientation="portrait"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2025-07-23T08:55:01Z</dcterms:modified>
</cp:coreProperties>
</file>