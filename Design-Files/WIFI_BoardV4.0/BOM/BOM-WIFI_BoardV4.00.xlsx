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<sst xmlns="http://schemas.openxmlformats.org/spreadsheetml/2006/main" count="283" uniqueCount="199">
  <si>
    <t>#</t>
  </si>
  <si>
    <t>Item Type</t>
  </si>
  <si>
    <t>Capacitor</t>
  </si>
  <si>
    <t>Capacitors</t>
  </si>
  <si>
    <t>Protection Device</t>
  </si>
  <si>
    <t>Diode</t>
  </si>
  <si>
    <t>Connector</t>
  </si>
  <si>
    <t>USB Connector</t>
  </si>
  <si>
    <t>FPC Connector</t>
  </si>
  <si>
    <t>Wire To Board Connector</t>
  </si>
  <si>
    <t>Mosfet</t>
  </si>
  <si>
    <t>Resistor</t>
  </si>
  <si>
    <t>Resistors</t>
  </si>
  <si>
    <t>Switch</t>
  </si>
  <si>
    <t>Encoders</t>
  </si>
  <si>
    <t>Tactile Switch</t>
  </si>
  <si>
    <t>Module</t>
  </si>
  <si>
    <t>IC</t>
  </si>
  <si>
    <t>Designator</t>
  </si>
  <si>
    <t>C1, C6</t>
  </si>
  <si>
    <t>C2</t>
  </si>
  <si>
    <t>C3</t>
  </si>
  <si>
    <t>C4</t>
  </si>
  <si>
    <t>C5, C12, C13, C14</t>
  </si>
  <si>
    <t>C7</t>
  </si>
  <si>
    <t>C8, C10</t>
  </si>
  <si>
    <t>C9</t>
  </si>
  <si>
    <t>C11</t>
  </si>
  <si>
    <t>C15</t>
  </si>
  <si>
    <t>D1, D2, D3</t>
  </si>
  <si>
    <t>D4, D5, D6, D7, D8, D9</t>
  </si>
  <si>
    <t>D10</t>
  </si>
  <si>
    <t>J1</t>
  </si>
  <si>
    <t>J2</t>
  </si>
  <si>
    <t>J3</t>
  </si>
  <si>
    <t>J4</t>
  </si>
  <si>
    <t>Q1</t>
  </si>
  <si>
    <t>Q2</t>
  </si>
  <si>
    <t>Q3</t>
  </si>
  <si>
    <t>Q4</t>
  </si>
  <si>
    <t>R1, R19, R20, R21, R22</t>
  </si>
  <si>
    <t>R2, R3, R12</t>
  </si>
  <si>
    <t>R4, R25</t>
  </si>
  <si>
    <t>R5, R6</t>
  </si>
  <si>
    <t>R7, R8, R9, R10</t>
  </si>
  <si>
    <t>R11</t>
  </si>
  <si>
    <t>R13</t>
  </si>
  <si>
    <t>R14</t>
  </si>
  <si>
    <t>R15</t>
  </si>
  <si>
    <t>R16</t>
  </si>
  <si>
    <t>R17, R18</t>
  </si>
  <si>
    <t>R23</t>
  </si>
  <si>
    <t>R24</t>
  </si>
  <si>
    <t>SW1, SW2</t>
  </si>
  <si>
    <t>SW3</t>
  </si>
  <si>
    <t>SW4, SW5, SW6</t>
  </si>
  <si>
    <t>U1</t>
  </si>
  <si>
    <t>U2</t>
  </si>
  <si>
    <t>Description</t>
  </si>
  <si>
    <t>CAP CER 10000PF 25V X5R 0402</t>
  </si>
  <si>
    <t>47uF 50V 66mA@120Hz ±20% SMD,D6.3xL7.7mm Aluminum Electrolytic Capacitors - SMD ROHS</t>
  </si>
  <si>
    <t>CAP CER 0.1UF 25V X5R 0402</t>
  </si>
  <si>
    <t>CAP CER 22UF 10V X5R 0603</t>
  </si>
  <si>
    <t>CAP CER 1UF 16V X7S 0402</t>
  </si>
  <si>
    <t>22uF 10V 5Ω ±20% 0805 Tantalum Capacitors ROHS</t>
  </si>
  <si>
    <t>CAP CER 0.1UF 16V X7R 0402</t>
  </si>
  <si>
    <t>CAP TANT 10UF 20% 10V 0603</t>
  </si>
  <si>
    <t>CAP CER 0.1UF 50V X5R 0603</t>
  </si>
  <si>
    <t>CAP CER 0.1UF 50V X5R 0402</t>
  </si>
  <si>
    <t>40V 500mV@2A 2A SMA(DO-214AC) Schottky Barrier Diodes (SBD) ROHS</t>
  </si>
  <si>
    <t>5V 10V 3.3V Bi-Directional SOD-882 ESD Protection Devices ROHS</t>
  </si>
  <si>
    <t>DIODE ZENER 3.3V 200MW SOD323F</t>
  </si>
  <si>
    <t>1x6P SH 1 1mm 6 SMD,P=1mm Wire To Board / Wire To Wire Connector ROHS</t>
  </si>
  <si>
    <t>5A 1 16P Female Type-C SMD USB Connectors ROHS</t>
  </si>
  <si>
    <t>Clamshell -25℃~+85℃ 18P Bottom Contact Surface Mount 0.5mm SMD,P=0.5mm FFC/FPC Connectors ROHS</t>
  </si>
  <si>
    <t>1x12P 12P PicoBlade(MX 1.25) Tin 12 -25℃~+85℃ 2A 1 1.25mm Brass Surface Mount,Vertical SMD,P=1.25mm Wire To Board Connector ROHS</t>
  </si>
  <si>
    <t>30V 5.8A 32mΩ@10V,5.8A 1.4W 1.4V@250uA N Channel SOT-23 MOSFETs ROHS</t>
  </si>
  <si>
    <t>30V 4.1A 60mΩ@10V,4.1A 350mW 3V@250uA P Channel SOT-23 MOSFETs ROHS</t>
  </si>
  <si>
    <t>50V 220mA 3.5Ω@10V,220mA 225mW 1.6V@1mA N Channel SOT-23 MOSFETs ROHS</t>
  </si>
  <si>
    <t>TRANS NPN 40V 0.6A SMD SOT23-3</t>
  </si>
  <si>
    <t>RES 10K OHM 1% 1/16W 0402</t>
  </si>
  <si>
    <t>RES 10K OHM 1% 1/10W 0603</t>
  </si>
  <si>
    <t>RES 0 OHM JUMPER 1/10W 0603</t>
  </si>
  <si>
    <t>RES 5.1K OHM 1% 1/10W 0603</t>
  </si>
  <si>
    <t>RES SMD 10 OHM 1% 1/5W 0402</t>
  </si>
  <si>
    <t>RES 470 OHM 1% 1/10W 0603</t>
  </si>
  <si>
    <t>RES 100 OHM 1% 1/16W 0402</t>
  </si>
  <si>
    <t>RES 0 OHM JUMPER 1/16W 0402</t>
  </si>
  <si>
    <t>RES 1K OHM 5% 1/16W 0402</t>
  </si>
  <si>
    <t>RES 4.7K OHM 1% 1/16W 0402</t>
  </si>
  <si>
    <t>RES 47K OHM 1% 1/16W 0402</t>
  </si>
  <si>
    <t>RES 15K OHM 1% 1/10W 0603</t>
  </si>
  <si>
    <t>RES 3.3K OHM 0.5% 1/10W 0603</t>
  </si>
  <si>
    <t>SWITCH TACTILE SPST-NO 0.05A 12V</t>
  </si>
  <si>
    <t>ROTARY ENCODER MECHANICAL 24PPR</t>
  </si>
  <si>
    <t>SMD,18x25.5mm WiFi Modules ROHS</t>
  </si>
  <si>
    <t>SOT-223 Linear Voltage Regulators (LDO) ROHS</t>
  </si>
  <si>
    <t>Footprint</t>
  </si>
  <si>
    <t>Cap-0402</t>
  </si>
  <si>
    <t>RVT1H470M0607</t>
  </si>
  <si>
    <t>Cap-0603</t>
  </si>
  <si>
    <t>Tant-0805</t>
  </si>
  <si>
    <t>Tant-0603</t>
  </si>
  <si>
    <t>SMA</t>
  </si>
  <si>
    <t>SOD-882 Bi Directional</t>
  </si>
  <si>
    <t>SOD323F</t>
  </si>
  <si>
    <t>F0502-B-18-15T-R</t>
  </si>
  <si>
    <t>HC-1.25-12PLT</t>
  </si>
  <si>
    <t>sot-23</t>
  </si>
  <si>
    <t>SOT-23</t>
  </si>
  <si>
    <t>Sot-23</t>
  </si>
  <si>
    <t>Res-0402</t>
  </si>
  <si>
    <t>Res-0603</t>
  </si>
  <si>
    <t>B3U-1000P</t>
  </si>
  <si>
    <t>PEC11R-4215F-N0024</t>
  </si>
  <si>
    <t>41-SMD Module</t>
  </si>
  <si>
    <t>SOT- 223</t>
  </si>
  <si>
    <t>Manufacturer Part Number</t>
  </si>
  <si>
    <t>CC0402KRX5R8BB103</t>
  </si>
  <si>
    <t>CC0402KRX5R8BB104</t>
  </si>
  <si>
    <t>CC0603MRX5R6BB226</t>
  </si>
  <si>
    <t>GRM155C71C105KE11D</t>
  </si>
  <si>
    <t>TCTP1A226M8R</t>
  </si>
  <si>
    <t>CC0402JRX7R7BB104</t>
  </si>
  <si>
    <t>TR8M106M010C2000</t>
  </si>
  <si>
    <t>CC0603KRX5R9BB104</t>
  </si>
  <si>
    <t>C1005X5R1H104K050BB</t>
  </si>
  <si>
    <t>SS24A</t>
  </si>
  <si>
    <t>LESD8D3.3CAT5G</t>
  </si>
  <si>
    <t>MM3Z3V3B</t>
  </si>
  <si>
    <t>C145963</t>
  </si>
  <si>
    <t>TYPE-C-31-M-12</t>
  </si>
  <si>
    <t>AO3400A</t>
  </si>
  <si>
    <t>AO3407</t>
  </si>
  <si>
    <t>BSS138</t>
  </si>
  <si>
    <t>MMBT2222A-7-F</t>
  </si>
  <si>
    <t>RC0402FR-0710KL</t>
  </si>
  <si>
    <t>RC0603JR-070RL</t>
  </si>
  <si>
    <t>RC0603FR-075K1L</t>
  </si>
  <si>
    <t>CRCW040210R0FKEDHP</t>
  </si>
  <si>
    <t>RC0603FR-07470RL</t>
  </si>
  <si>
    <t>RC0402FR-07100RL</t>
  </si>
  <si>
    <t>RC0402FR-070RL</t>
  </si>
  <si>
    <t>RC0402JR-071KL</t>
  </si>
  <si>
    <t>RC0402FR-074K7L</t>
  </si>
  <si>
    <t>RC0402FR-0747KL</t>
  </si>
  <si>
    <t>RC0603FR-0715KL</t>
  </si>
  <si>
    <t>RC0603DR-073K3L</t>
  </si>
  <si>
    <t>TL3300CF160Q</t>
  </si>
  <si>
    <t>ESP32-S3-WROOM-1-N8R2</t>
  </si>
  <si>
    <t>AMS1117-3.3</t>
  </si>
  <si>
    <t>Manufacturer</t>
  </si>
  <si>
    <t>Yageo</t>
  </si>
  <si>
    <t>ROQANG</t>
  </si>
  <si>
    <t>Murata</t>
  </si>
  <si>
    <t>Rohm</t>
  </si>
  <si>
    <t>Vishay Sprague</t>
  </si>
  <si>
    <t>TDK</t>
  </si>
  <si>
    <t>Guangdong Hottech</t>
  </si>
  <si>
    <t>LRC</t>
  </si>
  <si>
    <t>ON Semiconductor / Fairchild</t>
  </si>
  <si>
    <t>BOOMELE</t>
  </si>
  <si>
    <t>Korean Hroparts Elec</t>
  </si>
  <si>
    <t>XFCN</t>
  </si>
  <si>
    <t>HCTL</t>
  </si>
  <si>
    <t>BORN</t>
  </si>
  <si>
    <t>Slkor(SLKORMICRO Elec.)</t>
  </si>
  <si>
    <t>Diodes</t>
  </si>
  <si>
    <t>Vishay Dale</t>
  </si>
  <si>
    <t>Omron</t>
  </si>
  <si>
    <t>Bourns</t>
  </si>
  <si>
    <t>E-Switch</t>
  </si>
  <si>
    <t>Espressif Systems</t>
  </si>
  <si>
    <t>GUOXIN JIAPIN SEMICONDUCTOR</t>
  </si>
  <si>
    <t>0.01uF</t>
  </si>
  <si>
    <t>47uF</t>
  </si>
  <si>
    <t>100nF</t>
  </si>
  <si>
    <t>22uF</t>
  </si>
  <si>
    <t>1uF</t>
  </si>
  <si>
    <t>0.1uF</t>
  </si>
  <si>
    <t>10uF</t>
  </si>
  <si>
    <t>10K</t>
  </si>
  <si>
    <t>0R</t>
  </si>
  <si>
    <t>5.1K</t>
  </si>
  <si>
    <t>10R</t>
  </si>
  <si>
    <t>470R</t>
  </si>
  <si>
    <t>100R</t>
  </si>
  <si>
    <t>1K</t>
  </si>
  <si>
    <t>4.7K</t>
  </si>
  <si>
    <t>47K</t>
  </si>
  <si>
    <t>15K</t>
  </si>
  <si>
    <t>3.3K</t>
  </si>
  <si>
    <t>Quantity</t>
  </si>
  <si>
    <t>Value</t>
  </si>
  <si>
    <t>Remarks</t>
  </si>
  <si>
    <t>Custom</t>
  </si>
  <si>
    <t>-</t>
  </si>
  <si>
    <t>RK73G1JTTD1002F</t>
  </si>
  <si>
    <t>KOA Speer 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</si>
</sst>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3"/>
  <sheetViews>
    <sheetView tabSelected="1" topLeftCell="A22" workbookViewId="0">
      <selection activeCell="G43" sqref="G43"/>
    </sheetView>
  </sheetViews>
  <sheetFormatPr defaultRowHeight="15" x14ac:dyDescent="0.25"/>
  <cols>
    <col min="2" max="2" width="3.140625" style="4" customWidth="1"/>
    <col min="3" max="3" width="18" style="4" bestFit="1" customWidth="1"/>
    <col min="4" max="4" width="27.42578125" customWidth="1"/>
    <col min="5" max="5" width="30.85546875" customWidth="1"/>
    <col min="6" max="6" width="18.710937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  <col min="13" max="13" width="27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2"/>
      <c r="J1" s="12"/>
      <c r="K1" s="12"/>
    </row>
    <row r="2" spans="1:11" ht="15.75" thickBot="1" x14ac:dyDescent="0.3">
      <c r="A2" s="1"/>
      <c r="B2" s="5" t="s">
        <v>0</v>
      </c>
      <c r="C2" s="5" t="s">
        <v>1</v>
      </c>
      <c r="D2" s="5" t="s">
        <v>18</v>
      </c>
      <c r="E2" s="5" t="s">
        <v>58</v>
      </c>
      <c r="F2" s="5" t="s">
        <v>97</v>
      </c>
      <c r="G2" s="5" t="s">
        <v>117</v>
      </c>
      <c r="H2" s="5" t="s">
        <v>151</v>
      </c>
      <c r="I2" s="5" t="s">
        <v>193</v>
      </c>
      <c r="J2" s="5" t="s">
        <v>192</v>
      </c>
      <c r="K2" s="5" t="s">
        <v>194</v>
      </c>
    </row>
    <row r="3" spans="1:11" x14ac:dyDescent="0.25">
      <c r="A3" s="1"/>
      <c r="B3" s="7">
        <f>ROW(B3) - ROW($B$2)</f>
        <v>1</v>
      </c>
      <c r="C3" s="10" t="s">
        <v>2</v>
      </c>
      <c r="D3" s="6" t="s">
        <v>19</v>
      </c>
      <c r="E3" s="6" t="s">
        <v>59</v>
      </c>
      <c r="F3" s="6" t="s">
        <v>98</v>
      </c>
      <c r="G3" s="6" t="s">
        <v>118</v>
      </c>
      <c r="H3" s="6" t="s">
        <v>152</v>
      </c>
      <c r="I3" s="6" t="s">
        <v>174</v>
      </c>
      <c r="J3" s="6">
        <v>2</v>
      </c>
      <c r="K3" s="6"/>
    </row>
    <row r="4" spans="1:11" ht="36" x14ac:dyDescent="0.25">
      <c r="A4" s="1"/>
      <c r="B4" s="8">
        <f t="shared" ref="B4:B40" si="0">ROW(B4) - ROW($B$2)</f>
        <v>2</v>
      </c>
      <c r="C4" s="11" t="s">
        <v>2</v>
      </c>
      <c r="D4" s="9" t="s">
        <v>20</v>
      </c>
      <c r="E4" s="9" t="s">
        <v>60</v>
      </c>
      <c r="F4" s="9" t="s">
        <v>195</v>
      </c>
      <c r="G4" s="9" t="s">
        <v>99</v>
      </c>
      <c r="H4" s="9" t="s">
        <v>153</v>
      </c>
      <c r="I4" s="9" t="s">
        <v>175</v>
      </c>
      <c r="J4" s="9">
        <v>1</v>
      </c>
      <c r="K4" s="9"/>
    </row>
    <row r="5" spans="1:11" x14ac:dyDescent="0.25">
      <c r="A5" s="1"/>
      <c r="B5" s="7">
        <f>ROW(B5) - ROW($B$2)</f>
        <v>3</v>
      </c>
      <c r="C5" s="10" t="s">
        <v>2</v>
      </c>
      <c r="D5" s="6" t="s">
        <v>21</v>
      </c>
      <c r="E5" s="6" t="s">
        <v>61</v>
      </c>
      <c r="F5" s="6" t="s">
        <v>98</v>
      </c>
      <c r="G5" s="6" t="s">
        <v>119</v>
      </c>
      <c r="H5" s="6" t="s">
        <v>152</v>
      </c>
      <c r="I5" s="6" t="s">
        <v>176</v>
      </c>
      <c r="J5" s="6">
        <v>1</v>
      </c>
      <c r="K5" s="6"/>
    </row>
    <row r="6" spans="1:11" x14ac:dyDescent="0.25">
      <c r="A6" s="1"/>
      <c r="B6" s="8">
        <f t="shared" si="0"/>
        <v>4</v>
      </c>
      <c r="C6" s="11" t="s">
        <v>2</v>
      </c>
      <c r="D6" s="9" t="s">
        <v>22</v>
      </c>
      <c r="E6" s="9" t="s">
        <v>62</v>
      </c>
      <c r="F6" s="9" t="s">
        <v>100</v>
      </c>
      <c r="G6" s="9" t="s">
        <v>120</v>
      </c>
      <c r="H6" s="9" t="s">
        <v>152</v>
      </c>
      <c r="I6" s="9" t="s">
        <v>177</v>
      </c>
      <c r="J6" s="9">
        <v>1</v>
      </c>
      <c r="K6" s="9"/>
    </row>
    <row r="7" spans="1:11" x14ac:dyDescent="0.25">
      <c r="A7" s="1"/>
      <c r="B7" s="7">
        <f>ROW(B7) - ROW($B$2)</f>
        <v>5</v>
      </c>
      <c r="C7" s="10" t="s">
        <v>3</v>
      </c>
      <c r="D7" s="6" t="s">
        <v>23</v>
      </c>
      <c r="E7" s="6" t="s">
        <v>63</v>
      </c>
      <c r="F7" s="6" t="s">
        <v>98</v>
      </c>
      <c r="G7" s="6" t="s">
        <v>121</v>
      </c>
      <c r="H7" s="6" t="s">
        <v>154</v>
      </c>
      <c r="I7" s="6" t="s">
        <v>178</v>
      </c>
      <c r="J7" s="6">
        <v>4</v>
      </c>
      <c r="K7" s="6"/>
    </row>
    <row r="8" spans="1:11" ht="24" x14ac:dyDescent="0.25">
      <c r="A8" s="1"/>
      <c r="B8" s="8">
        <f t="shared" si="0"/>
        <v>6</v>
      </c>
      <c r="C8" s="11" t="s">
        <v>2</v>
      </c>
      <c r="D8" s="9" t="s">
        <v>24</v>
      </c>
      <c r="E8" s="9" t="s">
        <v>64</v>
      </c>
      <c r="F8" s="9" t="s">
        <v>101</v>
      </c>
      <c r="G8" s="9" t="s">
        <v>122</v>
      </c>
      <c r="H8" s="9" t="s">
        <v>155</v>
      </c>
      <c r="I8" s="9" t="s">
        <v>177</v>
      </c>
      <c r="J8" s="9">
        <v>1</v>
      </c>
      <c r="K8" s="9"/>
    </row>
    <row r="9" spans="1:11" x14ac:dyDescent="0.25">
      <c r="A9" s="1"/>
      <c r="B9" s="7">
        <f>ROW(B9) - ROW($B$2)</f>
        <v>7</v>
      </c>
      <c r="C9" s="10" t="s">
        <v>2</v>
      </c>
      <c r="D9" s="6" t="s">
        <v>25</v>
      </c>
      <c r="E9" s="6" t="s">
        <v>65</v>
      </c>
      <c r="F9" s="6" t="s">
        <v>98</v>
      </c>
      <c r="G9" s="6" t="s">
        <v>123</v>
      </c>
      <c r="H9" s="6" t="s">
        <v>152</v>
      </c>
      <c r="I9" s="6" t="s">
        <v>179</v>
      </c>
      <c r="J9" s="6">
        <v>2</v>
      </c>
      <c r="K9" s="6"/>
    </row>
    <row r="10" spans="1:11" x14ac:dyDescent="0.25">
      <c r="A10" s="1"/>
      <c r="B10" s="8">
        <f t="shared" si="0"/>
        <v>8</v>
      </c>
      <c r="C10" s="11" t="s">
        <v>2</v>
      </c>
      <c r="D10" s="9" t="s">
        <v>26</v>
      </c>
      <c r="E10" s="9" t="s">
        <v>66</v>
      </c>
      <c r="F10" s="9" t="s">
        <v>102</v>
      </c>
      <c r="G10" s="9" t="s">
        <v>124</v>
      </c>
      <c r="H10" s="9" t="s">
        <v>156</v>
      </c>
      <c r="I10" s="9" t="s">
        <v>180</v>
      </c>
      <c r="J10" s="9">
        <v>1</v>
      </c>
      <c r="K10" s="9"/>
    </row>
    <row r="11" spans="1:11" x14ac:dyDescent="0.25">
      <c r="A11" s="1"/>
      <c r="B11" s="7">
        <f>ROW(B11) - ROW($B$2)</f>
        <v>9</v>
      </c>
      <c r="C11" s="10" t="s">
        <v>2</v>
      </c>
      <c r="D11" s="6" t="s">
        <v>27</v>
      </c>
      <c r="E11" s="6" t="s">
        <v>67</v>
      </c>
      <c r="F11" s="6" t="s">
        <v>100</v>
      </c>
      <c r="G11" s="6" t="s">
        <v>125</v>
      </c>
      <c r="H11" s="6" t="s">
        <v>152</v>
      </c>
      <c r="I11" s="6" t="s">
        <v>176</v>
      </c>
      <c r="J11" s="6">
        <v>1</v>
      </c>
      <c r="K11" s="6"/>
    </row>
    <row r="12" spans="1:11" x14ac:dyDescent="0.25">
      <c r="A12" s="1"/>
      <c r="B12" s="8">
        <f t="shared" si="0"/>
        <v>10</v>
      </c>
      <c r="C12" s="11" t="s">
        <v>2</v>
      </c>
      <c r="D12" s="9" t="s">
        <v>28</v>
      </c>
      <c r="E12" s="9" t="s">
        <v>68</v>
      </c>
      <c r="F12" s="9" t="s">
        <v>98</v>
      </c>
      <c r="G12" s="9" t="s">
        <v>126</v>
      </c>
      <c r="H12" s="9" t="s">
        <v>157</v>
      </c>
      <c r="I12" s="9" t="s">
        <v>179</v>
      </c>
      <c r="J12" s="9">
        <v>1</v>
      </c>
      <c r="K12" s="9"/>
    </row>
    <row r="13" spans="1:11" ht="24" x14ac:dyDescent="0.25">
      <c r="A13" s="1"/>
      <c r="B13" s="7">
        <f>ROW(B13) - ROW($B$2)</f>
        <v>11</v>
      </c>
      <c r="C13" s="10" t="s">
        <v>5</v>
      </c>
      <c r="D13" s="6" t="s">
        <v>29</v>
      </c>
      <c r="E13" s="6" t="s">
        <v>69</v>
      </c>
      <c r="F13" s="6" t="s">
        <v>103</v>
      </c>
      <c r="G13" s="6" t="s">
        <v>127</v>
      </c>
      <c r="H13" s="6" t="s">
        <v>158</v>
      </c>
      <c r="I13" s="6" t="s">
        <v>196</v>
      </c>
      <c r="J13" s="6">
        <v>3</v>
      </c>
      <c r="K13" s="6"/>
    </row>
    <row r="14" spans="1:11" ht="24" x14ac:dyDescent="0.25">
      <c r="A14" s="1"/>
      <c r="B14" s="8">
        <f t="shared" si="0"/>
        <v>12</v>
      </c>
      <c r="C14" s="11" t="s">
        <v>4</v>
      </c>
      <c r="D14" s="9" t="s">
        <v>30</v>
      </c>
      <c r="E14" s="9" t="s">
        <v>70</v>
      </c>
      <c r="F14" s="9" t="s">
        <v>104</v>
      </c>
      <c r="G14" s="9" t="s">
        <v>128</v>
      </c>
      <c r="H14" s="9" t="s">
        <v>159</v>
      </c>
      <c r="I14" s="6" t="s">
        <v>196</v>
      </c>
      <c r="J14" s="9">
        <v>6</v>
      </c>
      <c r="K14" s="9"/>
    </row>
    <row r="15" spans="1:11" ht="24" x14ac:dyDescent="0.25">
      <c r="A15" s="1"/>
      <c r="B15" s="7">
        <f>ROW(B15) - ROW($B$2)</f>
        <v>13</v>
      </c>
      <c r="C15" s="10" t="s">
        <v>5</v>
      </c>
      <c r="D15" s="6" t="s">
        <v>31</v>
      </c>
      <c r="E15" s="6" t="s">
        <v>71</v>
      </c>
      <c r="F15" s="6" t="s">
        <v>105</v>
      </c>
      <c r="G15" s="6" t="s">
        <v>129</v>
      </c>
      <c r="H15" s="6" t="s">
        <v>160</v>
      </c>
      <c r="I15" s="6" t="s">
        <v>196</v>
      </c>
      <c r="J15" s="6">
        <v>1</v>
      </c>
      <c r="K15" s="6"/>
    </row>
    <row r="16" spans="1:11" ht="24" x14ac:dyDescent="0.25">
      <c r="A16" s="1"/>
      <c r="B16" s="8">
        <f t="shared" si="0"/>
        <v>14</v>
      </c>
      <c r="C16" s="11" t="s">
        <v>6</v>
      </c>
      <c r="D16" s="9" t="s">
        <v>32</v>
      </c>
      <c r="E16" s="9" t="s">
        <v>72</v>
      </c>
      <c r="F16" s="9" t="s">
        <v>195</v>
      </c>
      <c r="G16" s="9" t="s">
        <v>130</v>
      </c>
      <c r="H16" s="9" t="s">
        <v>161</v>
      </c>
      <c r="I16" s="6" t="s">
        <v>196</v>
      </c>
      <c r="J16" s="9">
        <v>1</v>
      </c>
      <c r="K16" s="9"/>
    </row>
    <row r="17" spans="1:11" ht="24" x14ac:dyDescent="0.25">
      <c r="A17" s="1"/>
      <c r="B17" s="7">
        <f>ROW(B17) - ROW($B$2)</f>
        <v>15</v>
      </c>
      <c r="C17" s="10" t="s">
        <v>7</v>
      </c>
      <c r="D17" s="6" t="s">
        <v>33</v>
      </c>
      <c r="E17" s="6" t="s">
        <v>73</v>
      </c>
      <c r="F17" s="9" t="s">
        <v>195</v>
      </c>
      <c r="G17" s="6" t="s">
        <v>131</v>
      </c>
      <c r="H17" s="6" t="s">
        <v>162</v>
      </c>
      <c r="I17" s="6" t="s">
        <v>196</v>
      </c>
      <c r="J17" s="6">
        <v>1</v>
      </c>
      <c r="K17" s="6"/>
    </row>
    <row r="18" spans="1:11" ht="48" x14ac:dyDescent="0.25">
      <c r="A18" s="1"/>
      <c r="B18" s="8">
        <f t="shared" si="0"/>
        <v>16</v>
      </c>
      <c r="C18" s="11" t="s">
        <v>8</v>
      </c>
      <c r="D18" s="9" t="s">
        <v>34</v>
      </c>
      <c r="E18" s="9" t="s">
        <v>74</v>
      </c>
      <c r="F18" s="9" t="s">
        <v>195</v>
      </c>
      <c r="G18" s="9" t="s">
        <v>106</v>
      </c>
      <c r="H18" s="9" t="s">
        <v>163</v>
      </c>
      <c r="I18" s="6" t="s">
        <v>196</v>
      </c>
      <c r="J18" s="9">
        <v>1</v>
      </c>
      <c r="K18" s="9"/>
    </row>
    <row r="19" spans="1:11" ht="48" x14ac:dyDescent="0.25">
      <c r="A19" s="1"/>
      <c r="B19" s="7">
        <f>ROW(B19) - ROW($B$2)</f>
        <v>17</v>
      </c>
      <c r="C19" s="10" t="s">
        <v>9</v>
      </c>
      <c r="D19" s="6" t="s">
        <v>35</v>
      </c>
      <c r="E19" s="6" t="s">
        <v>75</v>
      </c>
      <c r="F19" s="9" t="s">
        <v>195</v>
      </c>
      <c r="G19" s="6" t="s">
        <v>107</v>
      </c>
      <c r="H19" s="6" t="s">
        <v>164</v>
      </c>
      <c r="I19" s="6" t="s">
        <v>196</v>
      </c>
      <c r="J19" s="6">
        <v>1</v>
      </c>
      <c r="K19" s="6"/>
    </row>
    <row r="20" spans="1:11" ht="36" x14ac:dyDescent="0.25">
      <c r="A20" s="1"/>
      <c r="B20" s="8">
        <f t="shared" si="0"/>
        <v>18</v>
      </c>
      <c r="C20" s="11" t="s">
        <v>10</v>
      </c>
      <c r="D20" s="9" t="s">
        <v>36</v>
      </c>
      <c r="E20" s="9" t="s">
        <v>76</v>
      </c>
      <c r="F20" s="9" t="s">
        <v>108</v>
      </c>
      <c r="G20" s="9" t="s">
        <v>132</v>
      </c>
      <c r="H20" s="9" t="s">
        <v>165</v>
      </c>
      <c r="I20" s="6" t="s">
        <v>196</v>
      </c>
      <c r="J20" s="9">
        <v>1</v>
      </c>
      <c r="K20" s="9"/>
    </row>
    <row r="21" spans="1:11" ht="36" x14ac:dyDescent="0.25">
      <c r="A21" s="1"/>
      <c r="B21" s="7">
        <f>ROW(B21) - ROW($B$2)</f>
        <v>19</v>
      </c>
      <c r="C21" s="10" t="s">
        <v>10</v>
      </c>
      <c r="D21" s="6" t="s">
        <v>37</v>
      </c>
      <c r="E21" s="6" t="s">
        <v>77</v>
      </c>
      <c r="F21" s="6" t="s">
        <v>109</v>
      </c>
      <c r="G21" s="6" t="s">
        <v>133</v>
      </c>
      <c r="H21" s="6" t="s">
        <v>158</v>
      </c>
      <c r="I21" s="6" t="s">
        <v>196</v>
      </c>
      <c r="J21" s="6">
        <v>1</v>
      </c>
      <c r="K21" s="6"/>
    </row>
    <row r="22" spans="1:11" ht="36" x14ac:dyDescent="0.25">
      <c r="A22" s="1"/>
      <c r="B22" s="8">
        <f t="shared" si="0"/>
        <v>20</v>
      </c>
      <c r="C22" s="11" t="s">
        <v>10</v>
      </c>
      <c r="D22" s="9" t="s">
        <v>38</v>
      </c>
      <c r="E22" s="9" t="s">
        <v>78</v>
      </c>
      <c r="F22" s="9" t="s">
        <v>110</v>
      </c>
      <c r="G22" s="9" t="s">
        <v>134</v>
      </c>
      <c r="H22" s="9" t="s">
        <v>166</v>
      </c>
      <c r="I22" s="6" t="s">
        <v>196</v>
      </c>
      <c r="J22" s="9">
        <v>1</v>
      </c>
      <c r="K22" s="9"/>
    </row>
    <row r="23" spans="1:11" x14ac:dyDescent="0.25">
      <c r="A23" s="1"/>
      <c r="B23" s="7">
        <f>ROW(B23) - ROW($B$2)</f>
        <v>21</v>
      </c>
      <c r="C23" s="10" t="s">
        <v>10</v>
      </c>
      <c r="D23" s="6" t="s">
        <v>39</v>
      </c>
      <c r="E23" s="6" t="s">
        <v>79</v>
      </c>
      <c r="F23" s="6" t="s">
        <v>109</v>
      </c>
      <c r="G23" s="6" t="s">
        <v>135</v>
      </c>
      <c r="H23" s="6" t="s">
        <v>167</v>
      </c>
      <c r="I23" s="6" t="s">
        <v>196</v>
      </c>
      <c r="J23" s="6">
        <v>1</v>
      </c>
      <c r="K23" s="6"/>
    </row>
    <row r="24" spans="1:11" x14ac:dyDescent="0.25">
      <c r="A24" s="1"/>
      <c r="B24" s="8">
        <f t="shared" si="0"/>
        <v>22</v>
      </c>
      <c r="C24" s="11" t="s">
        <v>11</v>
      </c>
      <c r="D24" s="9" t="s">
        <v>40</v>
      </c>
      <c r="E24" s="9" t="s">
        <v>80</v>
      </c>
      <c r="F24" s="9" t="s">
        <v>111</v>
      </c>
      <c r="G24" s="9" t="s">
        <v>136</v>
      </c>
      <c r="H24" s="9" t="s">
        <v>152</v>
      </c>
      <c r="I24" s="9" t="s">
        <v>181</v>
      </c>
      <c r="J24" s="9">
        <v>5</v>
      </c>
      <c r="K24" s="9"/>
    </row>
    <row r="25" spans="1:11" x14ac:dyDescent="0.25">
      <c r="A25" s="1"/>
      <c r="B25" s="7">
        <f>ROW(B25) - ROW($B$2)</f>
        <v>23</v>
      </c>
      <c r="C25" s="10" t="s">
        <v>11</v>
      </c>
      <c r="D25" s="6" t="s">
        <v>41</v>
      </c>
      <c r="E25" s="6" t="s">
        <v>81</v>
      </c>
      <c r="F25" s="6" t="s">
        <v>112</v>
      </c>
      <c r="G25" s="9" t="s">
        <v>197</v>
      </c>
      <c r="H25" s="9" t="s">
        <v>198</v>
      </c>
      <c r="I25" s="6" t="s">
        <v>181</v>
      </c>
      <c r="J25" s="6">
        <v>3</v>
      </c>
      <c r="K25" s="6"/>
    </row>
    <row r="26" spans="1:11" x14ac:dyDescent="0.25">
      <c r="A26" s="1"/>
      <c r="B26" s="8">
        <f t="shared" si="0"/>
        <v>24</v>
      </c>
      <c r="C26" s="11" t="s">
        <v>11</v>
      </c>
      <c r="D26" s="9" t="s">
        <v>42</v>
      </c>
      <c r="E26" s="9" t="s">
        <v>82</v>
      </c>
      <c r="F26" s="9" t="s">
        <v>112</v>
      </c>
      <c r="G26" s="9" t="s">
        <v>137</v>
      </c>
      <c r="H26" s="9" t="s">
        <v>152</v>
      </c>
      <c r="I26" s="9" t="s">
        <v>182</v>
      </c>
      <c r="J26" s="9">
        <v>2</v>
      </c>
      <c r="K26" s="9"/>
    </row>
    <row r="27" spans="1:11" x14ac:dyDescent="0.25">
      <c r="A27" s="1"/>
      <c r="B27" s="7">
        <f>ROW(B27) - ROW($B$2)</f>
        <v>25</v>
      </c>
      <c r="C27" s="10" t="s">
        <v>11</v>
      </c>
      <c r="D27" s="6" t="s">
        <v>43</v>
      </c>
      <c r="E27" s="6" t="s">
        <v>83</v>
      </c>
      <c r="F27" s="6" t="s">
        <v>112</v>
      </c>
      <c r="G27" s="6" t="s">
        <v>138</v>
      </c>
      <c r="H27" s="6" t="s">
        <v>152</v>
      </c>
      <c r="I27" s="6" t="s">
        <v>183</v>
      </c>
      <c r="J27" s="6">
        <v>2</v>
      </c>
      <c r="K27" s="6"/>
    </row>
    <row r="28" spans="1:11" x14ac:dyDescent="0.25">
      <c r="A28" s="1"/>
      <c r="B28" s="8">
        <f t="shared" si="0"/>
        <v>26</v>
      </c>
      <c r="C28" s="10" t="s">
        <v>11</v>
      </c>
      <c r="D28" s="9" t="s">
        <v>44</v>
      </c>
      <c r="E28" s="9" t="s">
        <v>84</v>
      </c>
      <c r="F28" s="9" t="s">
        <v>111</v>
      </c>
      <c r="G28" s="9" t="s">
        <v>139</v>
      </c>
      <c r="H28" s="9" t="s">
        <v>168</v>
      </c>
      <c r="I28" s="9" t="s">
        <v>184</v>
      </c>
      <c r="J28" s="9">
        <v>4</v>
      </c>
      <c r="K28" s="9"/>
    </row>
    <row r="29" spans="1:11" x14ac:dyDescent="0.25">
      <c r="A29" s="1"/>
      <c r="B29" s="7">
        <f>ROW(B29) - ROW($B$2)</f>
        <v>27</v>
      </c>
      <c r="C29" s="10" t="s">
        <v>11</v>
      </c>
      <c r="D29" s="6" t="s">
        <v>45</v>
      </c>
      <c r="E29" s="6" t="s">
        <v>85</v>
      </c>
      <c r="F29" s="6" t="s">
        <v>112</v>
      </c>
      <c r="G29" s="6" t="s">
        <v>140</v>
      </c>
      <c r="H29" s="6" t="s">
        <v>152</v>
      </c>
      <c r="I29" s="6" t="s">
        <v>185</v>
      </c>
      <c r="J29" s="6">
        <v>1</v>
      </c>
      <c r="K29" s="6"/>
    </row>
    <row r="30" spans="1:11" x14ac:dyDescent="0.25">
      <c r="A30" s="1"/>
      <c r="B30" s="8">
        <f t="shared" si="0"/>
        <v>28</v>
      </c>
      <c r="C30" s="11" t="s">
        <v>11</v>
      </c>
      <c r="D30" s="9" t="s">
        <v>46</v>
      </c>
      <c r="E30" s="9" t="s">
        <v>86</v>
      </c>
      <c r="F30" s="9" t="s">
        <v>111</v>
      </c>
      <c r="G30" s="9" t="s">
        <v>141</v>
      </c>
      <c r="H30" s="9" t="s">
        <v>152</v>
      </c>
      <c r="I30" s="9" t="s">
        <v>186</v>
      </c>
      <c r="J30" s="9">
        <v>1</v>
      </c>
      <c r="K30" s="9"/>
    </row>
    <row r="31" spans="1:11" x14ac:dyDescent="0.25">
      <c r="A31" s="1"/>
      <c r="B31" s="7">
        <f>ROW(B31) - ROW($B$2)</f>
        <v>29</v>
      </c>
      <c r="C31" s="10" t="s">
        <v>12</v>
      </c>
      <c r="D31" s="6" t="s">
        <v>47</v>
      </c>
      <c r="E31" s="6" t="s">
        <v>87</v>
      </c>
      <c r="F31" s="6" t="s">
        <v>111</v>
      </c>
      <c r="G31" s="6" t="s">
        <v>142</v>
      </c>
      <c r="H31" s="6" t="s">
        <v>152</v>
      </c>
      <c r="I31" s="6" t="s">
        <v>182</v>
      </c>
      <c r="J31" s="6">
        <v>1</v>
      </c>
      <c r="K31" s="6"/>
    </row>
    <row r="32" spans="1:11" x14ac:dyDescent="0.25">
      <c r="A32" s="1"/>
      <c r="B32" s="8">
        <f t="shared" si="0"/>
        <v>30</v>
      </c>
      <c r="C32" s="11" t="s">
        <v>11</v>
      </c>
      <c r="D32" s="9" t="s">
        <v>48</v>
      </c>
      <c r="E32" s="9" t="s">
        <v>88</v>
      </c>
      <c r="F32" s="9" t="s">
        <v>111</v>
      </c>
      <c r="G32" s="9" t="s">
        <v>143</v>
      </c>
      <c r="H32" s="9" t="s">
        <v>152</v>
      </c>
      <c r="I32" s="9" t="s">
        <v>187</v>
      </c>
      <c r="J32" s="9">
        <v>1</v>
      </c>
      <c r="K32" s="9"/>
    </row>
    <row r="33" spans="1:11" x14ac:dyDescent="0.25">
      <c r="A33" s="1"/>
      <c r="B33" s="7">
        <f>ROW(B33) - ROW($B$2)</f>
        <v>31</v>
      </c>
      <c r="C33" s="10" t="s">
        <v>11</v>
      </c>
      <c r="D33" s="6" t="s">
        <v>49</v>
      </c>
      <c r="E33" s="6" t="s">
        <v>89</v>
      </c>
      <c r="F33" s="6" t="s">
        <v>111</v>
      </c>
      <c r="G33" s="6" t="s">
        <v>144</v>
      </c>
      <c r="H33" s="6" t="s">
        <v>152</v>
      </c>
      <c r="I33" s="6" t="s">
        <v>188</v>
      </c>
      <c r="J33" s="6">
        <v>1</v>
      </c>
      <c r="K33" s="6"/>
    </row>
    <row r="34" spans="1:11" x14ac:dyDescent="0.25">
      <c r="A34" s="1"/>
      <c r="B34" s="8">
        <f t="shared" si="0"/>
        <v>32</v>
      </c>
      <c r="C34" s="11" t="s">
        <v>11</v>
      </c>
      <c r="D34" s="9" t="s">
        <v>50</v>
      </c>
      <c r="E34" s="9" t="s">
        <v>90</v>
      </c>
      <c r="F34" s="9" t="s">
        <v>111</v>
      </c>
      <c r="G34" s="9" t="s">
        <v>145</v>
      </c>
      <c r="H34" s="9" t="s">
        <v>152</v>
      </c>
      <c r="I34" s="9" t="s">
        <v>189</v>
      </c>
      <c r="J34" s="9">
        <v>2</v>
      </c>
      <c r="K34" s="9"/>
    </row>
    <row r="35" spans="1:11" x14ac:dyDescent="0.25">
      <c r="A35" s="1"/>
      <c r="B35" s="7">
        <f>ROW(B35) - ROW($B$2)</f>
        <v>33</v>
      </c>
      <c r="C35" s="10" t="s">
        <v>11</v>
      </c>
      <c r="D35" s="6" t="s">
        <v>51</v>
      </c>
      <c r="E35" s="6" t="s">
        <v>91</v>
      </c>
      <c r="F35" s="6" t="s">
        <v>112</v>
      </c>
      <c r="G35" s="6" t="s">
        <v>146</v>
      </c>
      <c r="H35" s="6" t="s">
        <v>152</v>
      </c>
      <c r="I35" s="6" t="s">
        <v>190</v>
      </c>
      <c r="J35" s="6">
        <v>1</v>
      </c>
      <c r="K35" s="6"/>
    </row>
    <row r="36" spans="1:11" x14ac:dyDescent="0.25">
      <c r="A36" s="1"/>
      <c r="B36" s="8">
        <f t="shared" si="0"/>
        <v>34</v>
      </c>
      <c r="C36" s="11" t="s">
        <v>11</v>
      </c>
      <c r="D36" s="9" t="s">
        <v>52</v>
      </c>
      <c r="E36" s="9" t="s">
        <v>92</v>
      </c>
      <c r="F36" s="9" t="s">
        <v>112</v>
      </c>
      <c r="G36" s="9" t="s">
        <v>147</v>
      </c>
      <c r="H36" s="9" t="s">
        <v>152</v>
      </c>
      <c r="I36" s="9" t="s">
        <v>191</v>
      </c>
      <c r="J36" s="9">
        <v>1</v>
      </c>
      <c r="K36" s="9"/>
    </row>
    <row r="37" spans="1:11" x14ac:dyDescent="0.25">
      <c r="A37" s="1"/>
      <c r="B37" s="7">
        <f>ROW(B37) - ROW($B$2)</f>
        <v>35</v>
      </c>
      <c r="C37" s="10" t="s">
        <v>13</v>
      </c>
      <c r="D37" s="6" t="s">
        <v>53</v>
      </c>
      <c r="E37" s="6" t="s">
        <v>93</v>
      </c>
      <c r="F37" s="9" t="s">
        <v>195</v>
      </c>
      <c r="G37" s="6" t="s">
        <v>113</v>
      </c>
      <c r="H37" s="6" t="s">
        <v>169</v>
      </c>
      <c r="I37" s="6" t="s">
        <v>196</v>
      </c>
      <c r="J37" s="6">
        <v>2</v>
      </c>
      <c r="K37" s="6"/>
    </row>
    <row r="38" spans="1:11" x14ac:dyDescent="0.25">
      <c r="A38" s="1"/>
      <c r="B38" s="8">
        <f t="shared" si="0"/>
        <v>36</v>
      </c>
      <c r="C38" s="11" t="s">
        <v>14</v>
      </c>
      <c r="D38" s="9" t="s">
        <v>54</v>
      </c>
      <c r="E38" s="9" t="s">
        <v>94</v>
      </c>
      <c r="F38" s="9" t="s">
        <v>195</v>
      </c>
      <c r="G38" s="9" t="s">
        <v>114</v>
      </c>
      <c r="H38" s="9" t="s">
        <v>170</v>
      </c>
      <c r="I38" s="6" t="s">
        <v>196</v>
      </c>
      <c r="J38" s="9">
        <v>1</v>
      </c>
      <c r="K38" s="9"/>
    </row>
    <row r="39" spans="1:11" x14ac:dyDescent="0.25">
      <c r="A39" s="1"/>
      <c r="B39" s="7">
        <f>ROW(B39) - ROW($B$2)</f>
        <v>37</v>
      </c>
      <c r="C39" s="10" t="s">
        <v>15</v>
      </c>
      <c r="D39" s="6" t="s">
        <v>55</v>
      </c>
      <c r="E39" s="6" t="s">
        <v>93</v>
      </c>
      <c r="F39" s="9" t="s">
        <v>195</v>
      </c>
      <c r="G39" s="6" t="s">
        <v>148</v>
      </c>
      <c r="H39" s="6" t="s">
        <v>171</v>
      </c>
      <c r="I39" s="6" t="s">
        <v>196</v>
      </c>
      <c r="J39" s="6">
        <v>3</v>
      </c>
      <c r="K39" s="6"/>
    </row>
    <row r="40" spans="1:11" x14ac:dyDescent="0.25">
      <c r="A40" s="1"/>
      <c r="B40" s="8">
        <f t="shared" si="0"/>
        <v>38</v>
      </c>
      <c r="C40" s="11" t="s">
        <v>16</v>
      </c>
      <c r="D40" s="9" t="s">
        <v>56</v>
      </c>
      <c r="E40" s="9" t="s">
        <v>95</v>
      </c>
      <c r="F40" s="9" t="s">
        <v>115</v>
      </c>
      <c r="G40" s="9" t="s">
        <v>149</v>
      </c>
      <c r="H40" s="9" t="s">
        <v>172</v>
      </c>
      <c r="I40" s="6" t="s">
        <v>196</v>
      </c>
      <c r="J40" s="9">
        <v>1</v>
      </c>
      <c r="K40" s="9"/>
    </row>
    <row r="41" spans="1:11" ht="24" x14ac:dyDescent="0.25">
      <c r="A41" s="1"/>
      <c r="B41" s="7">
        <f>ROW(B41) - ROW($B$2)</f>
        <v>39</v>
      </c>
      <c r="C41" s="10" t="s">
        <v>17</v>
      </c>
      <c r="D41" s="6" t="s">
        <v>57</v>
      </c>
      <c r="E41" s="6" t="s">
        <v>96</v>
      </c>
      <c r="F41" s="6" t="s">
        <v>116</v>
      </c>
      <c r="G41" s="6" t="s">
        <v>150</v>
      </c>
      <c r="H41" s="6" t="s">
        <v>173</v>
      </c>
      <c r="I41" s="6" t="s">
        <v>196</v>
      </c>
      <c r="J41" s="6">
        <v>1</v>
      </c>
      <c r="K41" s="6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2025-07-17T08:56:51Z</dcterms:modified>
</cp:coreProperties>
</file>