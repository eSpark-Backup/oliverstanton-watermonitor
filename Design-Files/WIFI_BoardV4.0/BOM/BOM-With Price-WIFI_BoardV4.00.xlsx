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WIFI_BoardV4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O40" i="1" l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7" i="1"/>
  <c r="O6" i="1"/>
  <c r="O5" i="1"/>
  <c r="O4" i="1"/>
  <c r="Q41" i="1" l="1"/>
  <c r="Q42" i="1" s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/>
  <c r="M6" i="1"/>
  <c r="B6" i="1"/>
  <c r="Q5" i="1"/>
  <c r="M5" i="1"/>
  <c r="B5" i="1"/>
  <c r="Q43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<sst xmlns="http://schemas.openxmlformats.org/spreadsheetml/2006/main" count="407" uniqueCount="286">
  <si>
    <t>#</t>
  </si>
  <si>
    <t xml:space="preserve">Total Component Cost </t>
  </si>
  <si>
    <t>Single Board Cost</t>
  </si>
  <si>
    <t>Item Type</t>
  </si>
  <si>
    <t>Capacitor</t>
  </si>
  <si>
    <t>Capacitors</t>
  </si>
  <si>
    <t>Protection Device</t>
  </si>
  <si>
    <t>Diode</t>
  </si>
  <si>
    <t>Connector</t>
  </si>
  <si>
    <t>USB Connector</t>
  </si>
  <si>
    <t>FPC Connector</t>
  </si>
  <si>
    <t>Wire To Board Connector</t>
  </si>
  <si>
    <t>Mosfet</t>
  </si>
  <si>
    <t>Resistor</t>
  </si>
  <si>
    <t>Resistors</t>
  </si>
  <si>
    <t>Switch</t>
  </si>
  <si>
    <t>Encoders</t>
  </si>
  <si>
    <t>Tactile Switch</t>
  </si>
  <si>
    <t>Module</t>
  </si>
  <si>
    <t>IC</t>
  </si>
  <si>
    <t>Designator</t>
  </si>
  <si>
    <t>C1, C6</t>
  </si>
  <si>
    <t>C2</t>
  </si>
  <si>
    <t>C3</t>
  </si>
  <si>
    <t>C4</t>
  </si>
  <si>
    <t>C5, C12, C13, C14</t>
  </si>
  <si>
    <t>C7</t>
  </si>
  <si>
    <t>C8, C10</t>
  </si>
  <si>
    <t>C9</t>
  </si>
  <si>
    <t>C11</t>
  </si>
  <si>
    <t>C15</t>
  </si>
  <si>
    <t>D1, D2, D3</t>
  </si>
  <si>
    <t>D4, D5, D6, D7, D8, D9</t>
  </si>
  <si>
    <t>D10</t>
  </si>
  <si>
    <t>J1</t>
  </si>
  <si>
    <t>J2</t>
  </si>
  <si>
    <t>J3</t>
  </si>
  <si>
    <t>J4</t>
  </si>
  <si>
    <t>Q1</t>
  </si>
  <si>
    <t>Q2</t>
  </si>
  <si>
    <t>Q3</t>
  </si>
  <si>
    <t>Q4</t>
  </si>
  <si>
    <t>R1, R19, R20, R21, R22</t>
  </si>
  <si>
    <t>R2, R3, R12</t>
  </si>
  <si>
    <t>R4, R25</t>
  </si>
  <si>
    <t>R5, R6</t>
  </si>
  <si>
    <t>R7, R8, R9, R10</t>
  </si>
  <si>
    <t>R11</t>
  </si>
  <si>
    <t>R13</t>
  </si>
  <si>
    <t>R14</t>
  </si>
  <si>
    <t>R15</t>
  </si>
  <si>
    <t>R16</t>
  </si>
  <si>
    <t>R17, R18</t>
  </si>
  <si>
    <t>R23</t>
  </si>
  <si>
    <t>R24</t>
  </si>
  <si>
    <t>SW1, SW2</t>
  </si>
  <si>
    <t>SW3</t>
  </si>
  <si>
    <t>SW4, SW5, SW6</t>
  </si>
  <si>
    <t>U1</t>
  </si>
  <si>
    <t>U2</t>
  </si>
  <si>
    <t>Description</t>
  </si>
  <si>
    <t>CAP CER 10000PF 25V X5R 0402</t>
  </si>
  <si>
    <t>47uF 50V 66mA@120Hz ±20% SMD,D6.3xL7.7mm Aluminum Electrolytic Capacitors - SMD ROHS</t>
  </si>
  <si>
    <t>CAP CER 0.1UF 25V X5R 0402</t>
  </si>
  <si>
    <t>CAP CER 22UF 10V X5R 0603</t>
  </si>
  <si>
    <t>CAP CER 1UF 16V X7S 0402</t>
  </si>
  <si>
    <t>22uF 10V 5Ω ±20% 0805 Tantalum Capacitors ROHS</t>
  </si>
  <si>
    <t>CAP CER 0.1UF 16V X7R 0402</t>
  </si>
  <si>
    <t>CAP TANT 10UF 20% 10V 0603</t>
  </si>
  <si>
    <t>CAP CER 0.1UF 50V X5R 0603</t>
  </si>
  <si>
    <t>CAP CER 0.1UF 50V X5R 0402</t>
  </si>
  <si>
    <t>40V 500mV@2A 2A SMA(DO-214AC) Schottky Barrier Diodes (SBD) ROHS</t>
  </si>
  <si>
    <t>5V 10V 3.3V Bi-Directional SOD-882 ESD Protection Devices ROHS</t>
  </si>
  <si>
    <t>DIODE ZENER 3.3V 200MW SOD323F</t>
  </si>
  <si>
    <t>1x6P SH 1 1mm 6 SMD,P=1mm Wire To Board / Wire To Wire Connector ROHS</t>
  </si>
  <si>
    <t>5A 1 16P Female Type-C SMD USB Connectors ROHS</t>
  </si>
  <si>
    <t>Clamshell -25℃~+85℃ 18P Bottom Contact Surface Mount 0.5mm SMD,P=0.5mm FFC/FPC Connectors ROHS</t>
  </si>
  <si>
    <t>1x12P 12P PicoBlade(MX 1.25) Tin 12 -25℃~+85℃ 2A 1 1.25mm Brass Surface Mount,Vertical SMD,P=1.25mm Wire To Board Connector ROHS</t>
  </si>
  <si>
    <t>30V 5.8A 32mΩ@10V,5.8A 1.4W 1.4V@250uA N Channel SOT-23 MOSFETs ROHS</t>
  </si>
  <si>
    <t>30V 4.1A 60mΩ@10V,4.1A 350mW 3V@250uA P Channel SOT-23 MOSFETs ROHS</t>
  </si>
  <si>
    <t>50V 220mA 3.5Ω@10V,220mA 225mW 1.6V@1mA N Channel SOT-23 MOSFETs ROHS</t>
  </si>
  <si>
    <t>TRANS NPN 40V 0.6A SMD SOT23-3</t>
  </si>
  <si>
    <t>RES 10K OHM 1% 1/16W 0402</t>
  </si>
  <si>
    <t>RES 10K OHM 1% 1/10W 0603</t>
  </si>
  <si>
    <t>RES 0 OHM JUMPER 1/10W 0603</t>
  </si>
  <si>
    <t>RES 5.1K OHM 1% 1/10W 0603</t>
  </si>
  <si>
    <t>RES SMD 10 OHM 1% 1/5W 0402</t>
  </si>
  <si>
    <t>RES 470 OHM 1% 1/10W 0603</t>
  </si>
  <si>
    <t>RES 100 OHM 1% 1/16W 0402</t>
  </si>
  <si>
    <t>RES 0 OHM JUMPER 1/16W 0402</t>
  </si>
  <si>
    <t>RES 1K OHM 5% 1/16W 0402</t>
  </si>
  <si>
    <t>RES 4.7K OHM 1% 1/16W 0402</t>
  </si>
  <si>
    <t>RES 47K OHM 1% 1/16W 0402</t>
  </si>
  <si>
    <t>RES 15K OHM 1% 1/10W 0603</t>
  </si>
  <si>
    <t>RES 3.3K OHM 0.5% 1/10W 0603</t>
  </si>
  <si>
    <t>SWITCH TACTILE SPST-NO 0.05A 12V</t>
  </si>
  <si>
    <t>ROTARY ENCODER MECHANICAL 24PPR</t>
  </si>
  <si>
    <t>SMD,18x25.5mm WiFi Modules ROHS</t>
  </si>
  <si>
    <t>Footprint</t>
  </si>
  <si>
    <t>Cap-0402</t>
  </si>
  <si>
    <t>RVT1H470M0607</t>
  </si>
  <si>
    <t>Cap-0603</t>
  </si>
  <si>
    <t>Tant-0805</t>
  </si>
  <si>
    <t>Tant-0603</t>
  </si>
  <si>
    <t>SMA</t>
  </si>
  <si>
    <t>SOD-882 Bi Directional</t>
  </si>
  <si>
    <t>SOD323F</t>
  </si>
  <si>
    <t>F0502-B-18-15T-R</t>
  </si>
  <si>
    <t>HC-1.25-12PLT</t>
  </si>
  <si>
    <t>sot-23</t>
  </si>
  <si>
    <t>SOT-23</t>
  </si>
  <si>
    <t>Sot-23</t>
  </si>
  <si>
    <t>Res-0402</t>
  </si>
  <si>
    <t>Res-0603</t>
  </si>
  <si>
    <t>B3U-1000P</t>
  </si>
  <si>
    <t>PEC11R-4215F-N0024</t>
  </si>
  <si>
    <t>41-SMD Module</t>
  </si>
  <si>
    <t>Manufacturer Part Number</t>
  </si>
  <si>
    <t>CC0402KRX5R8BB103</t>
  </si>
  <si>
    <t>CC0402KRX5R8BB104</t>
  </si>
  <si>
    <t>CC0603MRX5R6BB226</t>
  </si>
  <si>
    <t>GRM155C71C105KE11D</t>
  </si>
  <si>
    <t>TCTP1A226M8R</t>
  </si>
  <si>
    <t>CC0402JRX7R7BB104</t>
  </si>
  <si>
    <t>TR8M106M010C2000</t>
  </si>
  <si>
    <t>CC0603KRX5R9BB104</t>
  </si>
  <si>
    <t>C1005X5R1H104K050BB</t>
  </si>
  <si>
    <t>SS24A</t>
  </si>
  <si>
    <t>LESD8D3.3CAT5G</t>
  </si>
  <si>
    <t>MM3Z3V3B</t>
  </si>
  <si>
    <t>C145963</t>
  </si>
  <si>
    <t>TYPE-C-31-M-12</t>
  </si>
  <si>
    <t>AO3400A</t>
  </si>
  <si>
    <t>AO3407</t>
  </si>
  <si>
    <t>BSS138</t>
  </si>
  <si>
    <t>MMBT2222A-7-F</t>
  </si>
  <si>
    <t>RC0402FR-0710KL</t>
  </si>
  <si>
    <t>RC0603JR-070RL</t>
  </si>
  <si>
    <t>RC0603FR-075K1L</t>
  </si>
  <si>
    <t>CRCW040210R0FKEDHP</t>
  </si>
  <si>
    <t>RC0603FR-07470RL</t>
  </si>
  <si>
    <t>RC0402FR-07100RL</t>
  </si>
  <si>
    <t>RC0402FR-070RL</t>
  </si>
  <si>
    <t>RC0402JR-071KL</t>
  </si>
  <si>
    <t>RC0402FR-074K7L</t>
  </si>
  <si>
    <t>RC0402FR-0747KL</t>
  </si>
  <si>
    <t>RC0603FR-0715KL</t>
  </si>
  <si>
    <t>RC0603DR-073K3L</t>
  </si>
  <si>
    <t>TL3300CF160Q</t>
  </si>
  <si>
    <t>ESP32-S3-WROOM-1-N8R2</t>
  </si>
  <si>
    <t>Manufacturer</t>
  </si>
  <si>
    <t>Yageo</t>
  </si>
  <si>
    <t>ROQANG</t>
  </si>
  <si>
    <t>Murata</t>
  </si>
  <si>
    <t>Rohm</t>
  </si>
  <si>
    <t>Vishay Sprague</t>
  </si>
  <si>
    <t>TDK</t>
  </si>
  <si>
    <t>Guangdong Hottech</t>
  </si>
  <si>
    <t>LRC</t>
  </si>
  <si>
    <t>ON Semiconductor / Fairchild</t>
  </si>
  <si>
    <t>BOOMELE</t>
  </si>
  <si>
    <t>Korean Hroparts Elec</t>
  </si>
  <si>
    <t>XFCN</t>
  </si>
  <si>
    <t>HCTL</t>
  </si>
  <si>
    <t>BORN</t>
  </si>
  <si>
    <t>Slkor(SLKORMICRO Elec.)</t>
  </si>
  <si>
    <t>Diodes</t>
  </si>
  <si>
    <t>Vishay Dale</t>
  </si>
  <si>
    <t>Omron</t>
  </si>
  <si>
    <t>Bourns</t>
  </si>
  <si>
    <t>E-Switch</t>
  </si>
  <si>
    <t>Espressif Systems</t>
  </si>
  <si>
    <t>LCSC Part Number</t>
  </si>
  <si>
    <t>C576726</t>
  </si>
  <si>
    <t>C72523</t>
  </si>
  <si>
    <t>C106256</t>
  </si>
  <si>
    <t>C109447</t>
  </si>
  <si>
    <t>C576449</t>
  </si>
  <si>
    <t>C2859526</t>
  </si>
  <si>
    <t>C541464</t>
  </si>
  <si>
    <t>C1952781</t>
  </si>
  <si>
    <t>C110022</t>
  </si>
  <si>
    <t>C2181865</t>
  </si>
  <si>
    <t>C2886579</t>
  </si>
  <si>
    <t>C172409</t>
  </si>
  <si>
    <t>C2978865</t>
  </si>
  <si>
    <t>C165948</t>
  </si>
  <si>
    <t>C2889974</t>
  </si>
  <si>
    <t>C2937190</t>
  </si>
  <si>
    <t>C344010</t>
  </si>
  <si>
    <t>C181093</t>
  </si>
  <si>
    <t>C426569</t>
  </si>
  <si>
    <t>C94515</t>
  </si>
  <si>
    <t>C60490</t>
  </si>
  <si>
    <t>C362180</t>
  </si>
  <si>
    <t>C95177</t>
  </si>
  <si>
    <t>C105580</t>
  </si>
  <si>
    <t>C4013850</t>
  </si>
  <si>
    <t>C114669</t>
  </si>
  <si>
    <t>C106232</t>
  </si>
  <si>
    <t>C106231</t>
  </si>
  <si>
    <t>C105637</t>
  </si>
  <si>
    <t>C105871</t>
  </si>
  <si>
    <t>C93943</t>
  </si>
  <si>
    <t>C114661</t>
  </si>
  <si>
    <t>C723574</t>
  </si>
  <si>
    <t>C231329</t>
  </si>
  <si>
    <t>C273516</t>
  </si>
  <si>
    <t>C2913204</t>
  </si>
  <si>
    <t>0.01uF</t>
  </si>
  <si>
    <t>47uF</t>
  </si>
  <si>
    <t>100nF</t>
  </si>
  <si>
    <t>22uF</t>
  </si>
  <si>
    <t>1uF</t>
  </si>
  <si>
    <t>0.1uF</t>
  </si>
  <si>
    <t>10uF</t>
  </si>
  <si>
    <t>10K</t>
  </si>
  <si>
    <t>0R</t>
  </si>
  <si>
    <t>5.1K</t>
  </si>
  <si>
    <t>10R</t>
  </si>
  <si>
    <t>470R</t>
  </si>
  <si>
    <t>100R</t>
  </si>
  <si>
    <t>1K</t>
  </si>
  <si>
    <t>4.7K</t>
  </si>
  <si>
    <t>47K</t>
  </si>
  <si>
    <t>15K</t>
  </si>
  <si>
    <t>3.3K</t>
  </si>
  <si>
    <t>Quantity</t>
  </si>
  <si>
    <t>Alternate Part Number</t>
  </si>
  <si>
    <t>Value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</si>
  <si>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</si>
  <si>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</si>
  <si>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</si>
  <si>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</si>
  <si>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</si>
  <si>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</si>
  <si>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Custom</t>
  </si>
  <si>
    <t>-</t>
  </si>
  <si>
    <t>RK73G1JTTD1002F</t>
  </si>
  <si>
    <t>KOA Speer Elec</t>
  </si>
  <si>
    <t>20</t>
  </si>
  <si>
    <t>100</t>
  </si>
  <si>
    <t>10</t>
  </si>
  <si>
    <t>5</t>
  </si>
  <si>
    <t>50</t>
  </si>
  <si>
    <t>12</t>
  </si>
  <si>
    <t>15</t>
  </si>
  <si>
    <t>0.0265</t>
  </si>
  <si>
    <t>0.0020</t>
  </si>
  <si>
    <t>0.0393</t>
  </si>
  <si>
    <t>0.0332</t>
  </si>
  <si>
    <t>0.1317</t>
  </si>
  <si>
    <t>0.0018</t>
  </si>
  <si>
    <t>3.2443</t>
  </si>
  <si>
    <t>0.0034</t>
  </si>
  <si>
    <t>0.0985</t>
  </si>
  <si>
    <t>0.0210</t>
  </si>
  <si>
    <t>0.0088</t>
  </si>
  <si>
    <t>0.0448</t>
  </si>
  <si>
    <t>0.0717</t>
  </si>
  <si>
    <t>0.1738</t>
  </si>
  <si>
    <t>0.0391</t>
  </si>
  <si>
    <t>0.1706</t>
  </si>
  <si>
    <t>0.0517</t>
  </si>
  <si>
    <t>0.0274</t>
  </si>
  <si>
    <t>0.0170</t>
  </si>
  <si>
    <t>0.0275</t>
  </si>
  <si>
    <t>0.0006</t>
  </si>
  <si>
    <t>0.0287</t>
  </si>
  <si>
    <t>0.0011</t>
  </si>
  <si>
    <t>0.0012</t>
  </si>
  <si>
    <t>0.0185</t>
  </si>
  <si>
    <t>0.0007</t>
  </si>
  <si>
    <t>0.0053</t>
  </si>
  <si>
    <t>0.1555</t>
  </si>
  <si>
    <t>1.3376</t>
  </si>
  <si>
    <t>0.6953</t>
  </si>
  <si>
    <t>5.4071</t>
  </si>
  <si>
    <t>Digikey</t>
  </si>
  <si>
    <t>LCSC</t>
  </si>
  <si>
    <t>C143791</t>
  </si>
  <si>
    <t>55dB@(120Hz) 1A Fixed 3.3V Positive 10V SOT-223-5 Voltage Regulators - Linear, Low Drop Out (LDO) Regulators ROHS</t>
  </si>
  <si>
    <t>SOT-223-5</t>
  </si>
  <si>
    <t>LP38692MPX-3.3/NOPB</t>
  </si>
  <si>
    <t>TI</t>
  </si>
  <si>
    <t>C2866079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</si>
</sst>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2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164" fontId="5" fillId="2" borderId="10" xfId="0" applyNumberFormat="1" applyFont="1" applyFill="1" applyBorder="1" applyAlignment="1">
      <alignment horizontal="center" vertical="center" wrapText="1"/>
    </xf>
    <xf numFmtId="164" fontId="5" fillId="2" borderId="11" xfId="0" applyNumberFormat="1" applyFont="1" applyFill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/>
    </xf>
    <xf numFmtId="0" fontId="10" fillId="2" borderId="13" xfId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12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  <xf numFmtId="0" fontId="9" fillId="0" borderId="14" xfId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55dB@(120Hz)%201A%20Fixed%203.3V%20Positive%2010V%20SOT-223-5%20Voltage%20Regulators%20-%20Linear,%20Low%20Drop%20Out%20(LDO)%20Regulators%20ROHS" TargetMode="External"/><Relationship Id="rId2" Type="http://schemas.openxmlformats.org/officeDocument/2006/relationships/hyperlink" Target="https://lcsc.com/product-detail/Multilayer-Ceramic-Capacitors-MLCC-SMD-SMT_YAGEO-CC0402KRX5R8BB103_C576726.html?s_z=n_C576726" TargetMode="External"/><Relationship Id="rId1" Type="http://schemas.openxmlformats.org/officeDocument/2006/relationships/hyperlink" Target="https://www.digikey.com/en/products/detail/kyocera-avx/TCTP1A226M8R/1209652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Voltage-Regulators-Linear-Low-Drop-Out-LDO-Regulators_TI-LP38692MPX-3-3-NOPB_C2866079.html?s_z=n_LP38692MPX-3.3%252FNO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55"/>
  <sheetViews>
    <sheetView tabSelected="1" topLeftCell="F1" workbookViewId="0">
      <selection activeCell="K1" sqref="K1:R1"/>
    </sheetView>
  </sheetViews>
  <sheetFormatPr defaultRowHeight="15"/>
  <cols>
    <col min="2" max="2" width="3.140625" style="4" customWidth="1"/>
    <col min="3" max="3" width="18" style="4" bestFit="1" customWidth="1"/>
    <col min="4" max="4" width="27.42578125" customWidth="1"/>
    <col min="5" max="5" width="30.85546875" customWidth="1"/>
    <col min="6" max="6" width="18.710937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7.5703125" bestFit="1" customWidth="1"/>
    <col min="16" max="16" width="18.7109375" bestFit="1" customWidth="1"/>
    <col min="17" max="17" width="19.28515625" bestFit="1" customWidth="1"/>
    <col min="18" max="18" width="8.5703125" bestFit="1" customWidth="1"/>
    <col min="20" max="20" width="27" bestFit="1" customWidth="1"/>
  </cols>
  <sheetData>
    <row r="1" spans="1:1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23"/>
      <c r="L1" s="23"/>
      <c r="M1" s="23"/>
      <c r="N1" s="23"/>
      <c r="O1" s="23"/>
      <c r="P1" s="23"/>
      <c r="Q1" s="23"/>
      <c r="R1" s="23"/>
    </row>
    <row r="2" spans="1:18" ht="15.75" thickBot="1">
      <c r="A2" s="1"/>
      <c r="B2" s="5" t="s">
        <v>0</v>
      </c>
      <c r="C2" s="5" t="s">
        <v>3</v>
      </c>
      <c r="D2" s="5" t="s">
        <v>20</v>
      </c>
      <c r="E2" s="5" t="s">
        <v>60</v>
      </c>
      <c r="F2" s="5" t="s">
        <v>98</v>
      </c>
      <c r="G2" s="5" t="s">
        <v>117</v>
      </c>
      <c r="H2" s="5" t="s">
        <v>150</v>
      </c>
      <c r="I2" s="5" t="s">
        <v>228</v>
      </c>
      <c r="J2" s="5" t="s">
        <v>172</v>
      </c>
      <c r="K2" s="5" t="s">
        <v>229</v>
      </c>
      <c r="L2" s="5" t="s">
        <v>227</v>
      </c>
      <c r="M2" s="5" t="s">
        <v>230</v>
      </c>
      <c r="N2" s="5" t="s">
        <v>231</v>
      </c>
      <c r="O2" s="5" t="s">
        <v>232</v>
      </c>
      <c r="P2" s="5" t="s">
        <v>233</v>
      </c>
      <c r="Q2" s="5" t="s">
        <v>234</v>
      </c>
      <c r="R2" s="5" t="s">
        <v>235</v>
      </c>
    </row>
    <row r="3" spans="1:18">
      <c r="A3" s="1"/>
      <c r="B3" s="8">
        <f>ROW(B3) - ROW($B$2)</f>
        <v>1</v>
      </c>
      <c r="C3" s="14" t="s">
        <v>4</v>
      </c>
      <c r="D3" s="6" t="s">
        <v>21</v>
      </c>
      <c r="E3" s="6" t="s">
        <v>61</v>
      </c>
      <c r="F3" s="6" t="s">
        <v>99</v>
      </c>
      <c r="G3" s="6" t="s">
        <v>118</v>
      </c>
      <c r="H3" s="6" t="s">
        <v>151</v>
      </c>
      <c r="I3" s="6"/>
      <c r="J3" s="6" t="s">
        <v>173</v>
      </c>
      <c r="K3" s="6" t="s">
        <v>209</v>
      </c>
      <c r="L3" s="6">
        <v>2</v>
      </c>
      <c r="M3" s="6">
        <f>L3*5</f>
        <v>10</v>
      </c>
      <c r="N3" s="18">
        <v>100</v>
      </c>
      <c r="O3" s="22" t="s">
        <v>279</v>
      </c>
      <c r="P3" s="20">
        <v>1.1999999999999999E-3</v>
      </c>
      <c r="Q3" s="7">
        <f>P3*N3</f>
        <v>0.12</v>
      </c>
      <c r="R3" s="6"/>
    </row>
    <row r="4" spans="1:18" ht="36">
      <c r="A4" s="1"/>
      <c r="B4" s="9">
        <f t="shared" ref="B4:B40" si="0">ROW(B4) - ROW($B$2)</f>
        <v>2</v>
      </c>
      <c r="C4" s="15" t="s">
        <v>4</v>
      </c>
      <c r="D4" s="12" t="s">
        <v>22</v>
      </c>
      <c r="E4" s="12" t="s">
        <v>62</v>
      </c>
      <c r="F4" s="12" t="s">
        <v>236</v>
      </c>
      <c r="G4" s="12" t="s">
        <v>100</v>
      </c>
      <c r="H4" s="12" t="s">
        <v>152</v>
      </c>
      <c r="I4" s="12"/>
      <c r="J4" s="12" t="s">
        <v>174</v>
      </c>
      <c r="K4" s="12" t="s">
        <v>210</v>
      </c>
      <c r="L4" s="12">
        <v>1</v>
      </c>
      <c r="M4" s="12">
        <f t="shared" ref="M4" si="1">L4*5</f>
        <v>5</v>
      </c>
      <c r="N4" s="17" t="s">
        <v>240</v>
      </c>
      <c r="O4" s="21" t="str">
        <f>HYPERLINK(M4, "LCSC")</f>
        <v>LCSC</v>
      </c>
      <c r="P4" s="19" t="s">
        <v>247</v>
      </c>
      <c r="Q4" s="13">
        <f t="shared" ref="Q4" si="2">P4*N4</f>
        <v>0.53</v>
      </c>
      <c r="R4" s="12"/>
    </row>
    <row r="5" spans="1:18">
      <c r="A5" s="1"/>
      <c r="B5" s="8">
        <f>ROW(B5) - ROW($B$2)</f>
        <v>3</v>
      </c>
      <c r="C5" s="14" t="s">
        <v>4</v>
      </c>
      <c r="D5" s="6" t="s">
        <v>23</v>
      </c>
      <c r="E5" s="6" t="s">
        <v>63</v>
      </c>
      <c r="F5" s="6" t="s">
        <v>99</v>
      </c>
      <c r="G5" s="6" t="s">
        <v>119</v>
      </c>
      <c r="H5" s="6" t="s">
        <v>151</v>
      </c>
      <c r="I5" s="6"/>
      <c r="J5" s="6" t="s">
        <v>175</v>
      </c>
      <c r="K5" s="6" t="s">
        <v>211</v>
      </c>
      <c r="L5" s="6">
        <v>1</v>
      </c>
      <c r="M5" s="6">
        <f>L5*5</f>
        <v>5</v>
      </c>
      <c r="N5" s="18" t="s">
        <v>241</v>
      </c>
      <c r="O5" s="21" t="str">
        <f t="shared" ref="O5:O41" si="3">HYPERLINK(M5, "LCSC")</f>
        <v>LCSC</v>
      </c>
      <c r="P5" s="20" t="s">
        <v>248</v>
      </c>
      <c r="Q5" s="7">
        <f>P5*N5</f>
        <v>0.2</v>
      </c>
      <c r="R5" s="6"/>
    </row>
    <row r="6" spans="1:18">
      <c r="A6" s="1"/>
      <c r="B6" s="9">
        <f t="shared" si="0"/>
        <v>4</v>
      </c>
      <c r="C6" s="15" t="s">
        <v>4</v>
      </c>
      <c r="D6" s="12" t="s">
        <v>24</v>
      </c>
      <c r="E6" s="12" t="s">
        <v>64</v>
      </c>
      <c r="F6" s="12" t="s">
        <v>101</v>
      </c>
      <c r="G6" s="12" t="s">
        <v>120</v>
      </c>
      <c r="H6" s="12" t="s">
        <v>151</v>
      </c>
      <c r="I6" s="12"/>
      <c r="J6" s="12" t="s">
        <v>176</v>
      </c>
      <c r="K6" s="12" t="s">
        <v>212</v>
      </c>
      <c r="L6" s="12">
        <v>1</v>
      </c>
      <c r="M6" s="12">
        <f t="shared" ref="M6" si="4">L6*5</f>
        <v>5</v>
      </c>
      <c r="N6" s="17" t="s">
        <v>242</v>
      </c>
      <c r="O6" s="21" t="str">
        <f t="shared" si="3"/>
        <v>LCSC</v>
      </c>
      <c r="P6" s="19" t="s">
        <v>249</v>
      </c>
      <c r="Q6" s="13">
        <f t="shared" ref="Q6" si="5">P6*N6</f>
        <v>0.39300000000000002</v>
      </c>
      <c r="R6" s="12"/>
    </row>
    <row r="7" spans="1:18">
      <c r="A7" s="1"/>
      <c r="B7" s="8">
        <f>ROW(B7) - ROW($B$2)</f>
        <v>5</v>
      </c>
      <c r="C7" s="14" t="s">
        <v>5</v>
      </c>
      <c r="D7" s="6" t="s">
        <v>25</v>
      </c>
      <c r="E7" s="6" t="s">
        <v>65</v>
      </c>
      <c r="F7" s="6" t="s">
        <v>99</v>
      </c>
      <c r="G7" s="6" t="s">
        <v>121</v>
      </c>
      <c r="H7" s="6" t="s">
        <v>153</v>
      </c>
      <c r="I7" s="6"/>
      <c r="J7" s="6" t="s">
        <v>177</v>
      </c>
      <c r="K7" s="6" t="s">
        <v>213</v>
      </c>
      <c r="L7" s="6">
        <v>4</v>
      </c>
      <c r="M7" s="6">
        <f>L7*5</f>
        <v>20</v>
      </c>
      <c r="N7" s="18" t="s">
        <v>240</v>
      </c>
      <c r="O7" s="21" t="str">
        <f t="shared" si="3"/>
        <v>LCSC</v>
      </c>
      <c r="P7" s="20" t="s">
        <v>250</v>
      </c>
      <c r="Q7" s="7">
        <f>P7*N7</f>
        <v>0.66400000000000003</v>
      </c>
      <c r="R7" s="6"/>
    </row>
    <row r="8" spans="1:18" ht="24">
      <c r="A8" s="1"/>
      <c r="B8" s="9">
        <f t="shared" si="0"/>
        <v>6</v>
      </c>
      <c r="C8" s="15" t="s">
        <v>4</v>
      </c>
      <c r="D8" s="12" t="s">
        <v>26</v>
      </c>
      <c r="E8" s="12" t="s">
        <v>66</v>
      </c>
      <c r="F8" s="12" t="s">
        <v>102</v>
      </c>
      <c r="G8" s="12" t="s">
        <v>122</v>
      </c>
      <c r="H8" s="12" t="s">
        <v>154</v>
      </c>
      <c r="I8" s="12"/>
      <c r="J8" s="12" t="s">
        <v>178</v>
      </c>
      <c r="K8" s="12" t="s">
        <v>212</v>
      </c>
      <c r="L8" s="12">
        <v>1</v>
      </c>
      <c r="M8" s="12">
        <f t="shared" ref="M8" si="6">L8*5</f>
        <v>5</v>
      </c>
      <c r="N8" s="17">
        <v>6</v>
      </c>
      <c r="O8" s="21" t="s">
        <v>278</v>
      </c>
      <c r="P8" s="19" t="s">
        <v>251</v>
      </c>
      <c r="Q8" s="13">
        <f t="shared" ref="Q8" si="7">P8*N8</f>
        <v>0.79020000000000001</v>
      </c>
      <c r="R8" s="12"/>
    </row>
    <row r="9" spans="1:18">
      <c r="A9" s="1"/>
      <c r="B9" s="8">
        <f>ROW(B9) - ROW($B$2)</f>
        <v>7</v>
      </c>
      <c r="C9" s="14" t="s">
        <v>4</v>
      </c>
      <c r="D9" s="6" t="s">
        <v>27</v>
      </c>
      <c r="E9" s="6" t="s">
        <v>67</v>
      </c>
      <c r="F9" s="6" t="s">
        <v>99</v>
      </c>
      <c r="G9" s="6" t="s">
        <v>123</v>
      </c>
      <c r="H9" s="6" t="s">
        <v>151</v>
      </c>
      <c r="I9" s="6"/>
      <c r="J9" s="6" t="s">
        <v>179</v>
      </c>
      <c r="K9" s="6" t="s">
        <v>214</v>
      </c>
      <c r="L9" s="6">
        <v>2</v>
      </c>
      <c r="M9" s="6">
        <f>L9*5</f>
        <v>10</v>
      </c>
      <c r="N9" s="18" t="s">
        <v>241</v>
      </c>
      <c r="O9" s="21" t="str">
        <f t="shared" si="3"/>
        <v>LCSC</v>
      </c>
      <c r="P9" s="20" t="s">
        <v>252</v>
      </c>
      <c r="Q9" s="7">
        <f>P9*N9</f>
        <v>0.18</v>
      </c>
      <c r="R9" s="6"/>
    </row>
    <row r="10" spans="1:18">
      <c r="A10" s="1"/>
      <c r="B10" s="9">
        <f t="shared" si="0"/>
        <v>8</v>
      </c>
      <c r="C10" s="15" t="s">
        <v>4</v>
      </c>
      <c r="D10" s="12" t="s">
        <v>28</v>
      </c>
      <c r="E10" s="12" t="s">
        <v>68</v>
      </c>
      <c r="F10" s="12" t="s">
        <v>103</v>
      </c>
      <c r="G10" s="12" t="s">
        <v>124</v>
      </c>
      <c r="H10" s="12" t="s">
        <v>155</v>
      </c>
      <c r="I10" s="12"/>
      <c r="J10" s="12" t="s">
        <v>180</v>
      </c>
      <c r="K10" s="12" t="s">
        <v>215</v>
      </c>
      <c r="L10" s="12">
        <v>1</v>
      </c>
      <c r="M10" s="12">
        <f t="shared" ref="M10" si="8">L10*5</f>
        <v>5</v>
      </c>
      <c r="N10" s="17" t="s">
        <v>243</v>
      </c>
      <c r="O10" s="21" t="str">
        <f t="shared" si="3"/>
        <v>LCSC</v>
      </c>
      <c r="P10" s="19" t="s">
        <v>253</v>
      </c>
      <c r="Q10" s="13">
        <f t="shared" ref="Q10" si="9">P10*N10</f>
        <v>16.221499999999999</v>
      </c>
      <c r="R10" s="12"/>
    </row>
    <row r="11" spans="1:18">
      <c r="A11" s="1"/>
      <c r="B11" s="8">
        <f>ROW(B11) - ROW($B$2)</f>
        <v>9</v>
      </c>
      <c r="C11" s="14" t="s">
        <v>4</v>
      </c>
      <c r="D11" s="6" t="s">
        <v>29</v>
      </c>
      <c r="E11" s="6" t="s">
        <v>69</v>
      </c>
      <c r="F11" s="6" t="s">
        <v>101</v>
      </c>
      <c r="G11" s="6" t="s">
        <v>125</v>
      </c>
      <c r="H11" s="6" t="s">
        <v>151</v>
      </c>
      <c r="I11" s="6"/>
      <c r="J11" s="6" t="s">
        <v>181</v>
      </c>
      <c r="K11" s="6" t="s">
        <v>211</v>
      </c>
      <c r="L11" s="6">
        <v>1</v>
      </c>
      <c r="M11" s="6">
        <f>L11*5</f>
        <v>5</v>
      </c>
      <c r="N11" s="18" t="s">
        <v>241</v>
      </c>
      <c r="O11" s="21" t="str">
        <f t="shared" si="3"/>
        <v>LCSC</v>
      </c>
      <c r="P11" s="20" t="s">
        <v>254</v>
      </c>
      <c r="Q11" s="7">
        <f>P11*N11</f>
        <v>0.33999999999999997</v>
      </c>
      <c r="R11" s="6"/>
    </row>
    <row r="12" spans="1:18">
      <c r="A12" s="1"/>
      <c r="B12" s="9">
        <f t="shared" si="0"/>
        <v>10</v>
      </c>
      <c r="C12" s="15" t="s">
        <v>4</v>
      </c>
      <c r="D12" s="12" t="s">
        <v>30</v>
      </c>
      <c r="E12" s="12" t="s">
        <v>70</v>
      </c>
      <c r="F12" s="12" t="s">
        <v>99</v>
      </c>
      <c r="G12" s="12" t="s">
        <v>126</v>
      </c>
      <c r="H12" s="12" t="s">
        <v>156</v>
      </c>
      <c r="I12" s="12"/>
      <c r="J12" s="12" t="s">
        <v>182</v>
      </c>
      <c r="K12" s="12" t="s">
        <v>214</v>
      </c>
      <c r="L12" s="12">
        <v>1</v>
      </c>
      <c r="M12" s="12">
        <f t="shared" ref="M12" si="10">L12*5</f>
        <v>5</v>
      </c>
      <c r="N12" s="17" t="s">
        <v>243</v>
      </c>
      <c r="O12" s="21" t="str">
        <f t="shared" si="3"/>
        <v>LCSC</v>
      </c>
      <c r="P12" s="19" t="s">
        <v>255</v>
      </c>
      <c r="Q12" s="13">
        <f t="shared" ref="Q12" si="11">P12*N12</f>
        <v>0.49250000000000005</v>
      </c>
      <c r="R12" s="12"/>
    </row>
    <row r="13" spans="1:18" ht="24">
      <c r="A13" s="1"/>
      <c r="B13" s="8">
        <f>ROW(B13) - ROW($B$2)</f>
        <v>11</v>
      </c>
      <c r="C13" s="14" t="s">
        <v>7</v>
      </c>
      <c r="D13" s="6" t="s">
        <v>31</v>
      </c>
      <c r="E13" s="6" t="s">
        <v>71</v>
      </c>
      <c r="F13" s="6" t="s">
        <v>104</v>
      </c>
      <c r="G13" s="6" t="s">
        <v>127</v>
      </c>
      <c r="H13" s="6" t="s">
        <v>157</v>
      </c>
      <c r="I13" s="6"/>
      <c r="J13" s="6" t="s">
        <v>183</v>
      </c>
      <c r="K13" s="6" t="s">
        <v>237</v>
      </c>
      <c r="L13" s="6">
        <v>3</v>
      </c>
      <c r="M13" s="6">
        <f>L13*5</f>
        <v>15</v>
      </c>
      <c r="N13" s="18" t="s">
        <v>240</v>
      </c>
      <c r="O13" s="21" t="str">
        <f t="shared" si="3"/>
        <v>LCSC</v>
      </c>
      <c r="P13" s="20" t="s">
        <v>256</v>
      </c>
      <c r="Q13" s="7">
        <f>P13*N13</f>
        <v>0.42000000000000004</v>
      </c>
      <c r="R13" s="6"/>
    </row>
    <row r="14" spans="1:18" ht="24">
      <c r="A14" s="1"/>
      <c r="B14" s="9">
        <f t="shared" si="0"/>
        <v>12</v>
      </c>
      <c r="C14" s="15" t="s">
        <v>6</v>
      </c>
      <c r="D14" s="12" t="s">
        <v>32</v>
      </c>
      <c r="E14" s="12" t="s">
        <v>72</v>
      </c>
      <c r="F14" s="12" t="s">
        <v>105</v>
      </c>
      <c r="G14" s="12" t="s">
        <v>128</v>
      </c>
      <c r="H14" s="12" t="s">
        <v>158</v>
      </c>
      <c r="I14" s="12"/>
      <c r="J14" s="12" t="s">
        <v>184</v>
      </c>
      <c r="K14" s="6" t="s">
        <v>237</v>
      </c>
      <c r="L14" s="12">
        <v>6</v>
      </c>
      <c r="M14" s="12">
        <f t="shared" ref="M14" si="12">L14*5</f>
        <v>30</v>
      </c>
      <c r="N14" s="17" t="s">
        <v>244</v>
      </c>
      <c r="O14" s="21" t="str">
        <f t="shared" si="3"/>
        <v>LCSC</v>
      </c>
      <c r="P14" s="19" t="s">
        <v>257</v>
      </c>
      <c r="Q14" s="13">
        <f t="shared" ref="Q14" si="13">P14*N14</f>
        <v>0.44</v>
      </c>
      <c r="R14" s="12"/>
    </row>
    <row r="15" spans="1:18" ht="24">
      <c r="A15" s="1"/>
      <c r="B15" s="8">
        <f>ROW(B15) - ROW($B$2)</f>
        <v>13</v>
      </c>
      <c r="C15" s="14" t="s">
        <v>7</v>
      </c>
      <c r="D15" s="6" t="s">
        <v>33</v>
      </c>
      <c r="E15" s="6" t="s">
        <v>73</v>
      </c>
      <c r="F15" s="6" t="s">
        <v>106</v>
      </c>
      <c r="G15" s="6" t="s">
        <v>129</v>
      </c>
      <c r="H15" s="6" t="s">
        <v>159</v>
      </c>
      <c r="I15" s="6"/>
      <c r="J15" s="6" t="s">
        <v>185</v>
      </c>
      <c r="K15" s="6" t="s">
        <v>237</v>
      </c>
      <c r="L15" s="6">
        <v>1</v>
      </c>
      <c r="M15" s="6">
        <f>L15*5</f>
        <v>5</v>
      </c>
      <c r="N15" s="18" t="s">
        <v>242</v>
      </c>
      <c r="O15" s="21" t="str">
        <f t="shared" si="3"/>
        <v>LCSC</v>
      </c>
      <c r="P15" s="20" t="s">
        <v>258</v>
      </c>
      <c r="Q15" s="7">
        <f>P15*N15</f>
        <v>0.44800000000000001</v>
      </c>
      <c r="R15" s="6"/>
    </row>
    <row r="16" spans="1:18" ht="24">
      <c r="A16" s="1"/>
      <c r="B16" s="9">
        <f t="shared" si="0"/>
        <v>14</v>
      </c>
      <c r="C16" s="15" t="s">
        <v>8</v>
      </c>
      <c r="D16" s="12" t="s">
        <v>34</v>
      </c>
      <c r="E16" s="12" t="s">
        <v>74</v>
      </c>
      <c r="F16" s="12" t="s">
        <v>236</v>
      </c>
      <c r="G16" s="12" t="s">
        <v>130</v>
      </c>
      <c r="H16" s="12" t="s">
        <v>160</v>
      </c>
      <c r="I16" s="12"/>
      <c r="J16" s="12" t="s">
        <v>130</v>
      </c>
      <c r="K16" s="6" t="s">
        <v>237</v>
      </c>
      <c r="L16" s="12">
        <v>1</v>
      </c>
      <c r="M16" s="12">
        <f t="shared" ref="M16" si="14">L16*5</f>
        <v>5</v>
      </c>
      <c r="N16" s="17" t="s">
        <v>245</v>
      </c>
      <c r="O16" s="21" t="str">
        <f t="shared" si="3"/>
        <v>LCSC</v>
      </c>
      <c r="P16" s="19" t="s">
        <v>259</v>
      </c>
      <c r="Q16" s="13">
        <f t="shared" ref="Q16" si="15">P16*N16</f>
        <v>0.86040000000000005</v>
      </c>
      <c r="R16" s="12"/>
    </row>
    <row r="17" spans="1:18" ht="24">
      <c r="A17" s="1"/>
      <c r="B17" s="8">
        <f>ROW(B17) - ROW($B$2)</f>
        <v>15</v>
      </c>
      <c r="C17" s="14" t="s">
        <v>9</v>
      </c>
      <c r="D17" s="6" t="s">
        <v>35</v>
      </c>
      <c r="E17" s="6" t="s">
        <v>75</v>
      </c>
      <c r="F17" s="12" t="s">
        <v>236</v>
      </c>
      <c r="G17" s="6" t="s">
        <v>131</v>
      </c>
      <c r="H17" s="6" t="s">
        <v>161</v>
      </c>
      <c r="I17" s="6"/>
      <c r="J17" s="6" t="s">
        <v>186</v>
      </c>
      <c r="K17" s="6" t="s">
        <v>237</v>
      </c>
      <c r="L17" s="6">
        <v>1</v>
      </c>
      <c r="M17" s="6">
        <f>L17*5</f>
        <v>5</v>
      </c>
      <c r="N17" s="18" t="s">
        <v>243</v>
      </c>
      <c r="O17" s="21" t="str">
        <f t="shared" si="3"/>
        <v>LCSC</v>
      </c>
      <c r="P17" s="20" t="s">
        <v>260</v>
      </c>
      <c r="Q17" s="7">
        <f>P17*N17</f>
        <v>0.86899999999999999</v>
      </c>
      <c r="R17" s="6"/>
    </row>
    <row r="18" spans="1:18" ht="48">
      <c r="A18" s="1"/>
      <c r="B18" s="9">
        <f t="shared" si="0"/>
        <v>16</v>
      </c>
      <c r="C18" s="15" t="s">
        <v>10</v>
      </c>
      <c r="D18" s="12" t="s">
        <v>36</v>
      </c>
      <c r="E18" s="12" t="s">
        <v>76</v>
      </c>
      <c r="F18" s="12" t="s">
        <v>236</v>
      </c>
      <c r="G18" s="12" t="s">
        <v>107</v>
      </c>
      <c r="H18" s="12" t="s">
        <v>162</v>
      </c>
      <c r="I18" s="12"/>
      <c r="J18" s="12" t="s">
        <v>187</v>
      </c>
      <c r="K18" s="6" t="s">
        <v>237</v>
      </c>
      <c r="L18" s="12">
        <v>1</v>
      </c>
      <c r="M18" s="12">
        <f t="shared" ref="M18" si="16">L18*5</f>
        <v>5</v>
      </c>
      <c r="N18" s="17" t="s">
        <v>243</v>
      </c>
      <c r="O18" s="21" t="str">
        <f t="shared" si="3"/>
        <v>LCSC</v>
      </c>
      <c r="P18" s="19" t="s">
        <v>261</v>
      </c>
      <c r="Q18" s="13">
        <f t="shared" ref="Q18" si="17">P18*N18</f>
        <v>0.19550000000000001</v>
      </c>
      <c r="R18" s="12"/>
    </row>
    <row r="19" spans="1:18" ht="48">
      <c r="A19" s="1"/>
      <c r="B19" s="8">
        <f>ROW(B19) - ROW($B$2)</f>
        <v>17</v>
      </c>
      <c r="C19" s="14" t="s">
        <v>11</v>
      </c>
      <c r="D19" s="6" t="s">
        <v>37</v>
      </c>
      <c r="E19" s="6" t="s">
        <v>77</v>
      </c>
      <c r="F19" s="12" t="s">
        <v>236</v>
      </c>
      <c r="G19" s="6" t="s">
        <v>108</v>
      </c>
      <c r="H19" s="6" t="s">
        <v>163</v>
      </c>
      <c r="I19" s="6"/>
      <c r="J19" s="6" t="s">
        <v>188</v>
      </c>
      <c r="K19" s="6" t="s">
        <v>237</v>
      </c>
      <c r="L19" s="6">
        <v>1</v>
      </c>
      <c r="M19" s="6">
        <f>L19*5</f>
        <v>5</v>
      </c>
      <c r="N19" s="18" t="s">
        <v>243</v>
      </c>
      <c r="O19" s="21" t="str">
        <f t="shared" si="3"/>
        <v>LCSC</v>
      </c>
      <c r="P19" s="20" t="s">
        <v>262</v>
      </c>
      <c r="Q19" s="7">
        <f>P19*N19</f>
        <v>0.85299999999999998</v>
      </c>
      <c r="R19" s="6"/>
    </row>
    <row r="20" spans="1:18" ht="36">
      <c r="A20" s="1"/>
      <c r="B20" s="9">
        <f t="shared" si="0"/>
        <v>18</v>
      </c>
      <c r="C20" s="15" t="s">
        <v>12</v>
      </c>
      <c r="D20" s="12" t="s">
        <v>38</v>
      </c>
      <c r="E20" s="12" t="s">
        <v>78</v>
      </c>
      <c r="F20" s="12" t="s">
        <v>109</v>
      </c>
      <c r="G20" s="12" t="s">
        <v>132</v>
      </c>
      <c r="H20" s="12" t="s">
        <v>164</v>
      </c>
      <c r="I20" s="12"/>
      <c r="J20" s="12" t="s">
        <v>189</v>
      </c>
      <c r="K20" s="6" t="s">
        <v>237</v>
      </c>
      <c r="L20" s="12">
        <v>1</v>
      </c>
      <c r="M20" s="12">
        <f t="shared" ref="M20" si="18">L20*5</f>
        <v>5</v>
      </c>
      <c r="N20" s="17" t="s">
        <v>242</v>
      </c>
      <c r="O20" s="21" t="str">
        <f t="shared" si="3"/>
        <v>LCSC</v>
      </c>
      <c r="P20" s="19" t="s">
        <v>263</v>
      </c>
      <c r="Q20" s="13">
        <f t="shared" ref="Q20" si="19">P20*N20</f>
        <v>0.51700000000000002</v>
      </c>
      <c r="R20" s="12"/>
    </row>
    <row r="21" spans="1:18" ht="36">
      <c r="A21" s="1"/>
      <c r="B21" s="8">
        <f>ROW(B21) - ROW($B$2)</f>
        <v>19</v>
      </c>
      <c r="C21" s="14" t="s">
        <v>12</v>
      </c>
      <c r="D21" s="6" t="s">
        <v>39</v>
      </c>
      <c r="E21" s="6" t="s">
        <v>79</v>
      </c>
      <c r="F21" s="6" t="s">
        <v>110</v>
      </c>
      <c r="G21" s="6" t="s">
        <v>133</v>
      </c>
      <c r="H21" s="6" t="s">
        <v>157</v>
      </c>
      <c r="I21" s="6"/>
      <c r="J21" s="6" t="s">
        <v>190</v>
      </c>
      <c r="K21" s="6" t="s">
        <v>237</v>
      </c>
      <c r="L21" s="6">
        <v>1</v>
      </c>
      <c r="M21" s="6">
        <f>L21*5</f>
        <v>5</v>
      </c>
      <c r="N21" s="18" t="s">
        <v>240</v>
      </c>
      <c r="O21" s="21" t="str">
        <f t="shared" si="3"/>
        <v>LCSC</v>
      </c>
      <c r="P21" s="20" t="s">
        <v>264</v>
      </c>
      <c r="Q21" s="7">
        <f>P21*N21</f>
        <v>0.54800000000000004</v>
      </c>
      <c r="R21" s="6"/>
    </row>
    <row r="22" spans="1:18" ht="36">
      <c r="A22" s="1"/>
      <c r="B22" s="9">
        <f t="shared" si="0"/>
        <v>20</v>
      </c>
      <c r="C22" s="15" t="s">
        <v>12</v>
      </c>
      <c r="D22" s="12" t="s">
        <v>40</v>
      </c>
      <c r="E22" s="12" t="s">
        <v>80</v>
      </c>
      <c r="F22" s="12" t="s">
        <v>111</v>
      </c>
      <c r="G22" s="12" t="s">
        <v>134</v>
      </c>
      <c r="H22" s="12" t="s">
        <v>165</v>
      </c>
      <c r="I22" s="12"/>
      <c r="J22" s="12" t="s">
        <v>191</v>
      </c>
      <c r="K22" s="6" t="s">
        <v>237</v>
      </c>
      <c r="L22" s="12">
        <v>1</v>
      </c>
      <c r="M22" s="12">
        <f t="shared" ref="M22" si="20">L22*5</f>
        <v>5</v>
      </c>
      <c r="N22" s="17" t="s">
        <v>244</v>
      </c>
      <c r="O22" s="21" t="str">
        <f t="shared" si="3"/>
        <v>LCSC</v>
      </c>
      <c r="P22" s="19" t="s">
        <v>265</v>
      </c>
      <c r="Q22" s="13">
        <f t="shared" ref="Q22" si="21">P22*N22</f>
        <v>0.85000000000000009</v>
      </c>
      <c r="R22" s="12"/>
    </row>
    <row r="23" spans="1:18">
      <c r="A23" s="1"/>
      <c r="B23" s="8">
        <f>ROW(B23) - ROW($B$2)</f>
        <v>21</v>
      </c>
      <c r="C23" s="14" t="s">
        <v>12</v>
      </c>
      <c r="D23" s="6" t="s">
        <v>41</v>
      </c>
      <c r="E23" s="6" t="s">
        <v>81</v>
      </c>
      <c r="F23" s="6" t="s">
        <v>110</v>
      </c>
      <c r="G23" s="6" t="s">
        <v>135</v>
      </c>
      <c r="H23" s="6" t="s">
        <v>166</v>
      </c>
      <c r="I23" s="6"/>
      <c r="J23" s="6" t="s">
        <v>192</v>
      </c>
      <c r="K23" s="6" t="s">
        <v>237</v>
      </c>
      <c r="L23" s="6">
        <v>1</v>
      </c>
      <c r="M23" s="6">
        <f>L23*5</f>
        <v>5</v>
      </c>
      <c r="N23" s="18" t="s">
        <v>240</v>
      </c>
      <c r="O23" s="21" t="str">
        <f t="shared" si="3"/>
        <v>LCSC</v>
      </c>
      <c r="P23" s="20" t="s">
        <v>266</v>
      </c>
      <c r="Q23" s="7">
        <f>P23*N23</f>
        <v>0.55000000000000004</v>
      </c>
      <c r="R23" s="6"/>
    </row>
    <row r="24" spans="1:18">
      <c r="A24" s="1"/>
      <c r="B24" s="9">
        <f t="shared" si="0"/>
        <v>22</v>
      </c>
      <c r="C24" s="15" t="s">
        <v>13</v>
      </c>
      <c r="D24" s="12" t="s">
        <v>42</v>
      </c>
      <c r="E24" s="12" t="s">
        <v>82</v>
      </c>
      <c r="F24" s="12" t="s">
        <v>112</v>
      </c>
      <c r="G24" s="12" t="s">
        <v>136</v>
      </c>
      <c r="H24" s="12" t="s">
        <v>151</v>
      </c>
      <c r="I24" s="12"/>
      <c r="J24" s="12" t="s">
        <v>193</v>
      </c>
      <c r="K24" s="12" t="s">
        <v>216</v>
      </c>
      <c r="L24" s="12">
        <v>5</v>
      </c>
      <c r="M24" s="12">
        <f t="shared" ref="M24" si="22">L24*5</f>
        <v>25</v>
      </c>
      <c r="N24" s="17" t="s">
        <v>241</v>
      </c>
      <c r="O24" s="21" t="str">
        <f t="shared" si="3"/>
        <v>LCSC</v>
      </c>
      <c r="P24" s="19" t="s">
        <v>267</v>
      </c>
      <c r="Q24" s="13">
        <f t="shared" ref="Q24" si="23">P24*N24</f>
        <v>0.06</v>
      </c>
      <c r="R24" s="12"/>
    </row>
    <row r="25" spans="1:18">
      <c r="A25" s="1"/>
      <c r="B25" s="8">
        <f>ROW(B25) - ROW($B$2)</f>
        <v>23</v>
      </c>
      <c r="C25" s="14" t="s">
        <v>13</v>
      </c>
      <c r="D25" s="6" t="s">
        <v>43</v>
      </c>
      <c r="E25" s="6" t="s">
        <v>83</v>
      </c>
      <c r="F25" s="6" t="s">
        <v>113</v>
      </c>
      <c r="G25" s="12" t="s">
        <v>238</v>
      </c>
      <c r="H25" s="12" t="s">
        <v>239</v>
      </c>
      <c r="I25" s="6"/>
      <c r="J25" s="6" t="s">
        <v>194</v>
      </c>
      <c r="K25" s="6" t="s">
        <v>216</v>
      </c>
      <c r="L25" s="6">
        <v>3</v>
      </c>
      <c r="M25" s="6">
        <f>L25*5</f>
        <v>15</v>
      </c>
      <c r="N25" s="18" t="s">
        <v>240</v>
      </c>
      <c r="O25" s="21" t="str">
        <f t="shared" si="3"/>
        <v>LCSC</v>
      </c>
      <c r="P25" s="20" t="s">
        <v>268</v>
      </c>
      <c r="Q25" s="7">
        <f>P25*N25</f>
        <v>0.57399999999999995</v>
      </c>
      <c r="R25" s="6"/>
    </row>
    <row r="26" spans="1:18">
      <c r="A26" s="1"/>
      <c r="B26" s="9">
        <f t="shared" si="0"/>
        <v>24</v>
      </c>
      <c r="C26" s="15" t="s">
        <v>13</v>
      </c>
      <c r="D26" s="12" t="s">
        <v>44</v>
      </c>
      <c r="E26" s="12" t="s">
        <v>84</v>
      </c>
      <c r="F26" s="12" t="s">
        <v>113</v>
      </c>
      <c r="G26" s="12" t="s">
        <v>137</v>
      </c>
      <c r="H26" s="12" t="s">
        <v>151</v>
      </c>
      <c r="I26" s="12"/>
      <c r="J26" s="12" t="s">
        <v>195</v>
      </c>
      <c r="K26" s="12" t="s">
        <v>217</v>
      </c>
      <c r="L26" s="12">
        <v>2</v>
      </c>
      <c r="M26" s="12">
        <f t="shared" ref="M26" si="24">L26*5</f>
        <v>10</v>
      </c>
      <c r="N26" s="17" t="s">
        <v>241</v>
      </c>
      <c r="O26" s="21" t="str">
        <f t="shared" si="3"/>
        <v>LCSC</v>
      </c>
      <c r="P26" s="19" t="s">
        <v>269</v>
      </c>
      <c r="Q26" s="13">
        <f t="shared" ref="Q26" si="25">P26*N26</f>
        <v>0.11</v>
      </c>
      <c r="R26" s="12"/>
    </row>
    <row r="27" spans="1:18">
      <c r="A27" s="1"/>
      <c r="B27" s="8">
        <f>ROW(B27) - ROW($B$2)</f>
        <v>25</v>
      </c>
      <c r="C27" s="14" t="s">
        <v>13</v>
      </c>
      <c r="D27" s="6" t="s">
        <v>45</v>
      </c>
      <c r="E27" s="6" t="s">
        <v>85</v>
      </c>
      <c r="F27" s="6" t="s">
        <v>113</v>
      </c>
      <c r="G27" s="6" t="s">
        <v>138</v>
      </c>
      <c r="H27" s="6" t="s">
        <v>151</v>
      </c>
      <c r="I27" s="6"/>
      <c r="J27" s="6" t="s">
        <v>196</v>
      </c>
      <c r="K27" s="6" t="s">
        <v>218</v>
      </c>
      <c r="L27" s="6">
        <v>2</v>
      </c>
      <c r="M27" s="6">
        <f>L27*5</f>
        <v>10</v>
      </c>
      <c r="N27" s="18" t="s">
        <v>241</v>
      </c>
      <c r="O27" s="21" t="str">
        <f t="shared" si="3"/>
        <v>LCSC</v>
      </c>
      <c r="P27" s="20" t="s">
        <v>270</v>
      </c>
      <c r="Q27" s="7">
        <f>P27*N27</f>
        <v>0.12</v>
      </c>
      <c r="R27" s="6"/>
    </row>
    <row r="28" spans="1:18">
      <c r="A28" s="1"/>
      <c r="B28" s="9">
        <f t="shared" si="0"/>
        <v>26</v>
      </c>
      <c r="C28" s="14" t="s">
        <v>13</v>
      </c>
      <c r="D28" s="12" t="s">
        <v>46</v>
      </c>
      <c r="E28" s="12" t="s">
        <v>86</v>
      </c>
      <c r="F28" s="12" t="s">
        <v>112</v>
      </c>
      <c r="G28" s="12" t="s">
        <v>139</v>
      </c>
      <c r="H28" s="12" t="s">
        <v>167</v>
      </c>
      <c r="I28" s="12"/>
      <c r="J28" s="12" t="s">
        <v>197</v>
      </c>
      <c r="K28" s="12" t="s">
        <v>219</v>
      </c>
      <c r="L28" s="12">
        <v>4</v>
      </c>
      <c r="M28" s="12">
        <f t="shared" ref="M28" si="26">L28*5</f>
        <v>20</v>
      </c>
      <c r="N28" s="17" t="s">
        <v>240</v>
      </c>
      <c r="O28" s="21" t="str">
        <f t="shared" si="3"/>
        <v>LCSC</v>
      </c>
      <c r="P28" s="19" t="s">
        <v>271</v>
      </c>
      <c r="Q28" s="13">
        <f t="shared" ref="Q28" si="27">P28*N28</f>
        <v>0.37</v>
      </c>
      <c r="R28" s="12"/>
    </row>
    <row r="29" spans="1:18">
      <c r="A29" s="1"/>
      <c r="B29" s="8">
        <f>ROW(B29) - ROW($B$2)</f>
        <v>27</v>
      </c>
      <c r="C29" s="14" t="s">
        <v>13</v>
      </c>
      <c r="D29" s="6" t="s">
        <v>47</v>
      </c>
      <c r="E29" s="6" t="s">
        <v>87</v>
      </c>
      <c r="F29" s="6" t="s">
        <v>113</v>
      </c>
      <c r="G29" s="6" t="s">
        <v>140</v>
      </c>
      <c r="H29" s="6" t="s">
        <v>151</v>
      </c>
      <c r="I29" s="6"/>
      <c r="J29" s="6" t="s">
        <v>198</v>
      </c>
      <c r="K29" s="6" t="s">
        <v>220</v>
      </c>
      <c r="L29" s="6">
        <v>1</v>
      </c>
      <c r="M29" s="6">
        <f>L29*5</f>
        <v>5</v>
      </c>
      <c r="N29" s="18" t="s">
        <v>241</v>
      </c>
      <c r="O29" s="21" t="str">
        <f t="shared" si="3"/>
        <v>LCSC</v>
      </c>
      <c r="P29" s="20" t="s">
        <v>270</v>
      </c>
      <c r="Q29" s="7">
        <f>P29*N29</f>
        <v>0.12</v>
      </c>
      <c r="R29" s="6"/>
    </row>
    <row r="30" spans="1:18">
      <c r="A30" s="1"/>
      <c r="B30" s="9">
        <f t="shared" si="0"/>
        <v>28</v>
      </c>
      <c r="C30" s="15" t="s">
        <v>13</v>
      </c>
      <c r="D30" s="12" t="s">
        <v>48</v>
      </c>
      <c r="E30" s="12" t="s">
        <v>88</v>
      </c>
      <c r="F30" s="12" t="s">
        <v>112</v>
      </c>
      <c r="G30" s="12" t="s">
        <v>141</v>
      </c>
      <c r="H30" s="12" t="s">
        <v>151</v>
      </c>
      <c r="I30" s="12"/>
      <c r="J30" s="12" t="s">
        <v>199</v>
      </c>
      <c r="K30" s="12" t="s">
        <v>221</v>
      </c>
      <c r="L30" s="12">
        <v>1</v>
      </c>
      <c r="M30" s="12">
        <f t="shared" ref="M30" si="28">L30*5</f>
        <v>5</v>
      </c>
      <c r="N30" s="17" t="s">
        <v>241</v>
      </c>
      <c r="O30" s="21" t="str">
        <f t="shared" si="3"/>
        <v>LCSC</v>
      </c>
      <c r="P30" s="19" t="s">
        <v>272</v>
      </c>
      <c r="Q30" s="13">
        <f t="shared" ref="Q30" si="29">P30*N30</f>
        <v>6.9999999999999993E-2</v>
      </c>
      <c r="R30" s="12"/>
    </row>
    <row r="31" spans="1:18">
      <c r="A31" s="1"/>
      <c r="B31" s="8">
        <f>ROW(B31) - ROW($B$2)</f>
        <v>29</v>
      </c>
      <c r="C31" s="14" t="s">
        <v>14</v>
      </c>
      <c r="D31" s="6" t="s">
        <v>49</v>
      </c>
      <c r="E31" s="6" t="s">
        <v>89</v>
      </c>
      <c r="F31" s="6" t="s">
        <v>112</v>
      </c>
      <c r="G31" s="6" t="s">
        <v>142</v>
      </c>
      <c r="H31" s="6" t="s">
        <v>151</v>
      </c>
      <c r="I31" s="6"/>
      <c r="J31" s="6" t="s">
        <v>200</v>
      </c>
      <c r="K31" s="6" t="s">
        <v>217</v>
      </c>
      <c r="L31" s="6">
        <v>1</v>
      </c>
      <c r="M31" s="6">
        <f>L31*5</f>
        <v>5</v>
      </c>
      <c r="N31" s="18" t="s">
        <v>241</v>
      </c>
      <c r="O31" s="21" t="str">
        <f t="shared" si="3"/>
        <v>LCSC</v>
      </c>
      <c r="P31" s="20" t="s">
        <v>267</v>
      </c>
      <c r="Q31" s="7">
        <f>P31*N31</f>
        <v>0.06</v>
      </c>
      <c r="R31" s="6"/>
    </row>
    <row r="32" spans="1:18">
      <c r="A32" s="1"/>
      <c r="B32" s="9">
        <f t="shared" si="0"/>
        <v>30</v>
      </c>
      <c r="C32" s="15" t="s">
        <v>13</v>
      </c>
      <c r="D32" s="12" t="s">
        <v>50</v>
      </c>
      <c r="E32" s="12" t="s">
        <v>90</v>
      </c>
      <c r="F32" s="12" t="s">
        <v>112</v>
      </c>
      <c r="G32" s="12" t="s">
        <v>143</v>
      </c>
      <c r="H32" s="12" t="s">
        <v>151</v>
      </c>
      <c r="I32" s="12"/>
      <c r="J32" s="12" t="s">
        <v>201</v>
      </c>
      <c r="K32" s="12" t="s">
        <v>222</v>
      </c>
      <c r="L32" s="12">
        <v>1</v>
      </c>
      <c r="M32" s="12">
        <f t="shared" ref="M32" si="30">L32*5</f>
        <v>5</v>
      </c>
      <c r="N32" s="17" t="s">
        <v>241</v>
      </c>
      <c r="O32" s="21" t="str">
        <f t="shared" si="3"/>
        <v>LCSC</v>
      </c>
      <c r="P32" s="19" t="s">
        <v>267</v>
      </c>
      <c r="Q32" s="13">
        <f t="shared" ref="Q32" si="31">P32*N32</f>
        <v>0.06</v>
      </c>
      <c r="R32" s="12"/>
    </row>
    <row r="33" spans="1:18">
      <c r="A33" s="1"/>
      <c r="B33" s="8">
        <f>ROW(B33) - ROW($B$2)</f>
        <v>31</v>
      </c>
      <c r="C33" s="14" t="s">
        <v>13</v>
      </c>
      <c r="D33" s="6" t="s">
        <v>51</v>
      </c>
      <c r="E33" s="6" t="s">
        <v>91</v>
      </c>
      <c r="F33" s="6" t="s">
        <v>112</v>
      </c>
      <c r="G33" s="6" t="s">
        <v>144</v>
      </c>
      <c r="H33" s="6" t="s">
        <v>151</v>
      </c>
      <c r="I33" s="6"/>
      <c r="J33" s="6" t="s">
        <v>202</v>
      </c>
      <c r="K33" s="6" t="s">
        <v>223</v>
      </c>
      <c r="L33" s="6">
        <v>1</v>
      </c>
      <c r="M33" s="6">
        <f>L33*5</f>
        <v>5</v>
      </c>
      <c r="N33" s="18" t="s">
        <v>241</v>
      </c>
      <c r="O33" s="21" t="str">
        <f t="shared" si="3"/>
        <v>LCSC</v>
      </c>
      <c r="P33" s="20" t="s">
        <v>272</v>
      </c>
      <c r="Q33" s="7">
        <f>P33*N33</f>
        <v>6.9999999999999993E-2</v>
      </c>
      <c r="R33" s="6"/>
    </row>
    <row r="34" spans="1:18">
      <c r="A34" s="1"/>
      <c r="B34" s="9">
        <f t="shared" si="0"/>
        <v>32</v>
      </c>
      <c r="C34" s="15" t="s">
        <v>13</v>
      </c>
      <c r="D34" s="12" t="s">
        <v>52</v>
      </c>
      <c r="E34" s="12" t="s">
        <v>92</v>
      </c>
      <c r="F34" s="12" t="s">
        <v>112</v>
      </c>
      <c r="G34" s="12" t="s">
        <v>145</v>
      </c>
      <c r="H34" s="12" t="s">
        <v>151</v>
      </c>
      <c r="I34" s="12"/>
      <c r="J34" s="12" t="s">
        <v>203</v>
      </c>
      <c r="K34" s="12" t="s">
        <v>224</v>
      </c>
      <c r="L34" s="12">
        <v>2</v>
      </c>
      <c r="M34" s="12">
        <f t="shared" ref="M34" si="32">L34*5</f>
        <v>10</v>
      </c>
      <c r="N34" s="17" t="s">
        <v>241</v>
      </c>
      <c r="O34" s="21" t="str">
        <f t="shared" si="3"/>
        <v>LCSC</v>
      </c>
      <c r="P34" s="19" t="s">
        <v>272</v>
      </c>
      <c r="Q34" s="13">
        <f t="shared" ref="Q34" si="33">P34*N34</f>
        <v>6.9999999999999993E-2</v>
      </c>
      <c r="R34" s="12"/>
    </row>
    <row r="35" spans="1:18">
      <c r="A35" s="1"/>
      <c r="B35" s="8">
        <f>ROW(B35) - ROW($B$2)</f>
        <v>33</v>
      </c>
      <c r="C35" s="14" t="s">
        <v>13</v>
      </c>
      <c r="D35" s="6" t="s">
        <v>53</v>
      </c>
      <c r="E35" s="6" t="s">
        <v>93</v>
      </c>
      <c r="F35" s="6" t="s">
        <v>113</v>
      </c>
      <c r="G35" s="6" t="s">
        <v>146</v>
      </c>
      <c r="H35" s="6" t="s">
        <v>151</v>
      </c>
      <c r="I35" s="6"/>
      <c r="J35" s="6" t="s">
        <v>204</v>
      </c>
      <c r="K35" s="6" t="s">
        <v>225</v>
      </c>
      <c r="L35" s="6">
        <v>1</v>
      </c>
      <c r="M35" s="6">
        <f>L35*5</f>
        <v>5</v>
      </c>
      <c r="N35" s="18" t="s">
        <v>241</v>
      </c>
      <c r="O35" s="21" t="str">
        <f t="shared" si="3"/>
        <v>LCSC</v>
      </c>
      <c r="P35" s="20" t="s">
        <v>270</v>
      </c>
      <c r="Q35" s="7">
        <f>P35*N35</f>
        <v>0.12</v>
      </c>
      <c r="R35" s="6"/>
    </row>
    <row r="36" spans="1:18">
      <c r="A36" s="1"/>
      <c r="B36" s="9">
        <f t="shared" si="0"/>
        <v>34</v>
      </c>
      <c r="C36" s="15" t="s">
        <v>13</v>
      </c>
      <c r="D36" s="12" t="s">
        <v>54</v>
      </c>
      <c r="E36" s="12" t="s">
        <v>94</v>
      </c>
      <c r="F36" s="12" t="s">
        <v>113</v>
      </c>
      <c r="G36" s="12" t="s">
        <v>147</v>
      </c>
      <c r="H36" s="12" t="s">
        <v>151</v>
      </c>
      <c r="I36" s="12"/>
      <c r="J36" s="12" t="s">
        <v>205</v>
      </c>
      <c r="K36" s="12" t="s">
        <v>226</v>
      </c>
      <c r="L36" s="12">
        <v>1</v>
      </c>
      <c r="M36" s="12">
        <f t="shared" ref="M36" si="34">L36*5</f>
        <v>5</v>
      </c>
      <c r="N36" s="17" t="s">
        <v>241</v>
      </c>
      <c r="O36" s="21" t="str">
        <f t="shared" si="3"/>
        <v>LCSC</v>
      </c>
      <c r="P36" s="19" t="s">
        <v>273</v>
      </c>
      <c r="Q36" s="13">
        <f t="shared" ref="Q36" si="35">P36*N36</f>
        <v>0.53</v>
      </c>
      <c r="R36" s="12"/>
    </row>
    <row r="37" spans="1:18">
      <c r="A37" s="1"/>
      <c r="B37" s="8">
        <f>ROW(B37) - ROW($B$2)</f>
        <v>35</v>
      </c>
      <c r="C37" s="14" t="s">
        <v>15</v>
      </c>
      <c r="D37" s="6" t="s">
        <v>55</v>
      </c>
      <c r="E37" s="6" t="s">
        <v>95</v>
      </c>
      <c r="F37" s="12" t="s">
        <v>236</v>
      </c>
      <c r="G37" s="6" t="s">
        <v>114</v>
      </c>
      <c r="H37" s="6" t="s">
        <v>168</v>
      </c>
      <c r="I37" s="6"/>
      <c r="J37" s="6" t="s">
        <v>206</v>
      </c>
      <c r="K37" s="6" t="s">
        <v>237</v>
      </c>
      <c r="L37" s="6">
        <v>2</v>
      </c>
      <c r="M37" s="6">
        <f>L37*5</f>
        <v>10</v>
      </c>
      <c r="N37" s="18" t="s">
        <v>242</v>
      </c>
      <c r="O37" s="21" t="str">
        <f t="shared" si="3"/>
        <v>LCSC</v>
      </c>
      <c r="P37" s="20" t="s">
        <v>274</v>
      </c>
      <c r="Q37" s="7">
        <f>P37*N37</f>
        <v>1.5549999999999999</v>
      </c>
      <c r="R37" s="6"/>
    </row>
    <row r="38" spans="1:18">
      <c r="A38" s="1"/>
      <c r="B38" s="9">
        <f t="shared" si="0"/>
        <v>36</v>
      </c>
      <c r="C38" s="15" t="s">
        <v>16</v>
      </c>
      <c r="D38" s="12" t="s">
        <v>56</v>
      </c>
      <c r="E38" s="12" t="s">
        <v>96</v>
      </c>
      <c r="F38" s="12" t="s">
        <v>236</v>
      </c>
      <c r="G38" s="12" t="s">
        <v>115</v>
      </c>
      <c r="H38" s="12" t="s">
        <v>169</v>
      </c>
      <c r="I38" s="12"/>
      <c r="J38" s="6" t="s">
        <v>280</v>
      </c>
      <c r="K38" s="6" t="s">
        <v>237</v>
      </c>
      <c r="L38" s="12">
        <v>1</v>
      </c>
      <c r="M38" s="12">
        <f t="shared" ref="M38" si="36">L38*5</f>
        <v>5</v>
      </c>
      <c r="N38" s="17" t="s">
        <v>243</v>
      </c>
      <c r="O38" s="21" t="str">
        <f t="shared" si="3"/>
        <v>LCSC</v>
      </c>
      <c r="P38" s="19" t="s">
        <v>275</v>
      </c>
      <c r="Q38" s="13">
        <f t="shared" ref="Q38" si="37">P38*N38</f>
        <v>6.6879999999999997</v>
      </c>
      <c r="R38" s="12"/>
    </row>
    <row r="39" spans="1:18">
      <c r="A39" s="1"/>
      <c r="B39" s="8">
        <f>ROW(B39) - ROW($B$2)</f>
        <v>37</v>
      </c>
      <c r="C39" s="14" t="s">
        <v>17</v>
      </c>
      <c r="D39" s="6" t="s">
        <v>57</v>
      </c>
      <c r="E39" s="6" t="s">
        <v>95</v>
      </c>
      <c r="F39" s="12" t="s">
        <v>236</v>
      </c>
      <c r="G39" s="6" t="s">
        <v>148</v>
      </c>
      <c r="H39" s="6" t="s">
        <v>170</v>
      </c>
      <c r="I39" s="6"/>
      <c r="J39" s="6" t="s">
        <v>207</v>
      </c>
      <c r="K39" s="6" t="s">
        <v>237</v>
      </c>
      <c r="L39" s="6">
        <v>3</v>
      </c>
      <c r="M39" s="6">
        <f>L39*5</f>
        <v>15</v>
      </c>
      <c r="N39" s="18" t="s">
        <v>246</v>
      </c>
      <c r="O39" s="21" t="str">
        <f t="shared" si="3"/>
        <v>LCSC</v>
      </c>
      <c r="P39" s="20" t="s">
        <v>276</v>
      </c>
      <c r="Q39" s="7">
        <f>P39*N39</f>
        <v>10.429500000000001</v>
      </c>
      <c r="R39" s="6"/>
    </row>
    <row r="40" spans="1:18">
      <c r="A40" s="1"/>
      <c r="B40" s="9">
        <f t="shared" si="0"/>
        <v>38</v>
      </c>
      <c r="C40" s="15" t="s">
        <v>18</v>
      </c>
      <c r="D40" s="12" t="s">
        <v>58</v>
      </c>
      <c r="E40" s="12" t="s">
        <v>97</v>
      </c>
      <c r="F40" s="12" t="s">
        <v>116</v>
      </c>
      <c r="G40" s="12" t="s">
        <v>149</v>
      </c>
      <c r="H40" s="12" t="s">
        <v>171</v>
      </c>
      <c r="I40" s="12"/>
      <c r="J40" s="12" t="s">
        <v>208</v>
      </c>
      <c r="K40" s="6" t="s">
        <v>237</v>
      </c>
      <c r="L40" s="12">
        <v>1</v>
      </c>
      <c r="M40" s="12">
        <f t="shared" ref="M40" si="38">L40*5</f>
        <v>5</v>
      </c>
      <c r="N40" s="17" t="s">
        <v>243</v>
      </c>
      <c r="O40" s="21" t="str">
        <f t="shared" si="3"/>
        <v>LCSC</v>
      </c>
      <c r="P40" s="19" t="s">
        <v>277</v>
      </c>
      <c r="Q40" s="13">
        <f t="shared" ref="Q40" si="39">P40*N40</f>
        <v>27.035499999999999</v>
      </c>
      <c r="R40" s="12"/>
    </row>
    <row r="41" spans="1:18" ht="48.75" thickBot="1">
      <c r="A41" s="1"/>
      <c r="B41" s="8">
        <f>ROW(B41) - ROW($B$2)</f>
        <v>39</v>
      </c>
      <c r="C41" s="14" t="s">
        <v>19</v>
      </c>
      <c r="D41" s="6" t="s">
        <v>59</v>
      </c>
      <c r="E41" s="6" t="s">
        <v>281</v>
      </c>
      <c r="F41" s="6" t="s">
        <v>282</v>
      </c>
      <c r="G41" s="6" t="s">
        <v>283</v>
      </c>
      <c r="H41" s="6" t="s">
        <v>284</v>
      </c>
      <c r="I41" s="6"/>
      <c r="J41" s="6" t="s">
        <v>285</v>
      </c>
      <c r="K41" s="6" t="s">
        <v>237</v>
      </c>
      <c r="L41" s="6">
        <v>1</v>
      </c>
      <c r="M41" s="6">
        <f>L41*5</f>
        <v>5</v>
      </c>
      <c r="N41" s="18">
        <v>6</v>
      </c>
      <c r="O41" s="27" t="s">
        <v>279</v>
      </c>
      <c r="P41" s="20">
        <v>1.5250999999999999</v>
      </c>
      <c r="Q41" s="7">
        <f>P41*N41</f>
        <v>9.150599999999999</v>
      </c>
      <c r="R41" s="6"/>
    </row>
    <row r="42" spans="1:18" ht="19.5" thickBo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24" t="s">
        <v>1</v>
      </c>
      <c r="O42" s="25"/>
      <c r="P42" s="26"/>
      <c r="Q42" s="10">
        <f>SUM(Q3:Q41)</f>
        <v>83.674700000000001</v>
      </c>
      <c r="R42" s="1"/>
    </row>
    <row r="43" spans="1:18" ht="19.5" thickBo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24" t="s">
        <v>2</v>
      </c>
      <c r="O43" s="26"/>
      <c r="P43" s="26"/>
      <c r="Q43" s="11">
        <f>Q42/5</f>
        <v>16.734940000000002</v>
      </c>
      <c r="R43" s="1"/>
    </row>
    <row r="55" spans="13:13">
      <c r="M55" s="16"/>
    </row>
  </sheetData>
  <mergeCells count="3">
    <mergeCell ref="K1:R1"/>
    <mergeCell ref="N42:P42"/>
    <mergeCell ref="N43:P43"/>
  </mergeCells>
  <hyperlinks>
    <hyperlink ref="O8" r:id="rId1"/>
    <hyperlink ref="O3" r:id="rId2"/>
    <hyperlink ref="E41" r:id="rId3"/>
    <hyperlink ref="O41" r:id="rId4"/>
  </hyperlinks>
  <pageMargins left="0.7" right="0.7" top="0.75" bottom="0.75" header="0.3" footer="0.3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2025-07-18T08:51:38Z</dcterms:modified>
</cp:coreProperties>
</file>