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GTV4.0_Board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90" i="1" l="1"/>
  <c r="Q191" i="1"/>
  <c r="M190" i="1"/>
  <c r="M191" i="1"/>
  <c r="B191" i="1"/>
  <c r="B190" i="1"/>
  <c r="O189" i="1"/>
  <c r="O188" i="1"/>
  <c r="O187" i="1"/>
  <c r="O186" i="1"/>
  <c r="O185" i="1"/>
  <c r="O184" i="1"/>
  <c r="O183" i="1"/>
  <c r="O182" i="1"/>
  <c r="O181" i="1"/>
  <c r="O180" i="1"/>
  <c r="Q189" i="1" l="1"/>
  <c r="M189" i="1"/>
  <c r="B189" i="1"/>
  <c r="Q188" i="1"/>
  <c r="M188" i="1"/>
  <c r="B188" i="1"/>
  <c r="Q187" i="1"/>
  <c r="M187" i="1"/>
  <c r="B187" i="1"/>
  <c r="Q186" i="1"/>
  <c r="M186" i="1"/>
  <c r="B186" i="1"/>
  <c r="Q185" i="1"/>
  <c r="M185" i="1"/>
  <c r="B185" i="1"/>
  <c r="Q184" i="1"/>
  <c r="M184" i="1"/>
  <c r="B184" i="1"/>
  <c r="Q183" i="1"/>
  <c r="M183" i="1"/>
  <c r="B183" i="1"/>
  <c r="Q182" i="1"/>
  <c r="M182" i="1"/>
  <c r="B182" i="1"/>
  <c r="Q181" i="1"/>
  <c r="M181" i="1"/>
  <c r="B181" i="1"/>
  <c r="Q180" i="1"/>
  <c r="M180" i="1"/>
  <c r="B180" i="1"/>
  <c r="Q179" i="1"/>
  <c r="M179" i="1"/>
  <c r="B179" i="1"/>
  <c r="Q178" i="1"/>
  <c r="M178" i="1"/>
  <c r="B178" i="1"/>
  <c r="Q177" i="1"/>
  <c r="M177" i="1"/>
  <c r="B177" i="1"/>
  <c r="Q176" i="1"/>
  <c r="M176" i="1"/>
  <c r="B176" i="1"/>
  <c r="Q175" i="1"/>
  <c r="M175" i="1"/>
  <c r="B175" i="1"/>
  <c r="Q174" i="1"/>
  <c r="M174" i="1"/>
  <c r="B174" i="1"/>
  <c r="Q173" i="1"/>
  <c r="M173" i="1"/>
  <c r="B173" i="1"/>
  <c r="Q172" i="1"/>
  <c r="M172" i="1"/>
  <c r="B172" i="1"/>
  <c r="Q171" i="1"/>
  <c r="M171" i="1"/>
  <c r="B171" i="1"/>
  <c r="Q170" i="1"/>
  <c r="M170" i="1"/>
  <c r="B170" i="1"/>
  <c r="Q169" i="1"/>
  <c r="M169" i="1"/>
  <c r="B169" i="1"/>
  <c r="Q168" i="1"/>
  <c r="M168" i="1"/>
  <c r="B168" i="1"/>
  <c r="Q167" i="1"/>
  <c r="M167" i="1"/>
  <c r="B167" i="1"/>
  <c r="Q166" i="1"/>
  <c r="M166" i="1"/>
  <c r="B166" i="1"/>
  <c r="Q165" i="1"/>
  <c r="M165" i="1"/>
  <c r="B165" i="1"/>
  <c r="Q164" i="1"/>
  <c r="M164" i="1"/>
  <c r="B164" i="1"/>
  <c r="Q163" i="1"/>
  <c r="M163" i="1"/>
  <c r="B163" i="1"/>
  <c r="Q162" i="1"/>
  <c r="M162" i="1"/>
  <c r="B162" i="1"/>
  <c r="Q161" i="1"/>
  <c r="M161" i="1"/>
  <c r="B161" i="1"/>
  <c r="Q160" i="1"/>
  <c r="M160" i="1"/>
  <c r="B160" i="1"/>
  <c r="Q159" i="1"/>
  <c r="M159" i="1"/>
  <c r="B159" i="1"/>
  <c r="Q158" i="1"/>
  <c r="M158" i="1"/>
  <c r="B158" i="1"/>
  <c r="Q157" i="1"/>
  <c r="M157" i="1"/>
  <c r="B157" i="1"/>
  <c r="Q156" i="1"/>
  <c r="M156" i="1"/>
  <c r="B156" i="1"/>
  <c r="Q155" i="1"/>
  <c r="M155" i="1"/>
  <c r="B155" i="1"/>
  <c r="Q154" i="1"/>
  <c r="M154" i="1"/>
  <c r="B154" i="1"/>
  <c r="Q153" i="1"/>
  <c r="M153" i="1"/>
  <c r="B153" i="1"/>
  <c r="Q152" i="1"/>
  <c r="M152" i="1"/>
  <c r="B152" i="1"/>
  <c r="Q151" i="1"/>
  <c r="M151" i="1"/>
  <c r="B151" i="1"/>
  <c r="Q150" i="1"/>
  <c r="M150" i="1"/>
  <c r="B150" i="1"/>
  <c r="Q149" i="1"/>
  <c r="M149" i="1"/>
  <c r="B149" i="1"/>
  <c r="Q148" i="1"/>
  <c r="M148" i="1"/>
  <c r="B148" i="1"/>
  <c r="Q147" i="1"/>
  <c r="M147" i="1"/>
  <c r="B147" i="1"/>
  <c r="Q146" i="1"/>
  <c r="M146" i="1"/>
  <c r="B146" i="1"/>
  <c r="Q145" i="1"/>
  <c r="M145" i="1"/>
  <c r="B145" i="1"/>
  <c r="Q144" i="1"/>
  <c r="M144" i="1"/>
  <c r="B144" i="1"/>
  <c r="M143" i="1"/>
  <c r="B143" i="1"/>
  <c r="Q142" i="1"/>
  <c r="M142" i="1"/>
  <c r="B142" i="1"/>
  <c r="Q141" i="1"/>
  <c r="M141" i="1"/>
  <c r="B141" i="1"/>
  <c r="Q140" i="1"/>
  <c r="M140" i="1"/>
  <c r="B140" i="1"/>
  <c r="Q139" i="1"/>
  <c r="M139" i="1"/>
  <c r="B139" i="1"/>
  <c r="Q138" i="1"/>
  <c r="M138" i="1"/>
  <c r="B138" i="1"/>
  <c r="Q137" i="1"/>
  <c r="M137" i="1"/>
  <c r="B137" i="1"/>
  <c r="Q136" i="1"/>
  <c r="M136" i="1"/>
  <c r="B136" i="1"/>
  <c r="Q135" i="1"/>
  <c r="M135" i="1"/>
  <c r="B135" i="1"/>
  <c r="Q134" i="1"/>
  <c r="M134" i="1"/>
  <c r="B134" i="1"/>
  <c r="Q133" i="1"/>
  <c r="M133" i="1"/>
  <c r="B133" i="1"/>
  <c r="Q132" i="1"/>
  <c r="M132" i="1"/>
  <c r="B132" i="1"/>
  <c r="Q131" i="1"/>
  <c r="M131" i="1"/>
  <c r="B131" i="1"/>
  <c r="Q130" i="1"/>
  <c r="M130" i="1"/>
  <c r="B130" i="1"/>
  <c r="Q129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M115" i="1"/>
  <c r="B115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Q192" i="1" s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19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<sst xmlns="http://schemas.openxmlformats.org/spreadsheetml/2006/main" count="2262" uniqueCount="1155">
  <si>
    <t>#</t>
  </si>
  <si>
    <t xml:space="preserve">Total Component Cost </t>
  </si>
  <si>
    <t>Single Board Cost</t>
  </si>
  <si>
    <t>Item Type</t>
  </si>
  <si>
    <t>Capacitor</t>
  </si>
  <si>
    <t>IC</t>
  </si>
  <si>
    <t>Supercapacitor</t>
  </si>
  <si>
    <t>Zener diode</t>
  </si>
  <si>
    <t>Diode</t>
  </si>
  <si>
    <t>Diodes</t>
  </si>
  <si>
    <t>Protection Device</t>
  </si>
  <si>
    <t>TVS Diodes</t>
  </si>
  <si>
    <t>(TVS/ESD)</t>
  </si>
  <si>
    <t>Jtag Male Header</t>
  </si>
  <si>
    <t>Terminal Block</t>
  </si>
  <si>
    <t>Terminal Blocks</t>
  </si>
  <si>
    <t>USB B Connector</t>
  </si>
  <si>
    <t>Headers, Male Pins</t>
  </si>
  <si>
    <t>Wire To Board Connector</t>
  </si>
  <si>
    <t>Male</t>
  </si>
  <si>
    <t>SMA</t>
  </si>
  <si>
    <t>Terminal</t>
  </si>
  <si>
    <t>Connector</t>
  </si>
  <si>
    <t>SD Card Connector</t>
  </si>
  <si>
    <t>Male Header</t>
  </si>
  <si>
    <t>Inductor</t>
  </si>
  <si>
    <t>LED</t>
  </si>
  <si>
    <t>Photo Sensor</t>
  </si>
  <si>
    <t>Buzzer</t>
  </si>
  <si>
    <t>Test Point</t>
  </si>
  <si>
    <t>Mosfet</t>
  </si>
  <si>
    <t>Transister</t>
  </si>
  <si>
    <t>MOSFETs</t>
  </si>
  <si>
    <t>Resistor</t>
  </si>
  <si>
    <t>Resistors</t>
  </si>
  <si>
    <t>Tactile Switch</t>
  </si>
  <si>
    <t>Switch</t>
  </si>
  <si>
    <t>Current Sensor</t>
  </si>
  <si>
    <t>Module</t>
  </si>
  <si>
    <t>Crystal</t>
  </si>
  <si>
    <t>Designator</t>
  </si>
  <si>
    <t>C1, C4, C16, C21, C23, C24, C40, C42, C43, C44, C45, C124, C126</t>
  </si>
  <si>
    <t>C2</t>
  </si>
  <si>
    <t>C3, C15, C25, C27, C37, C117</t>
  </si>
  <si>
    <t>C5, C8</t>
  </si>
  <si>
    <t>C6, C10, C13, C14, C17, C22, C26, C28, C38, C46, C47, C48, C49, C51, C52, C53, C59, C63, C125, C127</t>
  </si>
  <si>
    <t>C7, C71, C136, C139</t>
  </si>
  <si>
    <t>C9</t>
  </si>
  <si>
    <t>C11, C19</t>
  </si>
  <si>
    <t>C12, C29, C30, C31, C32, C33, C36, C73, C93, C95, C109, C110, C111, C113, C114</t>
  </si>
  <si>
    <t>C18</t>
  </si>
  <si>
    <t>C20</t>
  </si>
  <si>
    <t>C34, C35, C133, C134</t>
  </si>
  <si>
    <t>C39, C41, C55, C58, C60</t>
  </si>
  <si>
    <t>C50</t>
  </si>
  <si>
    <t>C54, C74</t>
  </si>
  <si>
    <t>C56, C64, C137, C138, C142, C144</t>
  </si>
  <si>
    <t>C57</t>
  </si>
  <si>
    <t>C61, C62, C116, C118, C119</t>
  </si>
  <si>
    <t>C70</t>
  </si>
  <si>
    <t>C72</t>
  </si>
  <si>
    <t>C75</t>
  </si>
  <si>
    <t>C77</t>
  </si>
  <si>
    <t>C88, C90</t>
  </si>
  <si>
    <t>C89</t>
  </si>
  <si>
    <t>C91</t>
  </si>
  <si>
    <t>C107, C112</t>
  </si>
  <si>
    <t>C108</t>
  </si>
  <si>
    <t>C115</t>
  </si>
  <si>
    <t>C120, C121</t>
  </si>
  <si>
    <t>C122</t>
  </si>
  <si>
    <t>C123</t>
  </si>
  <si>
    <t>C128, C129</t>
  </si>
  <si>
    <t>C131, C132</t>
  </si>
  <si>
    <t>C135</t>
  </si>
  <si>
    <t>C140, C148, C150</t>
  </si>
  <si>
    <t>C146</t>
  </si>
  <si>
    <t>C147</t>
  </si>
  <si>
    <t>C149</t>
  </si>
  <si>
    <t>D1, D15, D16, D28, D29</t>
  </si>
  <si>
    <t>D2, D30</t>
  </si>
  <si>
    <t>D3, D8</t>
  </si>
  <si>
    <t>D4</t>
  </si>
  <si>
    <t>D5, D70</t>
  </si>
  <si>
    <t>D6</t>
  </si>
  <si>
    <t>D7</t>
  </si>
  <si>
    <t>D9, D10</t>
  </si>
  <si>
    <t>D11</t>
  </si>
  <si>
    <t>D12, D13</t>
  </si>
  <si>
    <t>D14</t>
  </si>
  <si>
    <t>D17, D18, D19, D20, D21, D22, D23, D24, D25, D26, D27, D32, D33, D36, D38, D43, D44, D45, D46, D47, D48, D49, D50, D51, D52, D53, D54, D55, D56, D57, D58, D59, D60, D61, D62, D63, D64, D65, D66, D67, D68, D69</t>
  </si>
  <si>
    <t>D31</t>
  </si>
  <si>
    <t>D34, D37</t>
  </si>
  <si>
    <t>D35</t>
  </si>
  <si>
    <t>D39</t>
  </si>
  <si>
    <t>D40, D41, D42</t>
  </si>
  <si>
    <t>D71</t>
  </si>
  <si>
    <t>J1</t>
  </si>
  <si>
    <t>J2</t>
  </si>
  <si>
    <t>J3, J4, J5, J6, J11, J12, J21, J24, J25</t>
  </si>
  <si>
    <t>J7</t>
  </si>
  <si>
    <t>J8, J34, J38</t>
  </si>
  <si>
    <t>J9</t>
  </si>
  <si>
    <t>J10</t>
  </si>
  <si>
    <t>J13, J17, J19</t>
  </si>
  <si>
    <t>J14, J16</t>
  </si>
  <si>
    <t>J15</t>
  </si>
  <si>
    <t>J18</t>
  </si>
  <si>
    <t>J20, J23</t>
  </si>
  <si>
    <t>J22</t>
  </si>
  <si>
    <t>J30</t>
  </si>
  <si>
    <t>J36, J40</t>
  </si>
  <si>
    <t>L1</t>
  </si>
  <si>
    <t>L2</t>
  </si>
  <si>
    <t>L3</t>
  </si>
  <si>
    <t>L4</t>
  </si>
  <si>
    <t>L5</t>
  </si>
  <si>
    <t>L7</t>
  </si>
  <si>
    <t>LED1, LED2, LED3</t>
  </si>
  <si>
    <t>LED4</t>
  </si>
  <si>
    <t>LED5</t>
  </si>
  <si>
    <t>LED6</t>
  </si>
  <si>
    <t>LED11</t>
  </si>
  <si>
    <t>LS1</t>
  </si>
  <si>
    <t>P1, P7, P9, P10, P11, P16</t>
  </si>
  <si>
    <t>Q1, Q11</t>
  </si>
  <si>
    <t>Q2, Q3, Q9</t>
  </si>
  <si>
    <t>Q4</t>
  </si>
  <si>
    <t>Q5, Q6</t>
  </si>
  <si>
    <t>Q7</t>
  </si>
  <si>
    <t>Q8</t>
  </si>
  <si>
    <t>Q10</t>
  </si>
  <si>
    <t>Q26</t>
  </si>
  <si>
    <t>Q32</t>
  </si>
  <si>
    <t>Q39</t>
  </si>
  <si>
    <t>R1</t>
  </si>
  <si>
    <t>R2</t>
  </si>
  <si>
    <t>R3</t>
  </si>
  <si>
    <t>R4, R6</t>
  </si>
  <si>
    <t>R5, R8</t>
  </si>
  <si>
    <t>R7, R10</t>
  </si>
  <si>
    <t>R9, R163</t>
  </si>
  <si>
    <t>R11</t>
  </si>
  <si>
    <t>R12</t>
  </si>
  <si>
    <t>R13, R38</t>
  </si>
  <si>
    <t>R14, R15, R17</t>
  </si>
  <si>
    <t>R16, R18, R31, R176, R177</t>
  </si>
  <si>
    <t>R19, R20, R35, R43</t>
  </si>
  <si>
    <t>R21</t>
  </si>
  <si>
    <t>R22, R36, R42, R80</t>
  </si>
  <si>
    <t>R23, R39, R44, R52, R53, R70, R168</t>
  </si>
  <si>
    <t>R24, R25</t>
  </si>
  <si>
    <t>R26</t>
  </si>
  <si>
    <t>R27, R29, R40</t>
  </si>
  <si>
    <t>R28, R33, R41, R66, R67, R71, R72, R76, R77, R78, R81, R82, R83, R84, R85, R86, R87, R88, R89, R90, R91, R92, R93, R94, R95, R96, R97, R98, R99, R100, R101, R102, R103, R106, R107, R108, R110, R111, R112, R113, R114, R115, R116, R117</t>
  </si>
  <si>
    <t>R30</t>
  </si>
  <si>
    <t>R32</t>
  </si>
  <si>
    <t>R34, R48, R68, R75</t>
  </si>
  <si>
    <t>R37</t>
  </si>
  <si>
    <t>R45, R122</t>
  </si>
  <si>
    <t>R46, R47</t>
  </si>
  <si>
    <t>R49</t>
  </si>
  <si>
    <t>R50</t>
  </si>
  <si>
    <t>R51</t>
  </si>
  <si>
    <t>R54</t>
  </si>
  <si>
    <t>R55, R104, R192, R194, R204, R206, R216, R217, R218, R219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</si>
  <si>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</si>
  <si>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</si>
  <si>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</si>
  <si>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</si>
  <si>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</si>
  <si>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</si>
  <si>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</si>
  <si>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</si>
  <si>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</si>
  <si>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</si>
  <si>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R69, R131</t>
  </si>
  <si>
    <t>R73, R74, R105, R170, R188, R190, R198, R200, R201, R202, R210, R212, R213</t>
  </si>
  <si>
    <t>R79</t>
  </si>
  <si>
    <t>R109, R136</t>
  </si>
  <si>
    <t>R118, R123</t>
  </si>
  <si>
    <t>R119</t>
  </si>
  <si>
    <t>R120</t>
  </si>
  <si>
    <t>R121</t>
  </si>
  <si>
    <t>R124</t>
  </si>
  <si>
    <t>R132</t>
  </si>
  <si>
    <t>R149</t>
  </si>
  <si>
    <t>R156, R157, R158, R159, R160</t>
  </si>
  <si>
    <t>R161, R162</t>
  </si>
  <si>
    <t>R164</t>
  </si>
  <si>
    <t>R165</t>
  </si>
  <si>
    <t>R166</t>
  </si>
  <si>
    <t>R167</t>
  </si>
  <si>
    <t>R169, R171, R173, R174</t>
  </si>
  <si>
    <t>R172</t>
  </si>
  <si>
    <t>R175</t>
  </si>
  <si>
    <t>R178, R179, R180, R187, R189</t>
  </si>
  <si>
    <t>R196, R208</t>
  </si>
  <si>
    <t>R214</t>
  </si>
  <si>
    <t>R215</t>
  </si>
  <si>
    <t>SW3</t>
  </si>
  <si>
    <t>SW4</t>
  </si>
  <si>
    <t>U1, U2</t>
  </si>
  <si>
    <t>U3</t>
  </si>
  <si>
    <t>U4, U27</t>
  </si>
  <si>
    <t>U5</t>
  </si>
  <si>
    <t>U6</t>
  </si>
  <si>
    <t>U7</t>
  </si>
  <si>
    <t>U8, U10, U11</t>
  </si>
  <si>
    <t>U9</t>
  </si>
  <si>
    <t>U12</t>
  </si>
  <si>
    <t>U13</t>
  </si>
  <si>
    <t>U14</t>
  </si>
  <si>
    <t>U15, U16</t>
  </si>
  <si>
    <t>U17</t>
  </si>
  <si>
    <t>U18</t>
  </si>
  <si>
    <t>U21</t>
  </si>
  <si>
    <t>U28</t>
  </si>
  <si>
    <t>U29</t>
  </si>
  <si>
    <t>U30</t>
  </si>
  <si>
    <t>U31</t>
  </si>
  <si>
    <t>U32</t>
  </si>
  <si>
    <t>U33, U35</t>
  </si>
  <si>
    <t>U37</t>
  </si>
  <si>
    <t>U38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</si>
  <si>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</si>
  <si>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</si>
  <si>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</si>
  <si>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</si>
  <si>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</si>
  <si>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</si>
  <si>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</si>
  <si>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CAP CER 30PF 50V C0G/NPO 0402</t>
  </si>
  <si>
    <t>CAP CER 0.1UF 50V Y5V 0603</t>
  </si>
  <si>
    <t>CAP CER 1UF 16V X5R 0402</t>
  </si>
  <si>
    <t>CAP ALUM 100UF 20% 25V SMD</t>
  </si>
  <si>
    <t>CAP CER 1000PF 25V C0G 0402</t>
  </si>
  <si>
    <t>CAP CER 0.1UF 50V X5R 0402</t>
  </si>
  <si>
    <t>470uF 50V ±20% SMD,D12.5xL13.5mm Aluminum Electrolytic Capacitors - SMD ROHS</t>
  </si>
  <si>
    <t>CAP CER 470pF 10% X7R 50V 0603 SMD</t>
  </si>
  <si>
    <t>CAP CER 15PF 50V C0G/NPO 0201</t>
  </si>
  <si>
    <t>CAP CER 1UF 50V X7R 0603</t>
  </si>
  <si>
    <t>CAP CER 0.047UF 100V X7R 1206</t>
  </si>
  <si>
    <t>CAP CER 0.1UF 16V X5R 0402</t>
  </si>
  <si>
    <t>CAP CER 0.1UF 16V X7R 0402</t>
  </si>
  <si>
    <t>10uF 35V X5R 20% Pad SMD 0603</t>
  </si>
  <si>
    <t>CAP CER 22UF 35V X5R 0805</t>
  </si>
  <si>
    <t>CAP ALUM 1000UF 20% 10V SMD</t>
  </si>
  <si>
    <t>CAP CER 10UF 16V X5R 0603</t>
  </si>
  <si>
    <t>CAP CER 0.1UF 50V X7R 0402</t>
  </si>
  <si>
    <t>CAP CER 10UF 25V X5R 0603</t>
  </si>
  <si>
    <t>CAP CER 0.1UF 100V X5R 0402</t>
  </si>
  <si>
    <t>CAP TANT 330UF 20% 16V 2917</t>
  </si>
  <si>
    <t>CAP TANT 100UF 20% 10V 1411</t>
  </si>
  <si>
    <t>CAP CER 10UF 10V X5R 0402</t>
  </si>
  <si>
    <t>CAP CER 0.1UF 25V X6S 0201</t>
  </si>
  <si>
    <t>CAP 25F -10% +30% 2.7V T/H</t>
  </si>
  <si>
    <t>CAP CER 47UF 25V X5R 1206</t>
  </si>
  <si>
    <t>CAP CER 0.47UF 50V X5R 0603</t>
  </si>
  <si>
    <t>CAP CER 2200PF 50V X7R 0603</t>
  </si>
  <si>
    <t>CAP CER 22UF 10V X5R 0603</t>
  </si>
  <si>
    <t>CAP CER 2.2UF 25V X5R 0402</t>
  </si>
  <si>
    <t>CAP CER 0.1UF 50V X5R 0603</t>
  </si>
  <si>
    <t>CAP CER 0.1UF 25V X7R 0402</t>
  </si>
  <si>
    <t>CAP CER 10UF 16V X7R 0805</t>
  </si>
  <si>
    <t>CAP CER 1UF 25V X5R 0402</t>
  </si>
  <si>
    <t>CAP CER 10UF 25V X5R 0805</t>
  </si>
  <si>
    <t>40V 500mV@2A 2A SMA(DO-214AC) Schottky Barrier Diodes (SBD) ROHS</t>
  </si>
  <si>
    <t>DIODE ZENER 16V 1.5W SMA</t>
  </si>
  <si>
    <t>TVS DIODE 5VWM 9.2VC SMA</t>
  </si>
  <si>
    <t>16A 20V 7V 5V@Max Unidirectional SOT-23 TVS ROHS</t>
  </si>
  <si>
    <t>DIODE ZENER 3.3V 200MW SOD323F</t>
  </si>
  <si>
    <t>5.3A 600W 113V 77.8V 70V SMB(DO-214AA) ESD and Surge Protection (TVS/ESD) ROHS</t>
  </si>
  <si>
    <t>SCHOTTKY DIODE SMB 100V 5A</t>
  </si>
  <si>
    <t>DIODE GEN PURP 100V 300MA SOD123</t>
  </si>
  <si>
    <t>40V 650mV@10A 10A SMC(DO-214AB) Schottky Barrier Diodes (SBD) ROHS</t>
  </si>
  <si>
    <t>DIODE SCHOTTKY 150V 20A TO2773</t>
  </si>
  <si>
    <t>DIODE SCHOTTKY 40V 380MA SOD523</t>
  </si>
  <si>
    <t>5V 10V 3.3V Bi-Directional SOD-882 ESD Protection Devices ROHS</t>
  </si>
  <si>
    <t>1A Single 1kV 1.1V@1A SMA(DO-214AC) Diodes - General Purpose ROHS</t>
  </si>
  <si>
    <t>SOT-23 TVS ROHS</t>
  </si>
  <si>
    <t>TVS DIODE 12VWM 19.9VC DO214AA</t>
  </si>
  <si>
    <t>DIODE SCHOTTKY 40V 1A SOD123</t>
  </si>
  <si>
    <t>5A 60W 12V 3.6V 3.3V SOD-523 ESD and Surge Protection (TVS/ESD) ROHS</t>
  </si>
  <si>
    <t>DIODE ZENER 12V 200MW SOD323</t>
  </si>
  <si>
    <t>CONN HEADER SMD 10POS 1.27MM</t>
  </si>
  <si>
    <t>52A 1x2P -40℃~+105℃ 300V Green Through Hole 10.16mm 1 2 P=10.16mm Screw Terminal Blocks ROHS</t>
  </si>
  <si>
    <t>TERMINAL BLOCK, PLUGGABLE, 5.08,</t>
  </si>
  <si>
    <t>CONN RCPT USB2.0 MICRO B SMD R/A</t>
  </si>
  <si>
    <t>CONN HEADER VERT 3POS 2.54MM</t>
  </si>
  <si>
    <t>CONN HEADER VERT 2POS 2.54MM</t>
  </si>
  <si>
    <t>1x12P 12P PicoBlade(MX 1.25) Tin 12 -25℃~+85℃ 2A 1 1.25mm Brass Surface Mount,Vertical SMD,P=1.25mm Wire To Board Connector ROHS</t>
  </si>
  <si>
    <t>3A Direct Insert Policy 1.7mm 2P 3mm -55℃~+105℃ 2.5mm 1.27mm Single Row Black Brass 1x2P Plugin,P=1.27mm Pin Headers ROHS</t>
  </si>
  <si>
    <t>1 Inner bore SMA Board Edge Bend -55℃~+155℃ 50Ω Plugin RF Connectors / Coaxial Connectors ROHS</t>
  </si>
  <si>
    <t>1x3P -40℃~+105℃ 8A 130V 18~26 Direct Insert 2.54mm 0.5~1 1 3 Plugin,P=2.54mm Screw Terminal Blocks ROHS</t>
  </si>
  <si>
    <t>1x6P 6P PicoBlade(MX 1.25) Tin 6 -25℃~+85℃ 2A 1 1.25mm Brass Surface Mount,Vertical SMD,P=1.25mm Wire To Board Connector ROHS</t>
  </si>
  <si>
    <t>1x16P PicoBlade(MX 1.25) 16P Tin 16 -25℃~+85℃ 2A 1 1.25mm Brass Surface Mount,Vertical SMD,P=1.25mm Wire To Board Connector ROHS</t>
  </si>
  <si>
    <t>CONN MICRO SD CARD PUSH-PUSH R/A</t>
  </si>
  <si>
    <t>Gold 250V 3A Straight Square Pins 2.5mm 2P 260℃ 6mm -40℃~+105℃ 3mm 2.54mm Plugin Black Brass 1x2P Plugin,P=2.54mm Pin Headers ROHS</t>
  </si>
  <si>
    <t>IND SMD 10uH 500mA 0805</t>
  </si>
  <si>
    <t>Inductor Power Shielded Wirewound 220uH 20% 1KHz Ferrite 1.3A 310mOhm DCR Blister</t>
  </si>
  <si>
    <t>3.7A 4.7uH ±20% SMD,7.3x7.3mm Power Inductors ROHS</t>
  </si>
  <si>
    <t>590mA 22uH ±20% SMD,4x4x1.8mm Power Inductors ROHS</t>
  </si>
  <si>
    <t>IND SMD 3.3UH 20A</t>
  </si>
  <si>
    <t>FIXED IND 470NH 4.9A 0.023OHM SM</t>
  </si>
  <si>
    <t>LED RED CLEAR CHIP SMD</t>
  </si>
  <si>
    <t>SENSOR PHOTO 630NM 2SMD</t>
  </si>
  <si>
    <t>RED LED 0603 Light Emitting Diodes</t>
  </si>
  <si>
    <t>Green 520~535nm 0402 Light Emitting Diodes (LED) RoHS</t>
  </si>
  <si>
    <t>Red 632nm LED Indication - Discrete 2.05V 0603 (1608 Metric)</t>
  </si>
  <si>
    <t>Externally Driven 85dB@3V,10cm 3V 2700Hz SMD,D=9mm Buzzers ROHS</t>
  </si>
  <si>
    <t>Test Point ON</t>
  </si>
  <si>
    <t>Single N-Channel, 20V, 4.7A, Power MOSFET</t>
  </si>
  <si>
    <t>TRANS NPN 160V 0.6A SOT-23</t>
  </si>
  <si>
    <t>MOSFET N-CH 130V 1A SOT23</t>
  </si>
  <si>
    <t>MOSFET N-CH 55V 110A D2PAK</t>
  </si>
  <si>
    <t>MOSFET P-CH 20V 3.7A SOT23</t>
  </si>
  <si>
    <t>TRANS NPN 40V 0.6A SMD SOT23-3</t>
  </si>
  <si>
    <t>MOSFET N-CH 60V 23A/100A TDSON</t>
  </si>
  <si>
    <t>N-CHANNEL 20-V (D-S) MOSFET</t>
  </si>
  <si>
    <t>30V 4.1A 60mΩ@10V,4.1A 350mW 3V@250uA P Channel SOT-23 MOSFETs ROHS</t>
  </si>
  <si>
    <t>MOSFET N-CH 60V 115MA SOT23-3</t>
  </si>
  <si>
    <t>100mW Thick Film Resistor 75V ±100ppm/℃ ±1% 3.6kΩ 0603 Chip Resistor - Surface Mount ROHS</t>
  </si>
  <si>
    <t>±1% 1/10W Thick Film Resistors 75V ±600ppm/℃ -55℃~+155℃ 0.33Ω 0603 Chip Resistor - Surface Mount ROHS</t>
  </si>
  <si>
    <t>RES SMD 1.2K OHM 1% 1/10W 0603</t>
  </si>
  <si>
    <t>RES SMD 4.7K OHM 1% 1/10W 0603</t>
  </si>
  <si>
    <t>RES SMD 4.7K OHM 0.1% 1/10W 0603</t>
  </si>
  <si>
    <t>RES SMD 6.8K OHM 0.1% 1/10W 0603</t>
  </si>
  <si>
    <t>RES 20K OHM 1% 1/10W 0603</t>
  </si>
  <si>
    <t>100mW Thick Film Resistors 75V ±1% ±100ppm/℃ -55℃~+155℃ 2.21MΩ 0603 Chip Resistor - Surface Mount ROHS</t>
  </si>
  <si>
    <t>RES 15K OHM 1% 1/10W 0603</t>
  </si>
  <si>
    <t>RES 3.3K OHM 0.5% 1/10W 0603</t>
  </si>
  <si>
    <t>RES SMD 680 OHM 1% 1/10W 0603</t>
  </si>
  <si>
    <t>RES 4.7K OHM 1% 1/16W 0402</t>
  </si>
  <si>
    <t>RES 10K OHM 1% 1/10W 0603</t>
  </si>
  <si>
    <t>RES 150 OHM 0.5% 1/10W 0603</t>
  </si>
  <si>
    <t>RES 2.2K OHM 1% 1/10W 0603</t>
  </si>
  <si>
    <t>RES SMD 10K Ohm 1% 1/10W 0603</t>
  </si>
  <si>
    <t>RES SMD 47OHM 0.1W 0603</t>
  </si>
  <si>
    <t>RES 1K OHM 5% 1/16W 0402</t>
  </si>
  <si>
    <t>RES 0 OHM JUMPER 1/10W 0603</t>
  </si>
  <si>
    <t>RES SMD 20K OHM 0.1% 1/10W 0603</t>
  </si>
  <si>
    <t>RES 100K OHM 1% 1/8W 0805</t>
  </si>
  <si>
    <t>RES SMD 1K OHM 1% 1/10W 0603</t>
  </si>
  <si>
    <t>RES SMD 7.5K OHM 0.1% 1/10W 0603</t>
  </si>
  <si>
    <t>RES SMD 100 OHM 1% 1/4W 0603</t>
  </si>
  <si>
    <t>RES SMD 200K OHM 1% 1/10W 0603</t>
  </si>
  <si>
    <t>RES 10 OHM 1% 1/8W 0805</t>
  </si>
  <si>
    <t>RES 499K OHM 0.1% 1/16W 0402</t>
  </si>
  <si>
    <t>RES SMD 36K OHM 0.1% 1/16W 0402</t>
  </si>
  <si>
    <t>RES SMD 13.7KOHM 0.1% 1/10W 0603</t>
  </si>
  <si>
    <t>RES 0 OHM JUMPER 1/16W 0402</t>
  </si>
  <si>
    <t>RES 5.23K OHM 1% 1/8W 0805</t>
  </si>
  <si>
    <t>RES 30.1K OHM 1% 1/10W 0603</t>
  </si>
  <si>
    <t>100mW Thin Film Resistor 75V ±25ppm/℃ ±0.1% 499kΩ 0603 Chip Resistor - Surface Mount ROHS</t>
  </si>
  <si>
    <t>RES SMD 86.6KOHM 0.1% 1/16W 0402</t>
  </si>
  <si>
    <t>RES 0 OHM JUMPER 1W 2512</t>
  </si>
  <si>
    <t>RES 2.2 OHM 1% 1/16W 0402</t>
  </si>
  <si>
    <t>RES SMD 100K OHM 5% 1/20W 0201</t>
  </si>
  <si>
    <t>RES 47K OHM 1% 1/16W 0402</t>
  </si>
  <si>
    <t>RES 1K OHM 1% 1/2W 1206</t>
  </si>
  <si>
    <t>RES SMD 63.4KOHM 0.1% 1/10W 0603</t>
  </si>
  <si>
    <t>RES 470 OHM 1% 1/10W 0603</t>
  </si>
  <si>
    <t>RES 10K OHM 1% 1/16W 0402</t>
  </si>
  <si>
    <t>RES SMD 3.3K OHM 1% 1/10W 0603</t>
  </si>
  <si>
    <t>RES SMD 1.82M OHM 1% 1/10W 0603</t>
  </si>
  <si>
    <t>RES 1K OHM 1% 1/16W 0402</t>
  </si>
  <si>
    <t>RES 0 OHM JUMPER 1/4W 1206</t>
  </si>
  <si>
    <t>3W 4mΩ Surface Mount Current Sense Resistor ±50ppm/℃ ±1% 2512 Current Sense Resistors / Shunt Resistors ROHS</t>
  </si>
  <si>
    <t>RES SMD 100 OHM 1% 1/10W 0603</t>
  </si>
  <si>
    <t>RES 470 OHM 5% 1/20W 0201</t>
  </si>
  <si>
    <t>1W Thick Film Resistor 200V ±5% ±800ppm/℃ 0Ω 2512 Chip Resistor - Surface Mount ROHS</t>
  </si>
  <si>
    <t>RES SMD 10K OHM 1% 1/20W 0201</t>
  </si>
  <si>
    <t>RES SMD 1M OHM 1% 1/10W 0603</t>
  </si>
  <si>
    <t>RES SMD 402K OHM 1% 1/10W 0603</t>
  </si>
  <si>
    <t>RES 845K OHM 1% 1/10W 0603</t>
  </si>
  <si>
    <t>RES 499K OHM 1% 1/10W 0603</t>
  </si>
  <si>
    <t>RES SMD 33K OHM 5% 1/10W 0603</t>
  </si>
  <si>
    <t>RES SMD 100K OHM 0.1% 1/10W 0603</t>
  </si>
  <si>
    <t>RES SMD 120 OHM 0.1% 1/10W 0603</t>
  </si>
  <si>
    <t>RES 1M OHM 1% 1/16W 0402</t>
  </si>
  <si>
    <t>RES 5.1K OHM 1% 1/16W 0402</t>
  </si>
  <si>
    <t>RES 120 OHM 1% 1/10W 0603</t>
  </si>
  <si>
    <t>RES 51K OHM 0.1% 1/16W 0402</t>
  </si>
  <si>
    <t>RES 2.7K OHM 1% 1/16W 0402</t>
  </si>
  <si>
    <t>SWITCH TACTILE SPST-NO 0.05A 12V</t>
  </si>
  <si>
    <t>Straight 1A SPDT 8.7mm 8.6mm 24V 4.5mm Black PCPin 10000 Rectangular columnar -25℃~+70℃ Plugin Slide Switches ROHS</t>
  </si>
  <si>
    <t>SENSOR CURRENT HALL 20A DC</t>
  </si>
  <si>
    <t>IC REG BUCK BST ADJ 1.5A 8SOIC</t>
  </si>
  <si>
    <t>IC REG LINEAR 3.3V 1A SOT223</t>
  </si>
  <si>
    <t>IC REG BUCK-BOOST ADJ 3A 16TQFN</t>
  </si>
  <si>
    <t>IC GATE DRVR LOW-SIDE 8SOIC</t>
  </si>
  <si>
    <t>IC OR CTRLR N+1 8MSOP</t>
  </si>
  <si>
    <t>IC BUF NON-INVERT 5.5V SOT23-5</t>
  </si>
  <si>
    <t>TransistorOptocouplers DC 1 2500Vrms SOP-4_P1.27 Optocouplers RoHS</t>
  </si>
  <si>
    <t>IC BATT CHG MULTI-CHEM 16VQFN</t>
  </si>
  <si>
    <t>IC COMPARATOR 2 WINDW SOT23-THIN</t>
  </si>
  <si>
    <t>IC REG LDO ADJ 3A TO263-5</t>
  </si>
  <si>
    <t>IC GATE DRVR LOW-SIDE SOT23-5</t>
  </si>
  <si>
    <t>Plugin Human Body Sensing Sensor ROHS</t>
  </si>
  <si>
    <t>40V 20A 17mΩ@10V,10A 21W 1.6V@250uA 72pF@20V 2 N-Channel 1.05nF@20V 11nC@10V +150℃@(Tj) PDFN3x3</t>
  </si>
  <si>
    <t>IC MCU 32BIT 1MB FLASH 144LQFP</t>
  </si>
  <si>
    <t>HC12 Si4463 433MHZ RF Wireless Serial Module</t>
  </si>
  <si>
    <t>SOT-23-5 Power Distribution Switches ROHS</t>
  </si>
  <si>
    <t>IC REG BUCK 5V 2A TSOT26</t>
  </si>
  <si>
    <t>SOT-23-5 Precision OpAmps ROHS</t>
  </si>
  <si>
    <t>WK2124 SPI Bus Interface Wide Operating Voltage 4-Channel 256-Level FIFO High-Speed UART</t>
  </si>
  <si>
    <t>SOP-8 RS-485/RS-422 ICs ROHS</t>
  </si>
  <si>
    <t>ESOP-8 Digital to Analog Converters (DAC) ROHS</t>
  </si>
  <si>
    <t>boost converterType 1 Boost 28V 2V~24V 1.2MHz SOT-23-6 DC-DC Converters ROHS</t>
  </si>
  <si>
    <t>CRYSTAL 25.0000MHZ 12PF SMD</t>
  </si>
  <si>
    <t>14.7456MHz Surface Mount Crystal 20pF ±10ppm ±30ppm SMD3225-4P Crystals ROHS</t>
  </si>
  <si>
    <t>CRYSTAL 32.7680KHZ 12.5PF SMD</t>
  </si>
  <si>
    <t>Footprint</t>
  </si>
  <si>
    <t>Cap-1206</t>
  </si>
  <si>
    <t>Cap-0603</t>
  </si>
  <si>
    <t>Cap-0402</t>
  </si>
  <si>
    <t>VT1H471MI135000CE0</t>
  </si>
  <si>
    <t>Cap-0201</t>
  </si>
  <si>
    <t>Cap-0805</t>
  </si>
  <si>
    <t>UUD1A102MNL1GS</t>
  </si>
  <si>
    <t>Case-E</t>
  </si>
  <si>
    <t>Case-B</t>
  </si>
  <si>
    <t>CAP-0201</t>
  </si>
  <si>
    <t>SCCU25B256SRB</t>
  </si>
  <si>
    <t>SMA Bi Directional</t>
  </si>
  <si>
    <t>Sot-23</t>
  </si>
  <si>
    <t>SOD323F</t>
  </si>
  <si>
    <t>SMB_</t>
  </si>
  <si>
    <t>SOD-123</t>
  </si>
  <si>
    <t>SMC</t>
  </si>
  <si>
    <t>TO-277A</t>
  </si>
  <si>
    <t>SOD-523</t>
  </si>
  <si>
    <t>SOD-882 Bi Directional</t>
  </si>
  <si>
    <t>SMA(DO-214AC)</t>
  </si>
  <si>
    <t>SOT-23</t>
  </si>
  <si>
    <t>SOD-523 (Bi-Directional)</t>
  </si>
  <si>
    <t>SOD-323</t>
  </si>
  <si>
    <t>DB135-10.16-2P-GN-P</t>
  </si>
  <si>
    <t>TBP01R1-508-02BE</t>
  </si>
  <si>
    <t>TBP01R1-508-04BE</t>
  </si>
  <si>
    <t>HC-1.25-12PLT</t>
  </si>
  <si>
    <t>HDR 1x2 Male 1.27mm</t>
  </si>
  <si>
    <t>DB125-2.54-3P-GN-S</t>
  </si>
  <si>
    <t>HC-1.25-6PLT</t>
  </si>
  <si>
    <t>HC-1.25-16PLT</t>
  </si>
  <si>
    <t>DM3BT-DSF-PEJS</t>
  </si>
  <si>
    <t>HDR1X2_</t>
  </si>
  <si>
    <t>Ind-0805</t>
  </si>
  <si>
    <t>SLF12575T-221M1R3-PF</t>
  </si>
  <si>
    <t>YPRH0704-4R7M</t>
  </si>
  <si>
    <t>YNR4018-220M</t>
  </si>
  <si>
    <t>SRP1245CC-3R3M</t>
  </si>
  <si>
    <t>Inductor 1008</t>
  </si>
  <si>
    <t>LED-0402</t>
  </si>
  <si>
    <t>ALS-PT19-315C/L177/TR_</t>
  </si>
  <si>
    <t>LED-0603</t>
  </si>
  <si>
    <t>Test-point - 0.5mm</t>
  </si>
  <si>
    <t>sot-23</t>
  </si>
  <si>
    <t>D2Pak.</t>
  </si>
  <si>
    <t>PG-TDSON-8-7</t>
  </si>
  <si>
    <t>Res-0603</t>
  </si>
  <si>
    <t>RES-0603</t>
  </si>
  <si>
    <t>Res-0402</t>
  </si>
  <si>
    <t>RES-0805</t>
  </si>
  <si>
    <t>RES-2512</t>
  </si>
  <si>
    <t>Res-0201</t>
  </si>
  <si>
    <t>Res-1206</t>
  </si>
  <si>
    <t>Res-2512</t>
  </si>
  <si>
    <t>SS-12D02-G040</t>
  </si>
  <si>
    <t>SOP-8</t>
  </si>
  <si>
    <t>SOIC-8</t>
  </si>
  <si>
    <t>SOT- 223</t>
  </si>
  <si>
    <t>16-QFN (3x3).</t>
  </si>
  <si>
    <t>MSOP-8</t>
  </si>
  <si>
    <t>SOT-23-5</t>
  </si>
  <si>
    <t>SOP-4_1.27</t>
  </si>
  <si>
    <t>QFN-16-EP(3.6x3.6)</t>
  </si>
  <si>
    <t>SOT-23-6</t>
  </si>
  <si>
    <t>TO-263-5 (D2PAK)</t>
  </si>
  <si>
    <t>AS312</t>
  </si>
  <si>
    <t>DFN-8(3.2x3.2)</t>
  </si>
  <si>
    <t>LQFP-144(20x20)</t>
  </si>
  <si>
    <t>HC-12 Module SMD</t>
  </si>
  <si>
    <t>TSOT-23-6</t>
  </si>
  <si>
    <t>SSOP-20-208mil</t>
  </si>
  <si>
    <t>ESOP-8</t>
  </si>
  <si>
    <t>Q22FA12800090</t>
  </si>
  <si>
    <t>SMD3225-4P</t>
  </si>
  <si>
    <t>Manufacturer Part Number</t>
  </si>
  <si>
    <t>RVT1E100M0405</t>
  </si>
  <si>
    <t>CC1206KKX7R0BB104</t>
  </si>
  <si>
    <t>CC0603KRX5R8BB105</t>
  </si>
  <si>
    <t>CC0402GRNPO9BN300</t>
  </si>
  <si>
    <t>CC0603ZRY5V9BB104</t>
  </si>
  <si>
    <t>CC0402KRX5R7BB105</t>
  </si>
  <si>
    <t>UWX1E101MCL1GB</t>
  </si>
  <si>
    <t>C1005C0G1E102JT000F</t>
  </si>
  <si>
    <t>C1005X5R1H104K050BB</t>
  </si>
  <si>
    <t>CC0603KRX7R9BB471</t>
  </si>
  <si>
    <t>CC0201JRNPO9BN150</t>
  </si>
  <si>
    <t>CC0603KRX7R9BB105</t>
  </si>
  <si>
    <t>CC1206JRX7R0BB473</t>
  </si>
  <si>
    <t>CC0402KRX5R7BB104</t>
  </si>
  <si>
    <t>CC0402JRX7R7BB104</t>
  </si>
  <si>
    <t>GRM188R6YA106MA73D</t>
  </si>
  <si>
    <t>C2012X5R1V226MT000E</t>
  </si>
  <si>
    <t>CC0603KRX5R7BB106</t>
  </si>
  <si>
    <t>CL05B104KB54PNC</t>
  </si>
  <si>
    <t>C1608X5R1E106M080AC</t>
  </si>
  <si>
    <t>GRM155R62A104KE14D</t>
  </si>
  <si>
    <t>TAJE337M016RNJ</t>
  </si>
  <si>
    <t>TAJB107M010RNJ</t>
  </si>
  <si>
    <t>CC0402MRX5R6BB106</t>
  </si>
  <si>
    <t>GRM033C81E104KE14D</t>
  </si>
  <si>
    <t>C3216X5R1E476M160AC</t>
  </si>
  <si>
    <t>CC0603KRX5R9BB474</t>
  </si>
  <si>
    <t>CC0603KRX7R9BB222</t>
  </si>
  <si>
    <t>CC0603MRX5R6BB226</t>
  </si>
  <si>
    <t>GRM155R61E225KE11D</t>
  </si>
  <si>
    <t>CC0603KRX5R9BB104</t>
  </si>
  <si>
    <t>CC0402KRX7R8BB104</t>
  </si>
  <si>
    <t>EMK212BB7106MG-T</t>
  </si>
  <si>
    <t>CC0402KRX5R8BB105</t>
  </si>
  <si>
    <t>CC0805KKX5R8BB106</t>
  </si>
  <si>
    <t>SS24A</t>
  </si>
  <si>
    <t>1SMA5930BT3G</t>
  </si>
  <si>
    <t>SMAJ5.0CA</t>
  </si>
  <si>
    <t>ESD5302F-3/TR</t>
  </si>
  <si>
    <t>MM3Z3V3B</t>
  </si>
  <si>
    <t>SMBJ70A/TR13</t>
  </si>
  <si>
    <t>SS510B</t>
  </si>
  <si>
    <t>1N4148W-7-F</t>
  </si>
  <si>
    <t>SK104C</t>
  </si>
  <si>
    <t>FSV20150V</t>
  </si>
  <si>
    <t>ZLLS350TA</t>
  </si>
  <si>
    <t>LESD8D3.3CAT5G</t>
  </si>
  <si>
    <t>1N4007</t>
  </si>
  <si>
    <t>SM712</t>
  </si>
  <si>
    <t>SMBJ12A</t>
  </si>
  <si>
    <t>1N5819HW-7-F</t>
  </si>
  <si>
    <t>ESD5Z3.3C</t>
  </si>
  <si>
    <t>MMSZ5242BS-7-F</t>
  </si>
  <si>
    <t>20021121-00010C4LF</t>
  </si>
  <si>
    <t>10118194-0001LF</t>
  </si>
  <si>
    <t>1.27-1*2P</t>
  </si>
  <si>
    <t>HJ-SMA508</t>
  </si>
  <si>
    <t>X6511WV-02H-C60D30</t>
  </si>
  <si>
    <t>MGFL2012F100MT-LF</t>
  </si>
  <si>
    <t>DFE252012F-R47M=P2</t>
  </si>
  <si>
    <t>XZMDK68W-2</t>
  </si>
  <si>
    <t>ALS-PT19-315C/L177/TR8</t>
  </si>
  <si>
    <t>NCD0603R3</t>
  </si>
  <si>
    <t>16-213/GHC-YR1S1/3T</t>
  </si>
  <si>
    <t>19-21/R7C-AK1L2BY/3T</t>
  </si>
  <si>
    <t>YS-SBZ9032C03R16</t>
  </si>
  <si>
    <t>WNM2016A-3/TR</t>
  </si>
  <si>
    <t>MMBT5551LT1G</t>
  </si>
  <si>
    <t>DMN13H750S-7</t>
  </si>
  <si>
    <t>IRF3205STRLPBF</t>
  </si>
  <si>
    <t>IRLML6402TRPBF</t>
  </si>
  <si>
    <t>MMBT2222A-7-F</t>
  </si>
  <si>
    <t>BSC028N06NSATMA1</t>
  </si>
  <si>
    <t>SI2302CDS</t>
  </si>
  <si>
    <t>AO3407</t>
  </si>
  <si>
    <t>2N7002-7-F</t>
  </si>
  <si>
    <t>0603WAF3601T5E</t>
  </si>
  <si>
    <t>RTT03R330FTP</t>
  </si>
  <si>
    <t>RC0603FR-071K2L</t>
  </si>
  <si>
    <t>RC0603FR-074K7L</t>
  </si>
  <si>
    <t>RT0603BRD074K7L</t>
  </si>
  <si>
    <t>RT0603BRE076K8L</t>
  </si>
  <si>
    <t>RC0603FR-0720KL</t>
  </si>
  <si>
    <t>0603WAF2214T5E</t>
  </si>
  <si>
    <t>RC0603FR-0715KL</t>
  </si>
  <si>
    <t>RC0603DR-073K3L</t>
  </si>
  <si>
    <t>RC0603FR-07680RL</t>
  </si>
  <si>
    <t>RC0402FR-074K7L</t>
  </si>
  <si>
    <t>RC0603DR-07150RL</t>
  </si>
  <si>
    <t>RC0603FR-072K2L</t>
  </si>
  <si>
    <t>RC0603FR-0710KL</t>
  </si>
  <si>
    <t>RC0603FR-0747RL</t>
  </si>
  <si>
    <t>RC0402JR-071KL</t>
  </si>
  <si>
    <t>RC0603JR-070RL</t>
  </si>
  <si>
    <t>RT0603BRD0720KL</t>
  </si>
  <si>
    <t>RC0805FR-07100KL</t>
  </si>
  <si>
    <t>RC0603FR-071KL</t>
  </si>
  <si>
    <t>RT0603BRD077K5L</t>
  </si>
  <si>
    <t>RCA0603100RFKEAHP</t>
  </si>
  <si>
    <t>RC0603FR-07200KL</t>
  </si>
  <si>
    <t>RC0805FR-0710RL</t>
  </si>
  <si>
    <t>RC0402BR-07499KL</t>
  </si>
  <si>
    <t>RT0402BRD0736KL</t>
  </si>
  <si>
    <t>AT0603BRD0713K7L</t>
  </si>
  <si>
    <t>RC0402FR-070RL</t>
  </si>
  <si>
    <t>RC0805FR-075K23L</t>
  </si>
  <si>
    <t>RC0603FR-0730K1L</t>
  </si>
  <si>
    <t>TR0603B499KP0525Z</t>
  </si>
  <si>
    <t>RT0402BRD0786K6L</t>
  </si>
  <si>
    <t>RC2512JK-070RL</t>
  </si>
  <si>
    <t>RC0402FR-072R2L</t>
  </si>
  <si>
    <t>RC0201JR-07100KL</t>
  </si>
  <si>
    <t>RC0402FR-0747KL</t>
  </si>
  <si>
    <t>RC1206FR-7W1KL</t>
  </si>
  <si>
    <t>RT0603BRE0763K4L</t>
  </si>
  <si>
    <t>RC0603FR-07470RL</t>
  </si>
  <si>
    <t>RC0402FR-0710KL</t>
  </si>
  <si>
    <t>RC0603FR-073K3L</t>
  </si>
  <si>
    <t>CRCW06031M82FKEA</t>
  </si>
  <si>
    <t>RC0402FR-071KL</t>
  </si>
  <si>
    <t>RC1206JR-070RL</t>
  </si>
  <si>
    <t>HoLLR2512-3W-4mR-1%</t>
  </si>
  <si>
    <t>RC0603FR-07100RL</t>
  </si>
  <si>
    <t>RC0201JR-07470RL</t>
  </si>
  <si>
    <t>25121WJ0000T4E</t>
  </si>
  <si>
    <t>RC0201FR-0710KL</t>
  </si>
  <si>
    <t>RC0603FR-071ML</t>
  </si>
  <si>
    <t>CRCW0603402KFKEA</t>
  </si>
  <si>
    <t>RC0603FR-07845KL</t>
  </si>
  <si>
    <t>RC0603FR-07499KL</t>
  </si>
  <si>
    <t>RT0603BRD07100KL</t>
  </si>
  <si>
    <t>RT0603BRB07120RL</t>
  </si>
  <si>
    <t>RC0402FR-071ML</t>
  </si>
  <si>
    <t>RC0402FR-075K1L</t>
  </si>
  <si>
    <t>RC0603FR-07120RL</t>
  </si>
  <si>
    <t>AT0402BRD0751KL</t>
  </si>
  <si>
    <t>TL3300CF160Q</t>
  </si>
  <si>
    <t>ACS723LLCTR-20AU-T</t>
  </si>
  <si>
    <t>MC34063ADR</t>
  </si>
  <si>
    <t>LMS8117AMP-3.3/NOPB</t>
  </si>
  <si>
    <t>MAX38889AATE+</t>
  </si>
  <si>
    <t>NCP81071ADR2G</t>
  </si>
  <si>
    <t>LTC4359CMS8#PBF</t>
  </si>
  <si>
    <t>SN74LV1T34DBVR</t>
  </si>
  <si>
    <t>PS2801C-1-F3-A</t>
  </si>
  <si>
    <t>BQ24650RVAR</t>
  </si>
  <si>
    <t>TPS3700DDCR</t>
  </si>
  <si>
    <t>MIC29302WU-TR</t>
  </si>
  <si>
    <t>UCC27517DBVR</t>
  </si>
  <si>
    <t>AP4008QD</t>
  </si>
  <si>
    <t>STM32H723ZGT6</t>
  </si>
  <si>
    <t>HC-12</t>
  </si>
  <si>
    <t>SY6280AAC</t>
  </si>
  <si>
    <t>AP63205WU-7</t>
  </si>
  <si>
    <t>TP5591-TR</t>
  </si>
  <si>
    <t>WK2124-ISSG</t>
  </si>
  <si>
    <t>SP3485EIM/TR</t>
  </si>
  <si>
    <t>GP8211S-TC50-EW</t>
  </si>
  <si>
    <t>MT3608</t>
  </si>
  <si>
    <t>SX3B14.7456F2010F30</t>
  </si>
  <si>
    <t>NX3215SA-32.768K-STD-MUA-8</t>
  </si>
  <si>
    <t>Manufacturer</t>
  </si>
  <si>
    <t>ROQANG</t>
  </si>
  <si>
    <t>Yageo</t>
  </si>
  <si>
    <t>Nichicon</t>
  </si>
  <si>
    <t>TDK</t>
  </si>
  <si>
    <t>Changzhou Huawei Elec</t>
  </si>
  <si>
    <t>Murata</t>
  </si>
  <si>
    <t>TDK Corporation</t>
  </si>
  <si>
    <t>Samsung</t>
  </si>
  <si>
    <t>Kyocera AVX</t>
  </si>
  <si>
    <t>Taiyo Yuden</t>
  </si>
  <si>
    <t>Guangdong Hottech</t>
  </si>
  <si>
    <t>onsemi</t>
  </si>
  <si>
    <t>FTR</t>
  </si>
  <si>
    <t>WILLSEMI</t>
  </si>
  <si>
    <t>ON Semiconductor / Fairchild</t>
  </si>
  <si>
    <t>Brightking</t>
  </si>
  <si>
    <t>MDD</t>
  </si>
  <si>
    <t>Diodes Zetex</t>
  </si>
  <si>
    <t>LRC</t>
  </si>
  <si>
    <t>TWGMC</t>
  </si>
  <si>
    <t>TECH PUBLIC</t>
  </si>
  <si>
    <t>Littelfuse</t>
  </si>
  <si>
    <t>MDD(Microdiode Semiconductor)</t>
  </si>
  <si>
    <t>Amphenol FCI</t>
  </si>
  <si>
    <t>DORABO</t>
  </si>
  <si>
    <t>CUI Devices</t>
  </si>
  <si>
    <t>Molex</t>
  </si>
  <si>
    <t>HCTL</t>
  </si>
  <si>
    <t>BOOMELE(BOOM Precision Elec)</t>
  </si>
  <si>
    <t>HJ Tech</t>
  </si>
  <si>
    <t>Hirose</t>
  </si>
  <si>
    <t>XKB</t>
  </si>
  <si>
    <t>microgate</t>
  </si>
  <si>
    <t>YJYCOIN</t>
  </si>
  <si>
    <t>Bourns</t>
  </si>
  <si>
    <t>SunLED</t>
  </si>
  <si>
    <t>Everlight</t>
  </si>
  <si>
    <t>Foshan NationStar Optoelectronics</t>
  </si>
  <si>
    <t>Everlight Elec</t>
  </si>
  <si>
    <t>Fengming</t>
  </si>
  <si>
    <t>ON Semiconductor</t>
  </si>
  <si>
    <t>Diodes Incorporated</t>
  </si>
  <si>
    <t>Infineon Technologies</t>
  </si>
  <si>
    <t>International Rectifier</t>
  </si>
  <si>
    <t>Infineon</t>
  </si>
  <si>
    <t>UNI-ROYAL(Uniroyal Elec)</t>
  </si>
  <si>
    <t>RALEC</t>
  </si>
  <si>
    <t>Vishay Dale</t>
  </si>
  <si>
    <t>Ever Ohms</t>
  </si>
  <si>
    <t>Yageo Phycomp</t>
  </si>
  <si>
    <t>Vishay</t>
  </si>
  <si>
    <t>Milliohm</t>
  </si>
  <si>
    <t>Royal Electronic Factory</t>
  </si>
  <si>
    <t>E-Switch</t>
  </si>
  <si>
    <t>G-Switch</t>
  </si>
  <si>
    <t>Allegro MicroSystems, LLC</t>
  </si>
  <si>
    <t>Texas Instruments</t>
  </si>
  <si>
    <t>Analog Devices</t>
  </si>
  <si>
    <t>Analog Devices / Linear Technology</t>
  </si>
  <si>
    <t>RENESAS</t>
  </si>
  <si>
    <t>Microchip</t>
  </si>
  <si>
    <t>Senba Sensing Tech</t>
  </si>
  <si>
    <t>ALLPOWER(ShenZhen Quan Li Semiconductor)</t>
  </si>
  <si>
    <t>STMicroelectronics</t>
  </si>
  <si>
    <t>Silergy</t>
  </si>
  <si>
    <t>3PEAK</t>
  </si>
  <si>
    <t>WEIKAI</t>
  </si>
  <si>
    <t>HGSEMI</t>
  </si>
  <si>
    <t>Guestgood</t>
  </si>
  <si>
    <t>XI'AN Aerosemi Tech</t>
  </si>
  <si>
    <t>Seiko Epson</t>
  </si>
  <si>
    <t>Shenzhen SCTF Elec</t>
  </si>
  <si>
    <t>NDK</t>
  </si>
  <si>
    <t>LCSC Part Number</t>
  </si>
  <si>
    <t>C970655</t>
  </si>
  <si>
    <t>C107181</t>
  </si>
  <si>
    <t>C14664</t>
  </si>
  <si>
    <t>C277479</t>
  </si>
  <si>
    <t>C106221</t>
  </si>
  <si>
    <t>C325464</t>
  </si>
  <si>
    <t>C343059</t>
  </si>
  <si>
    <t>C2181865</t>
  </si>
  <si>
    <t>C107092</t>
  </si>
  <si>
    <t>C277480</t>
  </si>
  <si>
    <t>C559769</t>
  </si>
  <si>
    <t>C577197</t>
  </si>
  <si>
    <t>C106204</t>
  </si>
  <si>
    <t>C541464</t>
  </si>
  <si>
    <t>C194427</t>
  </si>
  <si>
    <t>C338080</t>
  </si>
  <si>
    <t>C445277</t>
  </si>
  <si>
    <t>C2936601</t>
  </si>
  <si>
    <t>C307331</t>
  </si>
  <si>
    <t>C2168289</t>
  </si>
  <si>
    <t>C162178</t>
  </si>
  <si>
    <t>C51599</t>
  </si>
  <si>
    <t>C7196</t>
  </si>
  <si>
    <t>C962143</t>
  </si>
  <si>
    <t>C2167787</t>
  </si>
  <si>
    <t>C513651</t>
  </si>
  <si>
    <t>C107082</t>
  </si>
  <si>
    <t>C109447</t>
  </si>
  <si>
    <t>C385032</t>
  </si>
  <si>
    <t>C110022</t>
  </si>
  <si>
    <t>C105883</t>
  </si>
  <si>
    <t>C141287</t>
  </si>
  <si>
    <t>C326568</t>
  </si>
  <si>
    <t>C89831</t>
  </si>
  <si>
    <t>C2886579</t>
  </si>
  <si>
    <t>C128848</t>
  </si>
  <si>
    <t>C693487</t>
  </si>
  <si>
    <t>C239643</t>
  </si>
  <si>
    <t>C2978865</t>
  </si>
  <si>
    <t>C309982</t>
  </si>
  <si>
    <t>C3011128</t>
  </si>
  <si>
    <t>C83528</t>
  </si>
  <si>
    <t>C59500</t>
  </si>
  <si>
    <t>C606024</t>
  </si>
  <si>
    <t>C139441</t>
  </si>
  <si>
    <t>C172409</t>
  </si>
  <si>
    <t>C727081</t>
  </si>
  <si>
    <t>C521963</t>
  </si>
  <si>
    <t>C151251</t>
  </si>
  <si>
    <t>C82544</t>
  </si>
  <si>
    <t>C502551</t>
  </si>
  <si>
    <t>C151457</t>
  </si>
  <si>
    <t>C150517</t>
  </si>
  <si>
    <t>C2981775</t>
  </si>
  <si>
    <t>C132563</t>
  </si>
  <si>
    <t>C505163</t>
  </si>
  <si>
    <t>C505162</t>
  </si>
  <si>
    <t>C2937190</t>
  </si>
  <si>
    <t>C703015</t>
  </si>
  <si>
    <t>C1509209</t>
  </si>
  <si>
    <t>C918121</t>
  </si>
  <si>
    <t>C2845392</t>
  </si>
  <si>
    <t>C3012301</t>
  </si>
  <si>
    <t>C597972</t>
  </si>
  <si>
    <t>C706874</t>
  </si>
  <si>
    <t>C281113</t>
  </si>
  <si>
    <t>C93225</t>
  </si>
  <si>
    <t>C514806</t>
  </si>
  <si>
    <t>C340373</t>
  </si>
  <si>
    <t>C146233</t>
  </si>
  <si>
    <t>C3151730</t>
  </si>
  <si>
    <t>C74338</t>
  </si>
  <si>
    <t>C1322287</t>
  </si>
  <si>
    <t>C409828</t>
  </si>
  <si>
    <t>C601105</t>
  </si>
  <si>
    <t>C909756</t>
  </si>
  <si>
    <t>C156273</t>
  </si>
  <si>
    <t>C2613</t>
  </si>
  <si>
    <t>C5182043</t>
  </si>
  <si>
    <t>C94515</t>
  </si>
  <si>
    <t>C148250</t>
  </si>
  <si>
    <t>C5310968</t>
  </si>
  <si>
    <t>C181093</t>
  </si>
  <si>
    <t>C85049</t>
  </si>
  <si>
    <t>C22980</t>
  </si>
  <si>
    <t>C103893</t>
  </si>
  <si>
    <t>C114605</t>
  </si>
  <si>
    <t>C99782</t>
  </si>
  <si>
    <t>C513565</t>
  </si>
  <si>
    <t>C705876</t>
  </si>
  <si>
    <t>C105575</t>
  </si>
  <si>
    <t>C422956</t>
  </si>
  <si>
    <t>C114661</t>
  </si>
  <si>
    <t>C723574</t>
  </si>
  <si>
    <t>C112310</t>
  </si>
  <si>
    <t>C105871</t>
  </si>
  <si>
    <t>C362180</t>
  </si>
  <si>
    <t>C471801</t>
  </si>
  <si>
    <t>C114662</t>
  </si>
  <si>
    <t>C98220</t>
  </si>
  <si>
    <t>C114623</t>
  </si>
  <si>
    <t>C105637</t>
  </si>
  <si>
    <t>C95177</t>
  </si>
  <si>
    <t>C723637</t>
  </si>
  <si>
    <t>C96346</t>
  </si>
  <si>
    <t>C22548</t>
  </si>
  <si>
    <t>C728597</t>
  </si>
  <si>
    <t>C2074203</t>
  </si>
  <si>
    <t>C105574</t>
  </si>
  <si>
    <t>C96347</t>
  </si>
  <si>
    <t>C851813</t>
  </si>
  <si>
    <t>C852742</t>
  </si>
  <si>
    <t>C855608</t>
  </si>
  <si>
    <t>C106231</t>
  </si>
  <si>
    <t>C274009</t>
  </si>
  <si>
    <t>C137745</t>
  </si>
  <si>
    <t>C149937</t>
  </si>
  <si>
    <t>C852935</t>
  </si>
  <si>
    <t>C189505</t>
  </si>
  <si>
    <t>C327251</t>
  </si>
  <si>
    <t>C106230</t>
  </si>
  <si>
    <t>C93943</t>
  </si>
  <si>
    <t>C859155</t>
  </si>
  <si>
    <t>C862245</t>
  </si>
  <si>
    <t>C114669</t>
  </si>
  <si>
    <t>C60490</t>
  </si>
  <si>
    <t>C108078</t>
  </si>
  <si>
    <t>C106235</t>
  </si>
  <si>
    <t>C2994642</t>
  </si>
  <si>
    <t>C105588</t>
  </si>
  <si>
    <t>C163491</t>
  </si>
  <si>
    <t>C25469</t>
  </si>
  <si>
    <t>C106225</t>
  </si>
  <si>
    <t>C105578</t>
  </si>
  <si>
    <t>C131054</t>
  </si>
  <si>
    <t>C4342762</t>
  </si>
  <si>
    <t>C122538</t>
  </si>
  <si>
    <t>C860088</t>
  </si>
  <si>
    <t>C138033</t>
  </si>
  <si>
    <t>C105872</t>
  </si>
  <si>
    <t>C114640</t>
  </si>
  <si>
    <t>C5455493</t>
  </si>
  <si>
    <t>C138017</t>
  </si>
  <si>
    <t>C273516</t>
  </si>
  <si>
    <t>C2876023</t>
  </si>
  <si>
    <t>C459324</t>
  </si>
  <si>
    <t>C100023</t>
  </si>
  <si>
    <t>C201952</t>
  </si>
  <si>
    <t>C100024</t>
  </si>
  <si>
    <t>C67112</t>
  </si>
  <si>
    <t>C53712</t>
  </si>
  <si>
    <t>C33002</t>
  </si>
  <si>
    <t>C11149</t>
  </si>
  <si>
    <t>C99395</t>
  </si>
  <si>
    <t>C90465</t>
  </si>
  <si>
    <t>C730146</t>
  </si>
  <si>
    <t>C55136</t>
  </si>
  <si>
    <t>C2071056</t>
  </si>
  <si>
    <t>C248602</t>
  </si>
  <si>
    <t>C86332</t>
  </si>
  <si>
    <t>C519086</t>
  </si>
  <si>
    <t>C3152008</t>
  </si>
  <si>
    <t>C84817</t>
  </si>
  <si>
    <t>C255883</t>
  </si>
  <si>
    <t>C2901666</t>
  </si>
  <si>
    <t>C156245</t>
  </si>
  <si>
    <t>10uF</t>
  </si>
  <si>
    <t>0.1uF</t>
  </si>
  <si>
    <t>1uF</t>
  </si>
  <si>
    <t>30pF</t>
  </si>
  <si>
    <t>100uF</t>
  </si>
  <si>
    <t>1nF</t>
  </si>
  <si>
    <t>470uF</t>
  </si>
  <si>
    <t>470pF</t>
  </si>
  <si>
    <t>15pF</t>
  </si>
  <si>
    <t>0.047uF</t>
  </si>
  <si>
    <t>100nF</t>
  </si>
  <si>
    <t>22uF</t>
  </si>
  <si>
    <t>1000uF</t>
  </si>
  <si>
    <t>330uF</t>
  </si>
  <si>
    <t>25F</t>
  </si>
  <si>
    <t>47uF</t>
  </si>
  <si>
    <t>0.47uF</t>
  </si>
  <si>
    <t>2.2nF</t>
  </si>
  <si>
    <t>2.2uF</t>
  </si>
  <si>
    <t>10uH</t>
  </si>
  <si>
    <t>220uH</t>
  </si>
  <si>
    <t>4.7uH</t>
  </si>
  <si>
    <t>22uH</t>
  </si>
  <si>
    <t>3.3uH</t>
  </si>
  <si>
    <t>470nH</t>
  </si>
  <si>
    <t>3.6K</t>
  </si>
  <si>
    <t>0.33R</t>
  </si>
  <si>
    <t>1.2K</t>
  </si>
  <si>
    <t>4.7K</t>
  </si>
  <si>
    <t>6.8K</t>
  </si>
  <si>
    <t>20K</t>
  </si>
  <si>
    <t>2.21M</t>
  </si>
  <si>
    <t>15K</t>
  </si>
  <si>
    <t>3.3K</t>
  </si>
  <si>
    <t>680R</t>
  </si>
  <si>
    <t>10K</t>
  </si>
  <si>
    <t>150R</t>
  </si>
  <si>
    <t>2.2K</t>
  </si>
  <si>
    <t>47R</t>
  </si>
  <si>
    <t>DNP</t>
  </si>
  <si>
    <t>0R</t>
  </si>
  <si>
    <t>100K</t>
  </si>
  <si>
    <t>1K</t>
  </si>
  <si>
    <t>7.5K</t>
  </si>
  <si>
    <t>100R</t>
  </si>
  <si>
    <t>200K</t>
  </si>
  <si>
    <t>10R</t>
  </si>
  <si>
    <t>499K</t>
  </si>
  <si>
    <t>36K</t>
  </si>
  <si>
    <t>13.7K</t>
  </si>
  <si>
    <t>5.23K</t>
  </si>
  <si>
    <t>30.1K</t>
  </si>
  <si>
    <t>86.6K</t>
  </si>
  <si>
    <t>2.2R</t>
  </si>
  <si>
    <t>47K</t>
  </si>
  <si>
    <t>63.4K</t>
  </si>
  <si>
    <t>470R</t>
  </si>
  <si>
    <t>1.82M</t>
  </si>
  <si>
    <t>4mR</t>
  </si>
  <si>
    <t>1M</t>
  </si>
  <si>
    <t>402K</t>
  </si>
  <si>
    <t>845K</t>
  </si>
  <si>
    <t>33K</t>
  </si>
  <si>
    <t>120R</t>
  </si>
  <si>
    <t>5.1K</t>
  </si>
  <si>
    <t>51K</t>
  </si>
  <si>
    <t>2.7K</t>
  </si>
  <si>
    <t>25MHz</t>
  </si>
  <si>
    <t>14.7456MHz</t>
  </si>
  <si>
    <t>32.7680KHZ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</si>
  <si>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</si>
  <si>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</si>
  <si>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</si>
  <si>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</si>
  <si>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</si>
  <si>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</si>
  <si>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</si>
  <si>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</si>
  <si>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</si>
  <si>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Custom</t>
  </si>
  <si>
    <t>-</t>
  </si>
  <si>
    <t>RK73G1JTTD1002F</t>
  </si>
  <si>
    <t>KOA Speer Elec</t>
  </si>
  <si>
    <t>CRCW060333K0JNEA</t>
  </si>
  <si>
    <t>VISHAY</t>
  </si>
  <si>
    <t>RC0402FR-072K7L</t>
  </si>
  <si>
    <t>C191227</t>
  </si>
  <si>
    <t>C181047</t>
  </si>
  <si>
    <t>C5956408</t>
  </si>
  <si>
    <t>C7066819</t>
  </si>
  <si>
    <t>C703140</t>
  </si>
  <si>
    <t>C2076849</t>
  </si>
  <si>
    <t>C108081</t>
  </si>
  <si>
    <t>C844562</t>
  </si>
  <si>
    <t>C246013</t>
  </si>
  <si>
    <t>C5155969</t>
  </si>
  <si>
    <t>C603796</t>
  </si>
  <si>
    <t>C190259</t>
  </si>
  <si>
    <t>C2828588</t>
  </si>
  <si>
    <t>Do Not Place</t>
  </si>
  <si>
    <t>5</t>
  </si>
  <si>
    <t>30</t>
  </si>
  <si>
    <t>100</t>
  </si>
  <si>
    <t>50</t>
  </si>
  <si>
    <t>75</t>
  </si>
  <si>
    <t>40</t>
  </si>
  <si>
    <t>20</t>
  </si>
  <si>
    <t>25</t>
  </si>
  <si>
    <t>0.0038</t>
  </si>
  <si>
    <t>0.0007</t>
  </si>
  <si>
    <t>0.0018</t>
  </si>
  <si>
    <t>0.0011</t>
  </si>
  <si>
    <t>0.0015</t>
  </si>
  <si>
    <t>0.0008</t>
  </si>
  <si>
    <t>0.0053</t>
  </si>
  <si>
    <t>10</t>
  </si>
  <si>
    <t>0.0129</t>
  </si>
  <si>
    <t>0.0054</t>
  </si>
  <si>
    <t>0.0022</t>
  </si>
  <si>
    <t>0.0031</t>
  </si>
  <si>
    <t>0.0041</t>
  </si>
  <si>
    <t>0.0092</t>
  </si>
  <si>
    <t>0.0795</t>
  </si>
  <si>
    <t>0.3796</t>
  </si>
  <si>
    <t>0.0026</t>
  </si>
  <si>
    <t>0.0010</t>
  </si>
  <si>
    <t>0.0242</t>
  </si>
  <si>
    <t>0.0284</t>
  </si>
  <si>
    <t>0.0372</t>
  </si>
  <si>
    <t>0.1504</t>
  </si>
  <si>
    <t>0.4101</t>
  </si>
  <si>
    <t>0.1436</t>
  </si>
  <si>
    <t>0.0046</t>
  </si>
  <si>
    <t>0.8438</t>
  </si>
  <si>
    <t>0.0096</t>
  </si>
  <si>
    <t>1.7005</t>
  </si>
  <si>
    <t>0.2618</t>
  </si>
  <si>
    <t>0.0254</t>
  </si>
  <si>
    <t>0.0089</t>
  </si>
  <si>
    <t>LCSC</t>
  </si>
  <si>
    <t>250</t>
  </si>
  <si>
    <t>1.7441</t>
  </si>
  <si>
    <t>0.0393</t>
  </si>
  <si>
    <t>0.0179</t>
  </si>
  <si>
    <t>0.0034</t>
  </si>
  <si>
    <t>0.0535</t>
  </si>
  <si>
    <t>0.0074</t>
  </si>
  <si>
    <t>0.0296</t>
  </si>
  <si>
    <t>0.0210</t>
  </si>
  <si>
    <t>0.1711</t>
  </si>
  <si>
    <t>0.0387</t>
  </si>
  <si>
    <t>0.0820</t>
  </si>
  <si>
    <t>0.0448</t>
  </si>
  <si>
    <t>0.0587</t>
  </si>
  <si>
    <t>0.0362</t>
  </si>
  <si>
    <t>0.0161</t>
  </si>
  <si>
    <t>0.1579</t>
  </si>
  <si>
    <t>0.9182</t>
  </si>
  <si>
    <t>0.0857</t>
  </si>
  <si>
    <t>0.0088</t>
  </si>
  <si>
    <t>0.0087</t>
  </si>
  <si>
    <t>0.0397</t>
  </si>
  <si>
    <t>0.0950</t>
  </si>
  <si>
    <t>0.0270</t>
  </si>
  <si>
    <t>0.0229</t>
  </si>
  <si>
    <t>0.0347</t>
  </si>
  <si>
    <t>0.6876</t>
  </si>
  <si>
    <t>0.6712</t>
  </si>
  <si>
    <t>15</t>
  </si>
  <si>
    <t>0.2148</t>
  </si>
  <si>
    <t>0.6020</t>
  </si>
  <si>
    <t>0.3274</t>
  </si>
  <si>
    <t>0.2439</t>
  </si>
  <si>
    <t>0.1706</t>
  </si>
  <si>
    <t>0.0167</t>
  </si>
  <si>
    <t>0.9854</t>
  </si>
  <si>
    <t>0.2367</t>
  </si>
  <si>
    <t>0.1088</t>
  </si>
  <si>
    <t>0.1995</t>
  </si>
  <si>
    <t>2.2282</t>
  </si>
  <si>
    <t>0.0308</t>
  </si>
  <si>
    <t>0.0394</t>
  </si>
  <si>
    <t>0.4315</t>
  </si>
  <si>
    <t>0.2291</t>
  </si>
  <si>
    <t>0.0595</t>
  </si>
  <si>
    <t>0.3358</t>
  </si>
  <si>
    <t>0.1344</t>
  </si>
  <si>
    <t>0.4994</t>
  </si>
  <si>
    <t>0.0997</t>
  </si>
  <si>
    <t>0.0253</t>
  </si>
  <si>
    <t>0.0550</t>
  </si>
  <si>
    <t>0.3271</t>
  </si>
  <si>
    <t>0.3690</t>
  </si>
  <si>
    <t>0.0637</t>
  </si>
  <si>
    <t>0.1960</t>
  </si>
  <si>
    <t>0.6278</t>
  </si>
  <si>
    <t>0.0828</t>
  </si>
  <si>
    <t>0.0275</t>
  </si>
  <si>
    <t>300</t>
  </si>
  <si>
    <t>0.0274</t>
  </si>
  <si>
    <t>0.0231</t>
  </si>
  <si>
    <t>0.0012</t>
  </si>
  <si>
    <t>0.0233</t>
  </si>
  <si>
    <t>0.0241</t>
  </si>
  <si>
    <t>0.0287</t>
  </si>
  <si>
    <t>0.0082</t>
  </si>
  <si>
    <t>0.0006</t>
  </si>
  <si>
    <t>0.0203</t>
  </si>
  <si>
    <t>0.0238</t>
  </si>
  <si>
    <t>0.0972</t>
  </si>
  <si>
    <t>0.0049</t>
  </si>
  <si>
    <t>0.0442</t>
  </si>
  <si>
    <t>0.0198</t>
  </si>
  <si>
    <t>0.0659</t>
  </si>
  <si>
    <t>0.0027</t>
  </si>
  <si>
    <t>0.0263</t>
  </si>
  <si>
    <t>0.0201</t>
  </si>
  <si>
    <t>0.0317</t>
  </si>
  <si>
    <t>0.0016</t>
  </si>
  <si>
    <t>0.0104</t>
  </si>
  <si>
    <t>0.0248</t>
  </si>
  <si>
    <t>0.0036</t>
  </si>
  <si>
    <t>0.0571</t>
  </si>
  <si>
    <t>0.0190</t>
  </si>
  <si>
    <t>0.0009</t>
  </si>
  <si>
    <t>0.0048</t>
  </si>
  <si>
    <t>0.0205</t>
  </si>
  <si>
    <t>0.1368</t>
  </si>
  <si>
    <t>0.0457</t>
  </si>
  <si>
    <t>0.8725</t>
  </si>
  <si>
    <t>0.0940</t>
  </si>
  <si>
    <t>2.7630</t>
  </si>
  <si>
    <t>0.1765</t>
  </si>
  <si>
    <t>0.9979</t>
  </si>
  <si>
    <t>9.7237</t>
  </si>
  <si>
    <t>1.3443</t>
  </si>
  <si>
    <t>5.5007</t>
  </si>
  <si>
    <t>0.0888</t>
  </si>
  <si>
    <t>0.2725</t>
  </si>
  <si>
    <t>2.3472</t>
  </si>
  <si>
    <t>0.6186</t>
  </si>
  <si>
    <t>1.0560</t>
  </si>
  <si>
    <t>0.2074</t>
  </si>
  <si>
    <t>0.9333</t>
  </si>
  <si>
    <t>0.1869</t>
  </si>
  <si>
    <t>5.2318</t>
  </si>
  <si>
    <t>0.0875</t>
  </si>
  <si>
    <t>0.9882</t>
  </si>
  <si>
    <t>3.4711</t>
  </si>
  <si>
    <t>0.2423</t>
  </si>
  <si>
    <t>1.8778</t>
  </si>
  <si>
    <t>0.0601</t>
  </si>
  <si>
    <t>0.3248</t>
  </si>
  <si>
    <t>0.0842</t>
  </si>
  <si>
    <t>0.2481</t>
  </si>
  <si>
    <t>Digikey</t>
  </si>
  <si>
    <t>UUR1E101MCL6GS</t>
  </si>
  <si>
    <t>Peripheral</t>
  </si>
  <si>
    <t>WS2812B Led Lights DC5V WS2812 RGB Led Strip Light (1m 30 IP67)</t>
  </si>
  <si>
    <t>RGB LED Strip</t>
  </si>
  <si>
    <t xml:space="preserve"> 3Pin led Connector Male/female JST SM 2 3 4 5 6Pin Plug Connector Wire Cable for Led Strip Light Lamp Driver</t>
  </si>
  <si>
    <t xml:space="preserve">Plug Connector (3Pin) 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</si>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</sst>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3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9" fillId="2" borderId="5" xfId="0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2" fillId="0" borderId="8" xfId="1" applyFont="1" applyBorder="1" applyAlignment="1">
      <alignment horizontal="center" vertical="center" wrapText="1"/>
    </xf>
    <xf numFmtId="0" fontId="12" fillId="2" borderId="4" xfId="1" applyFont="1" applyFill="1" applyBorder="1" applyAlignment="1">
      <alignment horizontal="center" vertical="center" wrapText="1"/>
    </xf>
    <xf numFmtId="0" fontId="12" fillId="2" borderId="5" xfId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csc.com/product-detail/chip-resistor-surface-mount_yageo-rt0402brd0736kl_C852742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42" Type="http://schemas.openxmlformats.org/officeDocument/2006/relationships/hyperlink" Target="https://lcsc.com/product-detail/esd-and-surge-protection-tvs-esd_brightking-smbj70a-tr13_C309982.html" TargetMode="External"/><Relationship Id="rId63" Type="http://schemas.openxmlformats.org/officeDocument/2006/relationships/hyperlink" Target="https://lcsc.com/product-detail/screw-terminal-blocks_dorabo-db125-2-54-3p-gn-s_C918121.html" TargetMode="External"/><Relationship Id="rId84" Type="http://schemas.openxmlformats.org/officeDocument/2006/relationships/hyperlink" Target="https://lcsc.com/product-detail/mosfets_tech-public-irlml6402trpbf_C5182043.html" TargetMode="External"/><Relationship Id="rId138" Type="http://schemas.openxmlformats.org/officeDocument/2006/relationships/hyperlink" Target="https://lcsc.com/product-detail/chip-resistor-surface-mount_yageo-rc0603fr-07100rl_C105588.html" TargetMode="External"/><Relationship Id="rId159" Type="http://schemas.openxmlformats.org/officeDocument/2006/relationships/hyperlink" Target="https://lcsc.com/product-detail/dc-dc-converters_maxim-max38889aate_C5155969.html" TargetMode="External"/><Relationship Id="rId170" Type="http://schemas.openxmlformats.org/officeDocument/2006/relationships/hyperlink" Target="https://lcsc.com/product-detail/microcontrollers-mcu-mpu-soc_st-stm32h723zgt6_C730146.html" TargetMode="External"/><Relationship Id="rId107" Type="http://schemas.openxmlformats.org/officeDocument/2006/relationships/hyperlink" Target="https://lcsc.com/product-detail/chip-resistor-surface-mount_yageo-rc0603jr-070rl_C95177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32" Type="http://schemas.openxmlformats.org/officeDocument/2006/relationships/hyperlink" Target="https://lcsc.com/product-detail/multilayer-ceramic-capacitors-mlcc-smd-smt_yageo-cc0603krx5r9bb104_C110022.html" TargetMode="External"/><Relationship Id="rId53" Type="http://schemas.openxmlformats.org/officeDocument/2006/relationships/hyperlink" Target="https://lcsc.com/product-detail/esd-and-surge-protection-tvs-esd_mdd-microdiode-semiconductor-esd5z3-3c_C502551.html" TargetMode="External"/><Relationship Id="rId74" Type="http://schemas.openxmlformats.org/officeDocument/2006/relationships/hyperlink" Target="https://lcsc.com/product-detail/led-indication-discrete_sunled-xzmdk68w-2_C5374048.html" TargetMode="External"/><Relationship Id="rId128" Type="http://schemas.openxmlformats.org/officeDocument/2006/relationships/hyperlink" Target="https://lcsc.com/product-detail/chip-resistor-surface-mount_yageo-rc1206fr-7w1kl_C859155.html" TargetMode="External"/><Relationship Id="rId149" Type="http://schemas.openxmlformats.org/officeDocument/2006/relationships/hyperlink" Target="https://lcsc.com/product-detail/chip-resistor-surface-mount_yageo-rc0402fr-071ml_C138033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95" Type="http://schemas.openxmlformats.org/officeDocument/2006/relationships/hyperlink" Target="https://lcsc.com/product-detail/chip-resistor-surface-mount_yageo-rc0603fr-0720kl_C105575.html" TargetMode="External"/><Relationship Id="rId160" Type="http://schemas.openxmlformats.org/officeDocument/2006/relationships/hyperlink" Target="https://lcsc.com/product-detail/gate-drivers_onsemi-ncp81071adr2g_C603796.html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43" Type="http://schemas.openxmlformats.org/officeDocument/2006/relationships/hyperlink" Target="https://lcsc.com/product-detail/schottky-diodes_juxing-ss510b_C3011128.html" TargetMode="External"/><Relationship Id="rId64" Type="http://schemas.openxmlformats.org/officeDocument/2006/relationships/hyperlink" Target="https://lcsc.com/product-detail/wire-to-board-connector_hctl-hc-1-25-6plt_C2845392.html" TargetMode="External"/><Relationship Id="rId118" Type="http://schemas.openxmlformats.org/officeDocument/2006/relationships/hyperlink" Target="https://lcsc.com/product-detail/chip-resistor-surface-mount_yageo-at0603brd0713k7l_C855608.html" TargetMode="External"/><Relationship Id="rId139" Type="http://schemas.openxmlformats.org/officeDocument/2006/relationships/hyperlink" Target="https://lcsc.com/product-detail/chip-resistor-surface-mount_yageo-rc0201jr-07470rl_C163491.html" TargetMode="External"/><Relationship Id="rId85" Type="http://schemas.openxmlformats.org/officeDocument/2006/relationships/hyperlink" Target="https://lcsc.com/product-detail/bipolar-bjt_diodes-mmbt2222a-7-f_C94515.html" TargetMode="External"/><Relationship Id="rId150" Type="http://schemas.openxmlformats.org/officeDocument/2006/relationships/hyperlink" Target="https://lcsc.com/product-detail/chip-resistor-surface-mount_yageo-rc0402fr-075k1l_C105872.html" TargetMode="External"/><Relationship Id="rId171" Type="http://schemas.openxmlformats.org/officeDocument/2006/relationships/hyperlink" Target="https://lcsc.com/product-detail/Aluminum-Electrolytic-Capacitors-SMD_DMBJ-RVT1E100M0405-10UF-25V_C970655.html?s_z=n_C970655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33" Type="http://schemas.openxmlformats.org/officeDocument/2006/relationships/hyperlink" Target="https://lcsc.com/product-detail/multilayer-ceramic-capacitors-mlcc-smd-smt_yageo-cc0402krx7r8bb104_C105883.html" TargetMode="External"/><Relationship Id="rId108" Type="http://schemas.openxmlformats.org/officeDocument/2006/relationships/hyperlink" Target="https://lcsc.com/product-detail/chip-resistor-surface-mount_yageo-rc0603jr-070rl_C95177.html" TargetMode="External"/><Relationship Id="rId129" Type="http://schemas.openxmlformats.org/officeDocument/2006/relationships/hyperlink" Target="https://lcsc.com/product-detail/chip-resistor-surface-mount_yageo-rt0603bre0763k4l_C862245.html" TargetMode="External"/><Relationship Id="rId54" Type="http://schemas.openxmlformats.org/officeDocument/2006/relationships/hyperlink" Target="https://lcsc.com/product-detail/zener-diodes_diodes-mmsz5242bs-7-f_C151457.html" TargetMode="External"/><Relationship Id="rId75" Type="http://schemas.openxmlformats.org/officeDocument/2006/relationships/hyperlink" Target="https://lcsc.com/product-detail/ambient-light-sensors_everlight-als-pt19-315c-l177-tr8_C146233.html" TargetMode="External"/><Relationship Id="rId96" Type="http://schemas.openxmlformats.org/officeDocument/2006/relationships/hyperlink" Target="https://lcsc.com/product-detail/chip-resistor-surface-mount_uni-royal-0603waf2214t5e_C422956.html" TargetMode="External"/><Relationship Id="rId140" Type="http://schemas.openxmlformats.org/officeDocument/2006/relationships/hyperlink" Target="https://lcsc.com/product-detail/chip-resistor-surface-mount_uni-royal-25121wj0000t4e_C25469.html" TargetMode="External"/><Relationship Id="rId161" Type="http://schemas.openxmlformats.org/officeDocument/2006/relationships/hyperlink" Target="https://lcsc.com/product-detail/oring-controllers_adi-ltc4359cms8-pbf_C190259.html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23" Type="http://schemas.openxmlformats.org/officeDocument/2006/relationships/hyperlink" Target="https://lcsc.com/product-detail/tantalum-capacitors_kyocera-avx-taje337m016rnj_C51599.html" TargetMode="External"/><Relationship Id="rId28" Type="http://schemas.openxmlformats.org/officeDocument/2006/relationships/hyperlink" Target="https://lcsc.com/product-detail/multilayer-ceramic-capacitors-mlcc-smd-smt_yageo-cc0603krx5r9bb474_C513651.html" TargetMode="External"/><Relationship Id="rId49" Type="http://schemas.openxmlformats.org/officeDocument/2006/relationships/hyperlink" Target="https://lcsc.com/product-detail/diodes-general-purpose_twgmc-1n4007_C727081.html" TargetMode="External"/><Relationship Id="rId114" Type="http://schemas.openxmlformats.org/officeDocument/2006/relationships/hyperlink" Target="https://lcsc.com/product-detail/chip-resistor-surface-mount_yageo-rc0603fr-07200kl_C105574.html" TargetMode="External"/><Relationship Id="rId119" Type="http://schemas.openxmlformats.org/officeDocument/2006/relationships/hyperlink" Target="https://lcsc.com/product-detail/chip-resistor-surface-mount_yageo-rc0402fr-070rl_C106231.html" TargetMode="External"/><Relationship Id="rId44" Type="http://schemas.openxmlformats.org/officeDocument/2006/relationships/hyperlink" Target="https://lcsc.com/product-detail/switching-diodes_diodes-1n4148w-7-f_C83528.html" TargetMode="External"/><Relationship Id="rId60" Type="http://schemas.openxmlformats.org/officeDocument/2006/relationships/hyperlink" Target="https://lcsc.com/product-detail/wire-to-board-connector_hctl-hc-1-25-12plt_C2937190.html" TargetMode="External"/><Relationship Id="rId65" Type="http://schemas.openxmlformats.org/officeDocument/2006/relationships/hyperlink" Target="https://lcsc.com/product-detail/wire-to-board-connector_hctl-hc-1-25-16plt_C3012301.html" TargetMode="External"/><Relationship Id="rId81" Type="http://schemas.openxmlformats.org/officeDocument/2006/relationships/hyperlink" Target="https://lcsc.com/product-detail/bipolar-bjt_goodwork-mmbt5551_C909756.html" TargetMode="External"/><Relationship Id="rId86" Type="http://schemas.openxmlformats.org/officeDocument/2006/relationships/hyperlink" Target="https://lcsc.com/product-detail/mosfets_tech-public-si2302cds_C5310968.html" TargetMode="External"/><Relationship Id="rId130" Type="http://schemas.openxmlformats.org/officeDocument/2006/relationships/hyperlink" Target="https://lcsc.com/product-detail/chip-resistor-surface-mount_yageo-rc0603fr-07470rl_C114669.html" TargetMode="External"/><Relationship Id="rId135" Type="http://schemas.openxmlformats.org/officeDocument/2006/relationships/hyperlink" Target="https://lcsc.com/product-detail/chip-resistor-surface-mount_yageo-rc1206jr-070rl_C108081.html" TargetMode="External"/><Relationship Id="rId151" Type="http://schemas.openxmlformats.org/officeDocument/2006/relationships/hyperlink" Target="https://lcsc.com/product-detail/chip-resistor-surface-mount_yageo-rc0603fr-07120rl_C114640.html" TargetMode="External"/><Relationship Id="rId156" Type="http://schemas.openxmlformats.org/officeDocument/2006/relationships/hyperlink" Target="https://lcsc.com/product-detail/current-sensors_allegro-acs723llctr-20au-t_C459324.html" TargetMode="External"/><Relationship Id="rId177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172" Type="http://schemas.openxmlformats.org/officeDocument/2006/relationships/hyperlink" Target="https://www.digikey.com/en/products/detail/kyocera-avx/SCCU25B256SRB/6165963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39" Type="http://schemas.openxmlformats.org/officeDocument/2006/relationships/hyperlink" Target="https://lcsc.com/product-detail/esd-and-surge-protection-tvs-esd_ftr-smaj5-0ca_C693487.html" TargetMode="External"/><Relationship Id="rId109" Type="http://schemas.openxmlformats.org/officeDocument/2006/relationships/hyperlink" Target="https://lcsc.com/product-detail/chip-resistor-surface-mount_yageo-rt0603brd0720kl_C723637.html" TargetMode="External"/><Relationship Id="rId34" Type="http://schemas.openxmlformats.org/officeDocument/2006/relationships/hyperlink" Target="https://lcsc.com/product-detail/multilayer-ceramic-capacitors-mlcc-smd-smt_taiyo-yuden-emk212bb7106mg-t_C141287.html" TargetMode="External"/><Relationship Id="rId50" Type="http://schemas.openxmlformats.org/officeDocument/2006/relationships/hyperlink" Target="https://lcsc.com/product-detail/esd-and-surge-protection-tvs-esd_tech-public-sm712_C521963.html" TargetMode="External"/><Relationship Id="rId55" Type="http://schemas.openxmlformats.org/officeDocument/2006/relationships/hyperlink" Target="https://lcsc.com/product-detail/screw-terminal-blocks_dorabo-db135-10-16-2p-gn-p_C2981775.html" TargetMode="External"/><Relationship Id="rId76" Type="http://schemas.openxmlformats.org/officeDocument/2006/relationships/hyperlink" Target="https://lcsc.com/product-detail/led-indication-discrete_foshan-nationstar-optoelectronics-ncd0603r3_C3151730.html" TargetMode="External"/><Relationship Id="rId97" Type="http://schemas.openxmlformats.org/officeDocument/2006/relationships/hyperlink" Target="https://lcsc.com/product-detail/chip-resistor-surface-mount_yageo-rc0603fr-0715kl_C114661.html" TargetMode="External"/><Relationship Id="rId104" Type="http://schemas.openxmlformats.org/officeDocument/2006/relationships/hyperlink" Target="https://lcsc.com/product-detail/chip-resistor-surface-mount_yageo-rc0603fr-0710kl_C98220.html" TargetMode="External"/><Relationship Id="rId120" Type="http://schemas.openxmlformats.org/officeDocument/2006/relationships/hyperlink" Target="https://lcsc.com/product-detail/chip-resistor-surface-mount_yageo-rc0805fr-075k23l_C274009.html" TargetMode="External"/><Relationship Id="rId125" Type="http://schemas.openxmlformats.org/officeDocument/2006/relationships/hyperlink" Target="https://lcsc.com/product-detail/chip-resistor-surface-mount_yageo-rc0402fr-072r2l_C327251.html" TargetMode="External"/><Relationship Id="rId141" Type="http://schemas.openxmlformats.org/officeDocument/2006/relationships/hyperlink" Target="https://lcsc.com/product-detail/chip-resistor-surface-mount_yageo-rc0201fr-0710kl_C106225.html" TargetMode="External"/><Relationship Id="rId146" Type="http://schemas.openxmlformats.org/officeDocument/2006/relationships/hyperlink" Target="https://lcsc.com/product-detail/chip-resistor-surface-mount_vishay-crcw060333k0jnea_C4342762.html" TargetMode="External"/><Relationship Id="rId167" Type="http://schemas.openxmlformats.org/officeDocument/2006/relationships/hyperlink" Target="https://lcsc.com/product-detail/gate-drivers_ti-ucc27517dbvr_C99395.html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71" Type="http://schemas.openxmlformats.org/officeDocument/2006/relationships/hyperlink" Target="https://lcsc.com/product-detail/power-inductors_yjycoin-ynr4018-220m_C340373.html" TargetMode="External"/><Relationship Id="rId92" Type="http://schemas.openxmlformats.org/officeDocument/2006/relationships/hyperlink" Target="https://lcsc.com/product-detail/chip-resistor-surface-mount_yageo-rc0603fr-074k7l_C99782.html" TargetMode="External"/><Relationship Id="rId162" Type="http://schemas.openxmlformats.org/officeDocument/2006/relationships/hyperlink" Target="https://lcsc.com/product-detail/buffers-drivers-receivers-transceivers_ti-sn74lv1t34dbvr_C100024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29" Type="http://schemas.openxmlformats.org/officeDocument/2006/relationships/hyperlink" Target="https://lcsc.com/product-detail/multilayer-ceramic-capacitors-mlcc-smd-smt_yageo-cc0603krx7r9bb222_C107082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40" Type="http://schemas.openxmlformats.org/officeDocument/2006/relationships/hyperlink" Target="https://lcsc.com/product-detail/esd-and-surge-protection-tvs-esd_willsemi-esd5302f-3-tr_C239643.html" TargetMode="External"/><Relationship Id="rId45" Type="http://schemas.openxmlformats.org/officeDocument/2006/relationships/hyperlink" Target="https://lcsc.com/product-detail/schottky-diodes_mdd-microdiode-semiconductor-sk104c_C59500.html" TargetMode="External"/><Relationship Id="rId66" Type="http://schemas.openxmlformats.org/officeDocument/2006/relationships/hyperlink" Target="https://lcsc.com/product-detail/sd-card-memory-card-connector_hrs-dm3bt-dsf-pejs_C597972.html" TargetMode="External"/><Relationship Id="rId87" Type="http://schemas.openxmlformats.org/officeDocument/2006/relationships/hyperlink" Target="https://lcsc.com/product-detail/mosfets_guangdong-hottech-ao3407_C181093.html" TargetMode="External"/><Relationship Id="rId110" Type="http://schemas.openxmlformats.org/officeDocument/2006/relationships/hyperlink" Target="https://lcsc.com/product-detail/chip-resistor-surface-mount_yageo-rc0805fr-07100kl_C96346.html" TargetMode="External"/><Relationship Id="rId115" Type="http://schemas.openxmlformats.org/officeDocument/2006/relationships/hyperlink" Target="https://lcsc.com/product-detail/chip-resistor-surface-mount_yageo-rc0805fr-0710rl_C96347.html" TargetMode="External"/><Relationship Id="rId131" Type="http://schemas.openxmlformats.org/officeDocument/2006/relationships/hyperlink" Target="https://lcsc.com/product-detail/chip-resistor-surface-mount_yageo-rc0402fr-0710kl_C60490.html" TargetMode="External"/><Relationship Id="rId136" Type="http://schemas.openxmlformats.org/officeDocument/2006/relationships/hyperlink" Target="https://lcsc.com/product-detail/current-sense-resistors-shunt-resistors_milliohm-hollr2512-3w-4mr-1_C2994642.html" TargetMode="External"/><Relationship Id="rId157" Type="http://schemas.openxmlformats.org/officeDocument/2006/relationships/hyperlink" Target="https://lcsc.com/product-detail/dc-dc-converters_ti-mc34063adr_C100023.html" TargetMode="External"/><Relationship Id="rId178" Type="http://schemas.openxmlformats.org/officeDocument/2006/relationships/hyperlink" Target="https://lcsc.com/product-detail/LED-Indication-Discrete_Amicc-A-SP194DR5C-C01-4T_C19171329.html" TargetMode="External"/><Relationship Id="rId61" Type="http://schemas.openxmlformats.org/officeDocument/2006/relationships/hyperlink" Target="https://lcsc.com/product-detail/pin-headers_boomele-boom-precision-elec-1-27-1-2p_C703015.html" TargetMode="External"/><Relationship Id="rId82" Type="http://schemas.openxmlformats.org/officeDocument/2006/relationships/hyperlink" Target="https://lcsc.com/product-detail/mosfets_diodes-dmn13h750s-7_C156273.html" TargetMode="External"/><Relationship Id="rId152" Type="http://schemas.openxmlformats.org/officeDocument/2006/relationships/hyperlink" Target="https://lcsc.com/product-detail/chip-resistor-surface-mount_yageo-at0402brd0751kl_C5455493.html" TargetMode="External"/><Relationship Id="rId173" Type="http://schemas.openxmlformats.org/officeDocument/2006/relationships/hyperlink" Target="https://lcsc.com/product-detail/Pin-Headers_Amphenol-20021121-00010C4LF_C150517.html?s_z=n_C150517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30" Type="http://schemas.openxmlformats.org/officeDocument/2006/relationships/hyperlink" Target="https://lcsc.com/product-detail/multilayer-ceramic-capacitors-mlcc-smd-smt_yageo-cc0603mrx5r6bb226_C109447.html" TargetMode="External"/><Relationship Id="rId35" Type="http://schemas.openxmlformats.org/officeDocument/2006/relationships/hyperlink" Target="https://lcsc.com/product-detail/multilayer-ceramic-capacitors-mlcc-smd-smt_yageo-cc0402krx5r8bb105_C326568.html" TargetMode="External"/><Relationship Id="rId56" Type="http://schemas.openxmlformats.org/officeDocument/2006/relationships/hyperlink" Target="https://lcsc.com/product-detail/usb-connectors_amphenol-10118194-0001lf_C132563.html" TargetMode="External"/><Relationship Id="rId77" Type="http://schemas.openxmlformats.org/officeDocument/2006/relationships/hyperlink" Target="https://lcsc.com/product-detail/led-indication-discrete_everlight-16-213-ghc-yr1s1-3t_C74338.html" TargetMode="External"/><Relationship Id="rId100" Type="http://schemas.openxmlformats.org/officeDocument/2006/relationships/hyperlink" Target="https://lcsc.com/product-detail/chip-resistor-surface-mount_yageo-rc0402fr-074k7l_C105871.html" TargetMode="External"/><Relationship Id="rId105" Type="http://schemas.openxmlformats.org/officeDocument/2006/relationships/hyperlink" Target="https://lcsc.com/product-detail/chip-resistor-surface-mount_yageo-rc0603fr-0747rl_C114623.html" TargetMode="External"/><Relationship Id="rId126" Type="http://schemas.openxmlformats.org/officeDocument/2006/relationships/hyperlink" Target="https://lcsc.com/product-detail/chip-resistor-surface-mount_yageo-rc0201jr-07100kl_C106230.html" TargetMode="External"/><Relationship Id="rId147" Type="http://schemas.openxmlformats.org/officeDocument/2006/relationships/hyperlink" Target="https://lcsc.com/product-detail/chip-resistor-surface-mount_yageo-rt0603brd07100kl_C122538.html" TargetMode="External"/><Relationship Id="rId168" Type="http://schemas.openxmlformats.org/officeDocument/2006/relationships/hyperlink" Target="https://lcsc.com/product-detail/human-body-sensing-sensor_senba-sensing-tech-as312_C90465.html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51" Type="http://schemas.openxmlformats.org/officeDocument/2006/relationships/hyperlink" Target="https://lcsc.com/product-detail/esd-and-surge-protection-tvs-esd_littelfuse-smbj12a_C151251.html" TargetMode="External"/><Relationship Id="rId72" Type="http://schemas.openxmlformats.org/officeDocument/2006/relationships/hyperlink" Target="https://lcsc.com/product-detail/power-inductors_bourns-srn3015c-2r2m_C5375084.html" TargetMode="External"/><Relationship Id="rId93" Type="http://schemas.openxmlformats.org/officeDocument/2006/relationships/hyperlink" Target="https://lcsc.com/product-detail/chip-resistor-surface-mount_yageo-rt0603brd074k7l_C513565.html" TargetMode="External"/><Relationship Id="rId98" Type="http://schemas.openxmlformats.org/officeDocument/2006/relationships/hyperlink" Target="https://lcsc.com/product-detail/chip-resistor-surface-mount_yageo-rc0603dr-073k3l_C723574.html" TargetMode="External"/><Relationship Id="rId121" Type="http://schemas.openxmlformats.org/officeDocument/2006/relationships/hyperlink" Target="https://lcsc.com/product-detail/chip-resistor-surface-mount_yageo-rc0603fr-0730k1l_C137745.html" TargetMode="External"/><Relationship Id="rId142" Type="http://schemas.openxmlformats.org/officeDocument/2006/relationships/hyperlink" Target="https://lcsc.com/product-detail/chip-resistor-surface-mount_yageo-rc0603fr-071ml_C105578.html" TargetMode="External"/><Relationship Id="rId163" Type="http://schemas.openxmlformats.org/officeDocument/2006/relationships/hyperlink" Target="https://lcsc.com/product-detail/transistor-photovoltaic-output-optoisolators_renesas-ps2801c-1-f3-a_C67112.html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46" Type="http://schemas.openxmlformats.org/officeDocument/2006/relationships/hyperlink" Target="https://lcsc.com/product-detail/schottky-diodes_onsemi-fsv20150v_C606024.html" TargetMode="External"/><Relationship Id="rId67" Type="http://schemas.openxmlformats.org/officeDocument/2006/relationships/hyperlink" Target="https://lcsc.com/product-detail/pin-headers_xkb-connection-x6511wv-02h-c60d30_C706874.html" TargetMode="External"/><Relationship Id="rId116" Type="http://schemas.openxmlformats.org/officeDocument/2006/relationships/hyperlink" Target="https://lcsc.com/product-detail/chip-resistor-surface-mount_yageo-rc0402br-07499kl_C851813.html" TargetMode="External"/><Relationship Id="rId137" Type="http://schemas.openxmlformats.org/officeDocument/2006/relationships/hyperlink" Target="https://lcsc.com/product-detail/chip-resistor-surface-mount_yageo-rc1206jr-070rl_C108081.html" TargetMode="External"/><Relationship Id="rId158" Type="http://schemas.openxmlformats.org/officeDocument/2006/relationships/hyperlink" Target="https://lcsc.com/product-detail/voltage-regulators-linear-low-drop-out-ldo-regulators_ti-lms8117amp-3-3-nopb_C201952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41" Type="http://schemas.openxmlformats.org/officeDocument/2006/relationships/hyperlink" Target="https://lcsc.com/product-detail/zener-diodes_eic-semicon-mm3z3v3b_C2978865.html" TargetMode="External"/><Relationship Id="rId62" Type="http://schemas.openxmlformats.org/officeDocument/2006/relationships/hyperlink" Target="https://lcsc.com/product-detail/coaxial-connectors-rf_hj-tech-hj-sma508_C1509209.html" TargetMode="External"/><Relationship Id="rId83" Type="http://schemas.openxmlformats.org/officeDocument/2006/relationships/hyperlink" Target="https://lcsc.com/product-detail/mosfets_infineon-irf3205strlpbf_C2613.html" TargetMode="External"/><Relationship Id="rId88" Type="http://schemas.openxmlformats.org/officeDocument/2006/relationships/hyperlink" Target="https://lcsc.com/product-detail/mosfets_diodes-2n7002-7-f_C85049.html" TargetMode="External"/><Relationship Id="rId111" Type="http://schemas.openxmlformats.org/officeDocument/2006/relationships/hyperlink" Target="https://lcsc.com/product-detail/chip-resistor-surface-mount_yageo-rc0603fr-071kl_C22548.html" TargetMode="External"/><Relationship Id="rId132" Type="http://schemas.openxmlformats.org/officeDocument/2006/relationships/hyperlink" Target="https://lcsc.com/product-detail/chip-resistor-surface-mount_yageo-rc0603fr-073k3l_C108078.html" TargetMode="External"/><Relationship Id="rId153" Type="http://schemas.openxmlformats.org/officeDocument/2006/relationships/hyperlink" Target="https://lcsc.com/product-detail/chip-resistor-surface-mount_yageo-rc0402fr-072k7l_C138017.html" TargetMode="External"/><Relationship Id="rId174" Type="http://schemas.openxmlformats.org/officeDocument/2006/relationships/hyperlink" Target="https://lcsc.com/product-detail/Pluggable-System-Terminal-Block_CUI-TBP01R1W-508-02BE_C5956408.html?s_z=n_C5956408" TargetMode="External"/><Relationship Id="rId179" Type="http://schemas.openxmlformats.org/officeDocument/2006/relationships/printerSettings" Target="../printerSettings/printerSettings1.bin"/><Relationship Id="rId15" Type="http://schemas.openxmlformats.org/officeDocument/2006/relationships/hyperlink" Target="https://lcsc.com/product-detail/multilayer-ceramic-capacitors-mlcc-smd-smt_yageo-cc0402jrx7r7bb104_C541464.html" TargetMode="External"/><Relationship Id="rId36" Type="http://schemas.openxmlformats.org/officeDocument/2006/relationships/hyperlink" Target="https://lcsc.com/product-detail/multilayer-ceramic-capacitors-mlcc-smd-smt_yageo-cc0805kkx5r8bb106_C89831.html" TargetMode="External"/><Relationship Id="rId57" Type="http://schemas.openxmlformats.org/officeDocument/2006/relationships/hyperlink" Target="https://lcsc.com/product-detail/pluggable-system-terminal-block_cui-tbp01r1-508-04be_C7066819.html" TargetMode="External"/><Relationship Id="rId106" Type="http://schemas.openxmlformats.org/officeDocument/2006/relationships/hyperlink" Target="https://lcsc.com/product-detail/chip-resistor-surface-mount_yageo-rc0402jr-071kl_C105637.html" TargetMode="External"/><Relationship Id="rId127" Type="http://schemas.openxmlformats.org/officeDocument/2006/relationships/hyperlink" Target="https://lcsc.com/product-detail/chip-resistor-surface-mount_yageo-rc0402fr-0747kl_C93943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31" Type="http://schemas.openxmlformats.org/officeDocument/2006/relationships/hyperlink" Target="https://lcsc.com/product-detail/multilayer-ceramic-capacitors-mlcc-smd-smt_murata-grm155r61e225ke11d_C385032.html" TargetMode="External"/><Relationship Id="rId52" Type="http://schemas.openxmlformats.org/officeDocument/2006/relationships/hyperlink" Target="https://lcsc.com/product-detail/schottky-diodes_diodes-1n5819hw-7-f_C82544.html" TargetMode="External"/><Relationship Id="rId73" Type="http://schemas.openxmlformats.org/officeDocument/2006/relationships/hyperlink" Target="https://lcsc.com/product-detail/power-inductors_murata-dfe252012f-r47m-p2_C703140.html" TargetMode="External"/><Relationship Id="rId78" Type="http://schemas.openxmlformats.org/officeDocument/2006/relationships/hyperlink" Target="https://lcsc.com/product-detail/buzzers_fengming-ys-sbz9032c03r16_C409828.html" TargetMode="External"/><Relationship Id="rId94" Type="http://schemas.openxmlformats.org/officeDocument/2006/relationships/hyperlink" Target="https://lcsc.com/product-detail/chip-resistor-surface-mount_yageo-rt0603bre076k8l_C705876.html" TargetMode="External"/><Relationship Id="rId99" Type="http://schemas.openxmlformats.org/officeDocument/2006/relationships/hyperlink" Target="https://lcsc.com/product-detail/chip-resistor-surface-mount_yageo-rc0603fr-07680rl_C112310.html" TargetMode="External"/><Relationship Id="rId101" Type="http://schemas.openxmlformats.org/officeDocument/2006/relationships/hyperlink" Target="https://lcsc.com/product-detail/chip-resistor-surface-mount_koa-speer-elec-rk73g1jttd1002f_C362180.html" TargetMode="External"/><Relationship Id="rId122" Type="http://schemas.openxmlformats.org/officeDocument/2006/relationships/hyperlink" Target="https://lcsc.com/product-detail/chip-resistor-surface-mount_ever-ohms-tech-tr0603b499kp0525z_C149937.html" TargetMode="External"/><Relationship Id="rId143" Type="http://schemas.openxmlformats.org/officeDocument/2006/relationships/hyperlink" Target="https://lcsc.com/product-detail/chip-resistor-surface-mount_vishay-crcw0603402kfkea_C844562.html" TargetMode="External"/><Relationship Id="rId148" Type="http://schemas.openxmlformats.org/officeDocument/2006/relationships/hyperlink" Target="https://lcsc.com/product-detail/chip-resistor-surface-mount_yageo-rt0603brb07120rl_C860088.html" TargetMode="External"/><Relationship Id="rId164" Type="http://schemas.openxmlformats.org/officeDocument/2006/relationships/hyperlink" Target="https://lcsc.com/product-detail/battery-management_ti-bq24650rvar_C53712.html" TargetMode="External"/><Relationship Id="rId169" Type="http://schemas.openxmlformats.org/officeDocument/2006/relationships/hyperlink" Target="https://lcsc.com/product-detail/mosfets_allpower-shenzhen-quan-li-semiconductor-ap4008qd_C2828588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26" Type="http://schemas.openxmlformats.org/officeDocument/2006/relationships/hyperlink" Target="https://lcsc.com/product-detail/multilayer-ceramic-capacitors-mlcc-smd-smt_murata-grm033c81e104ke14d_C181047.html" TargetMode="External"/><Relationship Id="rId47" Type="http://schemas.openxmlformats.org/officeDocument/2006/relationships/hyperlink" Target="https://lcsc.com/product-detail/schottky-diodes_diodes-zlls350ta_C139441.html" TargetMode="External"/><Relationship Id="rId68" Type="http://schemas.openxmlformats.org/officeDocument/2006/relationships/hyperlink" Target="https://lcsc.com/product-detail/inductors-smd_microgate-mgfl2012f100mt-lf_C281113.html" TargetMode="External"/><Relationship Id="rId89" Type="http://schemas.openxmlformats.org/officeDocument/2006/relationships/hyperlink" Target="https://lcsc.com/product-detail/chip-resistor-surface-mount_uni-royal-0603waf3601t5e_C22980.html" TargetMode="External"/><Relationship Id="rId112" Type="http://schemas.openxmlformats.org/officeDocument/2006/relationships/hyperlink" Target="https://lcsc.com/product-detail/chip-resistor-surface-mount_yageo-rt0603brd077k5l_C728597.html" TargetMode="External"/><Relationship Id="rId133" Type="http://schemas.openxmlformats.org/officeDocument/2006/relationships/hyperlink" Target="https://lcsc.com/product-detail/chip-resistor-surface-mount_vishay-crcw06031m82fkea_C2076849.html" TargetMode="External"/><Relationship Id="rId154" Type="http://schemas.openxmlformats.org/officeDocument/2006/relationships/hyperlink" Target="https://lcsc.com/product-detail/tactile-switches_e-switch-tl3300cf160q_C273516.html" TargetMode="External"/><Relationship Id="rId175" Type="http://schemas.openxmlformats.org/officeDocument/2006/relationships/hyperlink" Target="https://www.aliexpress.us/item/2251801850504415.html?spm=a2g0o.productlist.main.3.4646IPSbIPSb3x&amp;algo_pvid=f1385d3d-4aa8-4471-82fa-ec2a4b1df603&amp;algo_exp_id=f1385d3d-4aa8-4471-82fa-ec2a4b1df603-1&amp;pdp_npi=4%40dis%21USD%214.59%210.99%21%21%214.59%210.99%21%254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37" Type="http://schemas.openxmlformats.org/officeDocument/2006/relationships/hyperlink" Target="https://lcsc.com/product-detail/schottky-diodes_guangdong-hottech-ss24a_C2886579.html" TargetMode="External"/><Relationship Id="rId58" Type="http://schemas.openxmlformats.org/officeDocument/2006/relationships/hyperlink" Target="https://lcsc.com/product-detail/wire-to-board-connector_molex-22112032_C505163.html" TargetMode="External"/><Relationship Id="rId79" Type="http://schemas.openxmlformats.org/officeDocument/2006/relationships/hyperlink" Target="https://lcsc.com/product-detail/test-points-test-rings_keystone-4952_C238118.html" TargetMode="External"/><Relationship Id="rId102" Type="http://schemas.openxmlformats.org/officeDocument/2006/relationships/hyperlink" Target="https://lcsc.com/product-detail/chip-resistor-surface-mount_yageo-rc0603dr-07150rl_C471801.html" TargetMode="External"/><Relationship Id="rId123" Type="http://schemas.openxmlformats.org/officeDocument/2006/relationships/hyperlink" Target="https://lcsc.com/product-detail/chip-resistor-surface-mount_yageo-rt0402brd0786k6l_C852935.html" TargetMode="External"/><Relationship Id="rId144" Type="http://schemas.openxmlformats.org/officeDocument/2006/relationships/hyperlink" Target="https://lcsc.com/product-detail/chip-resistor-surface-mount_yageo-rc0603fr-07845kl_C246013.html" TargetMode="External"/><Relationship Id="rId90" Type="http://schemas.openxmlformats.org/officeDocument/2006/relationships/hyperlink" Target="https://lcsc.com/product-detail/chip-resistor-surface-mount_ralec-rtt03r330ftp_C103893.html" TargetMode="External"/><Relationship Id="rId165" Type="http://schemas.openxmlformats.org/officeDocument/2006/relationships/hyperlink" Target="https://lcsc.com/product-detail/comparators_ti-tps3700ddcr_C33002.html" TargetMode="External"/><Relationship Id="rId27" Type="http://schemas.openxmlformats.org/officeDocument/2006/relationships/hyperlink" Target="https://lcsc.com/product-detail/multilayer-ceramic-capacitors-mlcc-smd-smt_tdk-c3216x5r1e476m160ac_C2167787.html" TargetMode="External"/><Relationship Id="rId48" Type="http://schemas.openxmlformats.org/officeDocument/2006/relationships/hyperlink" Target="https://lcsc.com/product-detail/esd-and-surge-protection-tvs-esd_lrc-lesd8d3-3cat5g_C172409.html" TargetMode="External"/><Relationship Id="rId69" Type="http://schemas.openxmlformats.org/officeDocument/2006/relationships/hyperlink" Target="https://lcsc.com/product-detail/power-inductors_tdk-slf12575t-221m1r3-pf_C93225.html" TargetMode="External"/><Relationship Id="rId113" Type="http://schemas.openxmlformats.org/officeDocument/2006/relationships/hyperlink" Target="https://lcsc.com/product-detail/chip-resistor-surface-mount_vishay-rca0603100rfkeahp_C2074203.html" TargetMode="External"/><Relationship Id="rId134" Type="http://schemas.openxmlformats.org/officeDocument/2006/relationships/hyperlink" Target="https://lcsc.com/product-detail/chip-resistor-surface-mount_yageo-rc0402fr-071kl_C106235.html" TargetMode="External"/><Relationship Id="rId80" Type="http://schemas.openxmlformats.org/officeDocument/2006/relationships/hyperlink" Target="https://lcsc.com/product-detail/mosfets_willsemi-wnm2016a-3-tr_C601105.html" TargetMode="External"/><Relationship Id="rId155" Type="http://schemas.openxmlformats.org/officeDocument/2006/relationships/hyperlink" Target="https://lcsc.com/product-detail/slide-switches_g-switch-ss-12d02-g040_C2876023.html" TargetMode="External"/><Relationship Id="rId176" Type="http://schemas.openxmlformats.org/officeDocument/2006/relationships/hyperlink" Target="https://www.aliexpress.us/item/3256804429301946.html?spm=a2g0o.productlist.main.2.3f66yQMqyQMqQ6&amp;algo_pvid=9ce91d18-6d70-473d-a585-17fde29ca2aa&amp;algo_exp_id=9ce91d18-6d70-473d-a585-17fde29ca2aa-1&amp;pdp_npi=4%40dis%21USD%212.51%210.99%21%21%212.51%210.99%21%254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38" Type="http://schemas.openxmlformats.org/officeDocument/2006/relationships/hyperlink" Target="https://lcsc.com/product-detail/zener-diodes_onsemi-1sma5930bt3g_C128848.html" TargetMode="External"/><Relationship Id="rId59" Type="http://schemas.openxmlformats.org/officeDocument/2006/relationships/hyperlink" Target="https://lcsc.com/product-detail/wire-to-board-connector_molex-22112022_C505162.html" TargetMode="External"/><Relationship Id="rId103" Type="http://schemas.openxmlformats.org/officeDocument/2006/relationships/hyperlink" Target="https://lcsc.com/product-detail/chip-resistor-surface-mount_yageo-rc0603fr-072k2l_C114662.html" TargetMode="External"/><Relationship Id="rId124" Type="http://schemas.openxmlformats.org/officeDocument/2006/relationships/hyperlink" Target="https://lcsc.com/product-detail/chip-resistor-surface-mount_yageo-rc2512jk-070rl_C189505.html" TargetMode="External"/><Relationship Id="rId70" Type="http://schemas.openxmlformats.org/officeDocument/2006/relationships/hyperlink" Target="https://lcsc.com/product-detail/power-inductors_yjycoin-yprh0704-4r7m_C514806.html" TargetMode="External"/><Relationship Id="rId91" Type="http://schemas.openxmlformats.org/officeDocument/2006/relationships/hyperlink" Target="https://lcsc.com/product-detail/chip-resistor-surface-mount_yageo-rc0603fr-071k2l_C114605.html" TargetMode="External"/><Relationship Id="rId145" Type="http://schemas.openxmlformats.org/officeDocument/2006/relationships/hyperlink" Target="https://lcsc.com/product-detail/chip-resistor-surface-mount_yageo-rc0603fr-07499kl_C131054.html" TargetMode="External"/><Relationship Id="rId166" Type="http://schemas.openxmlformats.org/officeDocument/2006/relationships/hyperlink" Target="https://lcsc.com/product-detail/voltage-regulators-linear-low-drop-out-ldo-regulators_microchip-mic29302wu-tr_C11149.html" TargetMode="External"/><Relationship Id="rId1" Type="http://schemas.openxmlformats.org/officeDocument/2006/relationships/hyperlink" Target="https://lcsc.com/product-detail/multilayer-ceramic-capacitors-mlcc-smd-smt_yageo-cc1206kkx7r0bb104_C1071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05"/>
  <sheetViews>
    <sheetView tabSelected="1" topLeftCell="A187" workbookViewId="0">
      <selection activeCell="F212" sqref="F212"/>
    </sheetView>
  </sheetViews>
  <sheetFormatPr defaultRowHeight="15"/>
  <cols>
    <col min="2" max="2" width="4" style="4" bestFit="1" customWidth="1"/>
    <col min="3" max="3" width="18" style="4" bestFit="1" customWidth="1"/>
    <col min="4" max="4" width="27.42578125" customWidth="1"/>
    <col min="5" max="5" width="30.85546875" customWidth="1"/>
    <col min="6" max="6" width="20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8554687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0.28515625" bestFit="1" customWidth="1"/>
    <col min="16" max="16" width="18.7109375" bestFit="1" customWidth="1"/>
    <col min="17" max="17" width="25.42578125" customWidth="1"/>
    <col min="18" max="18" width="12.28515625" bestFit="1" customWidth="1"/>
    <col min="20" max="20" width="31.425781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29"/>
      <c r="L1" s="29"/>
      <c r="M1" s="29"/>
      <c r="N1" s="29"/>
      <c r="O1" s="29"/>
      <c r="P1" s="29"/>
      <c r="Q1" s="29"/>
      <c r="R1" s="29"/>
    </row>
    <row r="2" spans="1:18" ht="15.75" thickBot="1">
      <c r="A2" s="1"/>
      <c r="B2" s="5" t="s">
        <v>0</v>
      </c>
      <c r="C2" s="5" t="s">
        <v>3</v>
      </c>
      <c r="D2" s="5" t="s">
        <v>40</v>
      </c>
      <c r="E2" s="5" t="s">
        <v>228</v>
      </c>
      <c r="F2" s="5" t="s">
        <v>413</v>
      </c>
      <c r="G2" s="5" t="s">
        <v>489</v>
      </c>
      <c r="H2" s="5" t="s">
        <v>651</v>
      </c>
      <c r="I2" s="5" t="s">
        <v>963</v>
      </c>
      <c r="J2" s="5" t="s">
        <v>725</v>
      </c>
      <c r="K2" s="5" t="s">
        <v>964</v>
      </c>
      <c r="L2" s="5" t="s">
        <v>962</v>
      </c>
      <c r="M2" s="5" t="s">
        <v>965</v>
      </c>
      <c r="N2" s="5" t="s">
        <v>966</v>
      </c>
      <c r="O2" s="5" t="s">
        <v>967</v>
      </c>
      <c r="P2" s="5" t="s">
        <v>968</v>
      </c>
      <c r="Q2" s="5" t="s">
        <v>969</v>
      </c>
      <c r="R2" s="5" t="s">
        <v>970</v>
      </c>
    </row>
    <row r="3" spans="1:18" ht="24">
      <c r="A3" s="1"/>
      <c r="B3" s="8">
        <f>ROW(B3) - ROW($B$2)</f>
        <v>1</v>
      </c>
      <c r="C3" s="14" t="s">
        <v>4</v>
      </c>
      <c r="D3" s="6" t="s">
        <v>41</v>
      </c>
      <c r="E3" s="6" t="s">
        <v>229</v>
      </c>
      <c r="F3" s="6" t="s">
        <v>971</v>
      </c>
      <c r="G3" s="6" t="s">
        <v>490</v>
      </c>
      <c r="H3" s="6" t="s">
        <v>652</v>
      </c>
      <c r="I3" s="6" t="s">
        <v>972</v>
      </c>
      <c r="J3" s="6" t="s">
        <v>726</v>
      </c>
      <c r="K3" s="6" t="s">
        <v>892</v>
      </c>
      <c r="L3" s="6">
        <v>13</v>
      </c>
      <c r="M3" s="6">
        <f>L3*5</f>
        <v>65</v>
      </c>
      <c r="N3" s="6">
        <v>65</v>
      </c>
      <c r="O3" s="23" t="s">
        <v>1031</v>
      </c>
      <c r="P3" s="7">
        <v>1.47E-2</v>
      </c>
      <c r="Q3" s="7">
        <f>P3*N3</f>
        <v>0.95550000000000002</v>
      </c>
      <c r="R3" s="6"/>
    </row>
    <row r="4" spans="1:18">
      <c r="A4" s="1"/>
      <c r="B4" s="9">
        <f t="shared" ref="B4:B188" si="0">ROW(B4) - ROW($B$2)</f>
        <v>2</v>
      </c>
      <c r="C4" s="15" t="s">
        <v>4</v>
      </c>
      <c r="D4" s="12" t="s">
        <v>42</v>
      </c>
      <c r="E4" s="12" t="s">
        <v>230</v>
      </c>
      <c r="F4" s="12" t="s">
        <v>414</v>
      </c>
      <c r="G4" s="12" t="s">
        <v>491</v>
      </c>
      <c r="H4" s="12" t="s">
        <v>653</v>
      </c>
      <c r="I4" s="6" t="s">
        <v>972</v>
      </c>
      <c r="J4" s="12" t="s">
        <v>727</v>
      </c>
      <c r="K4" s="12" t="s">
        <v>893</v>
      </c>
      <c r="L4" s="12">
        <v>1</v>
      </c>
      <c r="M4" s="12">
        <f t="shared" ref="M4" si="1">L4*5</f>
        <v>5</v>
      </c>
      <c r="N4" s="12" t="s">
        <v>995</v>
      </c>
      <c r="O4" s="22" t="s">
        <v>1031</v>
      </c>
      <c r="P4" s="13" t="s">
        <v>1008</v>
      </c>
      <c r="Q4" s="13">
        <f t="shared" ref="Q4" si="2">P4*N4</f>
        <v>0.64500000000000002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43</v>
      </c>
      <c r="E5" s="6" t="s">
        <v>231</v>
      </c>
      <c r="F5" s="6" t="s">
        <v>415</v>
      </c>
      <c r="G5" s="6" t="s">
        <v>492</v>
      </c>
      <c r="H5" s="6" t="s">
        <v>653</v>
      </c>
      <c r="I5" s="6" t="s">
        <v>972</v>
      </c>
      <c r="J5" s="6" t="s">
        <v>728</v>
      </c>
      <c r="K5" s="6" t="s">
        <v>894</v>
      </c>
      <c r="L5" s="6">
        <v>6</v>
      </c>
      <c r="M5" s="6">
        <f>L5*5</f>
        <v>30</v>
      </c>
      <c r="N5" s="6" t="s">
        <v>994</v>
      </c>
      <c r="O5" s="22" t="s">
        <v>1031</v>
      </c>
      <c r="P5" s="7" t="s">
        <v>1009</v>
      </c>
      <c r="Q5" s="7">
        <f>P5*N5</f>
        <v>0.54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44</v>
      </c>
      <c r="E6" s="12" t="s">
        <v>232</v>
      </c>
      <c r="F6" s="12" t="s">
        <v>416</v>
      </c>
      <c r="G6" s="12" t="s">
        <v>493</v>
      </c>
      <c r="H6" s="12" t="s">
        <v>653</v>
      </c>
      <c r="I6" s="6" t="s">
        <v>972</v>
      </c>
      <c r="J6" s="12" t="s">
        <v>729</v>
      </c>
      <c r="K6" s="12" t="s">
        <v>895</v>
      </c>
      <c r="L6" s="12">
        <v>2</v>
      </c>
      <c r="M6" s="12">
        <f t="shared" ref="M6" si="3">L6*5</f>
        <v>10</v>
      </c>
      <c r="N6" s="12" t="s">
        <v>994</v>
      </c>
      <c r="O6" s="22" t="s">
        <v>1031</v>
      </c>
      <c r="P6" s="13" t="s">
        <v>1010</v>
      </c>
      <c r="Q6" s="13">
        <f t="shared" ref="Q6" si="4">P6*N6</f>
        <v>0.22</v>
      </c>
      <c r="R6" s="12"/>
    </row>
    <row r="7" spans="1:18" ht="36">
      <c r="A7" s="1"/>
      <c r="B7" s="8">
        <f>ROW(B7) - ROW($B$2)</f>
        <v>5</v>
      </c>
      <c r="C7" s="14" t="s">
        <v>4</v>
      </c>
      <c r="D7" s="6" t="s">
        <v>45</v>
      </c>
      <c r="E7" s="6" t="s">
        <v>233</v>
      </c>
      <c r="F7" s="6" t="s">
        <v>415</v>
      </c>
      <c r="G7" s="6" t="s">
        <v>494</v>
      </c>
      <c r="H7" s="6" t="s">
        <v>653</v>
      </c>
      <c r="I7" s="6" t="s">
        <v>972</v>
      </c>
      <c r="J7" s="6" t="s">
        <v>730</v>
      </c>
      <c r="K7" s="6" t="s">
        <v>893</v>
      </c>
      <c r="L7" s="6">
        <v>20</v>
      </c>
      <c r="M7" s="6">
        <f>L7*5</f>
        <v>100</v>
      </c>
      <c r="N7" s="6" t="s">
        <v>994</v>
      </c>
      <c r="O7" s="22" t="s">
        <v>1031</v>
      </c>
      <c r="P7" s="7" t="s">
        <v>1011</v>
      </c>
      <c r="Q7" s="7">
        <f>P7*N7</f>
        <v>0.31</v>
      </c>
      <c r="R7" s="6"/>
    </row>
    <row r="8" spans="1:18">
      <c r="A8" s="1"/>
      <c r="B8" s="9">
        <f t="shared" si="0"/>
        <v>6</v>
      </c>
      <c r="C8" s="15" t="s">
        <v>4</v>
      </c>
      <c r="D8" s="12" t="s">
        <v>46</v>
      </c>
      <c r="E8" s="12" t="s">
        <v>234</v>
      </c>
      <c r="F8" s="12" t="s">
        <v>416</v>
      </c>
      <c r="G8" s="12" t="s">
        <v>495</v>
      </c>
      <c r="H8" s="12" t="s">
        <v>653</v>
      </c>
      <c r="I8" s="6" t="s">
        <v>972</v>
      </c>
      <c r="J8" s="12" t="s">
        <v>731</v>
      </c>
      <c r="K8" s="12" t="s">
        <v>894</v>
      </c>
      <c r="L8" s="12">
        <v>4</v>
      </c>
      <c r="M8" s="12">
        <f t="shared" ref="M8" si="5">L8*5</f>
        <v>20</v>
      </c>
      <c r="N8" s="12" t="s">
        <v>994</v>
      </c>
      <c r="O8" s="22" t="s">
        <v>1031</v>
      </c>
      <c r="P8" s="13" t="s">
        <v>1012</v>
      </c>
      <c r="Q8" s="13">
        <f t="shared" ref="Q8" si="6">P8*N8</f>
        <v>0.41000000000000003</v>
      </c>
      <c r="R8" s="12"/>
    </row>
    <row r="9" spans="1:18">
      <c r="A9" s="1"/>
      <c r="B9" s="8">
        <f>ROW(B9) - ROW($B$2)</f>
        <v>7</v>
      </c>
      <c r="C9" s="14" t="s">
        <v>4</v>
      </c>
      <c r="D9" s="6" t="s">
        <v>47</v>
      </c>
      <c r="E9" s="6" t="s">
        <v>235</v>
      </c>
      <c r="F9" s="6" t="s">
        <v>971</v>
      </c>
      <c r="G9" s="19" t="s">
        <v>496</v>
      </c>
      <c r="H9" s="6" t="s">
        <v>654</v>
      </c>
      <c r="I9" s="6" t="s">
        <v>1148</v>
      </c>
      <c r="J9" s="6" t="s">
        <v>972</v>
      </c>
      <c r="K9" s="6" t="s">
        <v>896</v>
      </c>
      <c r="L9" s="6">
        <v>1</v>
      </c>
      <c r="M9" s="6">
        <f>L9*5</f>
        <v>5</v>
      </c>
      <c r="N9" s="6">
        <v>5</v>
      </c>
      <c r="O9" s="22" t="s">
        <v>1147</v>
      </c>
      <c r="P9" s="7">
        <v>0.38</v>
      </c>
      <c r="Q9" s="7">
        <f>P9*N9</f>
        <v>1.9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48</v>
      </c>
      <c r="E10" s="12" t="s">
        <v>236</v>
      </c>
      <c r="F10" s="12" t="s">
        <v>416</v>
      </c>
      <c r="G10" s="12" t="s">
        <v>497</v>
      </c>
      <c r="H10" s="12" t="s">
        <v>655</v>
      </c>
      <c r="I10" s="12" t="s">
        <v>972</v>
      </c>
      <c r="J10" s="12" t="s">
        <v>732</v>
      </c>
      <c r="K10" s="12" t="s">
        <v>897</v>
      </c>
      <c r="L10" s="12">
        <v>2</v>
      </c>
      <c r="M10" s="12">
        <f t="shared" ref="M10" si="7">L10*5</f>
        <v>10</v>
      </c>
      <c r="N10" s="12" t="s">
        <v>995</v>
      </c>
      <c r="O10" s="22" t="s">
        <v>1031</v>
      </c>
      <c r="P10" s="13" t="s">
        <v>1013</v>
      </c>
      <c r="Q10" s="13">
        <f t="shared" ref="Q10" si="8">P10*N10</f>
        <v>0.45999999999999996</v>
      </c>
      <c r="R10" s="12"/>
    </row>
    <row r="11" spans="1:18" ht="36">
      <c r="A11" s="1"/>
      <c r="B11" s="8">
        <f>ROW(B11) - ROW($B$2)</f>
        <v>9</v>
      </c>
      <c r="C11" s="14" t="s">
        <v>4</v>
      </c>
      <c r="D11" s="6" t="s">
        <v>49</v>
      </c>
      <c r="E11" s="6" t="s">
        <v>237</v>
      </c>
      <c r="F11" s="6" t="s">
        <v>416</v>
      </c>
      <c r="G11" s="6" t="s">
        <v>498</v>
      </c>
      <c r="H11" s="6" t="s">
        <v>655</v>
      </c>
      <c r="I11" s="12" t="s">
        <v>972</v>
      </c>
      <c r="J11" s="6" t="s">
        <v>733</v>
      </c>
      <c r="K11" s="6" t="s">
        <v>893</v>
      </c>
      <c r="L11" s="6">
        <v>15</v>
      </c>
      <c r="M11" s="6">
        <f>L11*5</f>
        <v>75</v>
      </c>
      <c r="N11" s="6" t="s">
        <v>996</v>
      </c>
      <c r="O11" s="22" t="s">
        <v>1031</v>
      </c>
      <c r="P11" s="7" t="s">
        <v>1014</v>
      </c>
      <c r="Q11" s="7">
        <f>P11*N11</f>
        <v>5.9625000000000004</v>
      </c>
      <c r="R11" s="6"/>
    </row>
    <row r="12" spans="1:18" ht="36">
      <c r="A12" s="1"/>
      <c r="B12" s="9">
        <f t="shared" si="0"/>
        <v>10</v>
      </c>
      <c r="C12" s="14" t="s">
        <v>4</v>
      </c>
      <c r="D12" s="12" t="s">
        <v>50</v>
      </c>
      <c r="E12" s="12" t="s">
        <v>238</v>
      </c>
      <c r="F12" s="6" t="s">
        <v>971</v>
      </c>
      <c r="G12" s="12" t="s">
        <v>417</v>
      </c>
      <c r="H12" s="12" t="s">
        <v>656</v>
      </c>
      <c r="I12" s="12" t="s">
        <v>972</v>
      </c>
      <c r="J12" s="12" t="s">
        <v>978</v>
      </c>
      <c r="K12" s="12" t="s">
        <v>898</v>
      </c>
      <c r="L12" s="12">
        <v>1</v>
      </c>
      <c r="M12" s="12">
        <f t="shared" ref="M12" si="9">L12*5</f>
        <v>5</v>
      </c>
      <c r="N12" s="12" t="s">
        <v>992</v>
      </c>
      <c r="O12" s="22" t="s">
        <v>1031</v>
      </c>
      <c r="P12" s="13" t="s">
        <v>1015</v>
      </c>
      <c r="Q12" s="13">
        <f t="shared" ref="Q12" si="10">P12*N12</f>
        <v>1.8979999999999999</v>
      </c>
      <c r="R12" s="12"/>
    </row>
    <row r="13" spans="1:18">
      <c r="A13" s="1"/>
      <c r="B13" s="8">
        <f>ROW(B13) - ROW($B$2)</f>
        <v>11</v>
      </c>
      <c r="C13" s="14" t="s">
        <v>4</v>
      </c>
      <c r="D13" s="6" t="s">
        <v>51</v>
      </c>
      <c r="E13" s="6" t="s">
        <v>239</v>
      </c>
      <c r="F13" s="6" t="s">
        <v>415</v>
      </c>
      <c r="G13" s="6" t="s">
        <v>499</v>
      </c>
      <c r="H13" s="6" t="s">
        <v>653</v>
      </c>
      <c r="I13" s="12" t="s">
        <v>972</v>
      </c>
      <c r="J13" s="6" t="s">
        <v>734</v>
      </c>
      <c r="K13" s="6" t="s">
        <v>899</v>
      </c>
      <c r="L13" s="6">
        <v>1</v>
      </c>
      <c r="M13" s="6">
        <f>L13*5</f>
        <v>5</v>
      </c>
      <c r="N13" s="6" t="s">
        <v>994</v>
      </c>
      <c r="O13" s="22" t="s">
        <v>1031</v>
      </c>
      <c r="P13" s="7" t="s">
        <v>1016</v>
      </c>
      <c r="Q13" s="7">
        <f>P13*N13</f>
        <v>0.26</v>
      </c>
      <c r="R13" s="6"/>
    </row>
    <row r="14" spans="1:18">
      <c r="A14" s="1"/>
      <c r="B14" s="9">
        <f t="shared" si="0"/>
        <v>12</v>
      </c>
      <c r="C14" s="14" t="s">
        <v>4</v>
      </c>
      <c r="D14" s="12" t="s">
        <v>52</v>
      </c>
      <c r="E14" s="12" t="s">
        <v>240</v>
      </c>
      <c r="F14" s="12" t="s">
        <v>418</v>
      </c>
      <c r="G14" s="12" t="s">
        <v>500</v>
      </c>
      <c r="H14" s="12" t="s">
        <v>653</v>
      </c>
      <c r="I14" s="12" t="s">
        <v>972</v>
      </c>
      <c r="J14" s="12" t="s">
        <v>735</v>
      </c>
      <c r="K14" s="12" t="s">
        <v>900</v>
      </c>
      <c r="L14" s="12">
        <v>4</v>
      </c>
      <c r="M14" s="12">
        <f t="shared" ref="M14" si="11">L14*5</f>
        <v>20</v>
      </c>
      <c r="N14" s="12" t="s">
        <v>994</v>
      </c>
      <c r="O14" s="22" t="s">
        <v>1031</v>
      </c>
      <c r="P14" s="13" t="s">
        <v>1017</v>
      </c>
      <c r="Q14" s="13">
        <f t="shared" ref="Q14" si="12">P14*N14</f>
        <v>0.1</v>
      </c>
      <c r="R14" s="12"/>
    </row>
    <row r="15" spans="1:18">
      <c r="A15" s="1"/>
      <c r="B15" s="8">
        <f>ROW(B15) - ROW($B$2)</f>
        <v>13</v>
      </c>
      <c r="C15" s="14" t="s">
        <v>4</v>
      </c>
      <c r="D15" s="6" t="s">
        <v>53</v>
      </c>
      <c r="E15" s="6" t="s">
        <v>241</v>
      </c>
      <c r="F15" s="6" t="s">
        <v>415</v>
      </c>
      <c r="G15" s="6" t="s">
        <v>501</v>
      </c>
      <c r="H15" s="6" t="s">
        <v>653</v>
      </c>
      <c r="I15" s="12" t="s">
        <v>972</v>
      </c>
      <c r="J15" s="6" t="s">
        <v>736</v>
      </c>
      <c r="K15" s="6" t="s">
        <v>894</v>
      </c>
      <c r="L15" s="6">
        <v>5</v>
      </c>
      <c r="M15" s="6">
        <f>L15*5</f>
        <v>25</v>
      </c>
      <c r="N15" s="6" t="s">
        <v>997</v>
      </c>
      <c r="O15" s="22" t="s">
        <v>1031</v>
      </c>
      <c r="P15" s="7" t="s">
        <v>1018</v>
      </c>
      <c r="Q15" s="7">
        <f>P15*N15</f>
        <v>0.96799999999999997</v>
      </c>
      <c r="R15" s="6"/>
    </row>
    <row r="16" spans="1:18">
      <c r="A16" s="1"/>
      <c r="B16" s="9">
        <f t="shared" si="0"/>
        <v>14</v>
      </c>
      <c r="C16" s="14" t="s">
        <v>4</v>
      </c>
      <c r="D16" s="12" t="s">
        <v>54</v>
      </c>
      <c r="E16" s="12" t="s">
        <v>242</v>
      </c>
      <c r="F16" s="12" t="s">
        <v>414</v>
      </c>
      <c r="G16" s="12" t="s">
        <v>502</v>
      </c>
      <c r="H16" s="12" t="s">
        <v>653</v>
      </c>
      <c r="I16" s="12" t="s">
        <v>972</v>
      </c>
      <c r="J16" s="12" t="s">
        <v>737</v>
      </c>
      <c r="K16" s="12" t="s">
        <v>901</v>
      </c>
      <c r="L16" s="12">
        <v>1</v>
      </c>
      <c r="M16" s="12">
        <f t="shared" ref="M16" si="13">L16*5</f>
        <v>5</v>
      </c>
      <c r="N16" s="12" t="s">
        <v>998</v>
      </c>
      <c r="O16" s="22" t="s">
        <v>1031</v>
      </c>
      <c r="P16" s="13" t="s">
        <v>1019</v>
      </c>
      <c r="Q16" s="13">
        <f t="shared" ref="Q16" si="14">P16*N16</f>
        <v>0.56800000000000006</v>
      </c>
      <c r="R16" s="12"/>
    </row>
    <row r="17" spans="1:18">
      <c r="A17" s="1"/>
      <c r="B17" s="8">
        <f>ROW(B17) - ROW($B$2)</f>
        <v>15</v>
      </c>
      <c r="C17" s="14" t="s">
        <v>4</v>
      </c>
      <c r="D17" s="6" t="s">
        <v>55</v>
      </c>
      <c r="E17" s="6" t="s">
        <v>243</v>
      </c>
      <c r="F17" s="6" t="s">
        <v>416</v>
      </c>
      <c r="G17" s="6" t="s">
        <v>503</v>
      </c>
      <c r="H17" s="6" t="s">
        <v>653</v>
      </c>
      <c r="I17" s="12" t="s">
        <v>972</v>
      </c>
      <c r="J17" s="6" t="s">
        <v>738</v>
      </c>
      <c r="K17" s="6" t="s">
        <v>902</v>
      </c>
      <c r="L17" s="6">
        <v>2</v>
      </c>
      <c r="M17" s="6">
        <f>L17*5</f>
        <v>10</v>
      </c>
      <c r="N17" s="6" t="s">
        <v>994</v>
      </c>
      <c r="O17" s="22" t="s">
        <v>1031</v>
      </c>
      <c r="P17" s="7" t="s">
        <v>1003</v>
      </c>
      <c r="Q17" s="7">
        <f>P17*N17</f>
        <v>0.11</v>
      </c>
      <c r="R17" s="6"/>
    </row>
    <row r="18" spans="1:18">
      <c r="A18" s="1"/>
      <c r="B18" s="9">
        <f t="shared" si="0"/>
        <v>16</v>
      </c>
      <c r="C18" s="14" t="s">
        <v>4</v>
      </c>
      <c r="D18" s="12" t="s">
        <v>56</v>
      </c>
      <c r="E18" s="12" t="s">
        <v>244</v>
      </c>
      <c r="F18" s="12" t="s">
        <v>416</v>
      </c>
      <c r="G18" s="12" t="s">
        <v>504</v>
      </c>
      <c r="H18" s="12" t="s">
        <v>653</v>
      </c>
      <c r="I18" s="12" t="s">
        <v>972</v>
      </c>
      <c r="J18" s="12" t="s">
        <v>739</v>
      </c>
      <c r="K18" s="12" t="s">
        <v>893</v>
      </c>
      <c r="L18" s="12">
        <v>6</v>
      </c>
      <c r="M18" s="12">
        <f t="shared" ref="M18" si="15">L18*5</f>
        <v>30</v>
      </c>
      <c r="N18" s="12" t="s">
        <v>994</v>
      </c>
      <c r="O18" s="22" t="s">
        <v>1031</v>
      </c>
      <c r="P18" s="13" t="s">
        <v>1002</v>
      </c>
      <c r="Q18" s="13">
        <f t="shared" ref="Q18" si="16">P18*N18</f>
        <v>0.18</v>
      </c>
      <c r="R18" s="12"/>
    </row>
    <row r="19" spans="1:18">
      <c r="A19" s="1"/>
      <c r="B19" s="8">
        <f>ROW(B19) - ROW($B$2)</f>
        <v>17</v>
      </c>
      <c r="C19" s="14" t="s">
        <v>4</v>
      </c>
      <c r="D19" s="6" t="s">
        <v>57</v>
      </c>
      <c r="E19" s="6" t="s">
        <v>245</v>
      </c>
      <c r="F19" s="6" t="s">
        <v>415</v>
      </c>
      <c r="G19" s="6" t="s">
        <v>505</v>
      </c>
      <c r="H19" s="6" t="s">
        <v>657</v>
      </c>
      <c r="I19" s="12" t="s">
        <v>972</v>
      </c>
      <c r="J19" s="6" t="s">
        <v>740</v>
      </c>
      <c r="K19" s="6" t="s">
        <v>892</v>
      </c>
      <c r="L19" s="6">
        <v>1</v>
      </c>
      <c r="M19" s="6">
        <f>L19*5</f>
        <v>5</v>
      </c>
      <c r="N19" s="6" t="s">
        <v>1007</v>
      </c>
      <c r="O19" s="22" t="s">
        <v>1031</v>
      </c>
      <c r="P19" s="7" t="s">
        <v>1020</v>
      </c>
      <c r="Q19" s="7">
        <f>P19*N19</f>
        <v>0.372</v>
      </c>
      <c r="R19" s="6"/>
    </row>
    <row r="20" spans="1:18">
      <c r="A20" s="1"/>
      <c r="B20" s="9">
        <f t="shared" si="0"/>
        <v>18</v>
      </c>
      <c r="C20" s="14" t="s">
        <v>4</v>
      </c>
      <c r="D20" s="12" t="s">
        <v>58</v>
      </c>
      <c r="E20" s="12" t="s">
        <v>246</v>
      </c>
      <c r="F20" s="12" t="s">
        <v>419</v>
      </c>
      <c r="G20" s="12" t="s">
        <v>506</v>
      </c>
      <c r="H20" s="12" t="s">
        <v>658</v>
      </c>
      <c r="I20" s="12" t="s">
        <v>972</v>
      </c>
      <c r="J20" s="12" t="s">
        <v>741</v>
      </c>
      <c r="K20" s="12" t="s">
        <v>903</v>
      </c>
      <c r="L20" s="12">
        <v>5</v>
      </c>
      <c r="M20" s="12">
        <f t="shared" ref="M20" si="17">L20*5</f>
        <v>25</v>
      </c>
      <c r="N20" s="12" t="s">
        <v>999</v>
      </c>
      <c r="O20" s="22" t="s">
        <v>1031</v>
      </c>
      <c r="P20" s="13" t="s">
        <v>1021</v>
      </c>
      <c r="Q20" s="13">
        <f t="shared" ref="Q20" si="18">P20*N20</f>
        <v>3.7600000000000002</v>
      </c>
      <c r="R20" s="12"/>
    </row>
    <row r="21" spans="1:18">
      <c r="A21" s="1"/>
      <c r="B21" s="8">
        <f>ROW(B21) - ROW($B$2)</f>
        <v>19</v>
      </c>
      <c r="C21" s="14" t="s">
        <v>4</v>
      </c>
      <c r="D21" s="6" t="s">
        <v>59</v>
      </c>
      <c r="E21" s="6" t="s">
        <v>247</v>
      </c>
      <c r="F21" s="6" t="s">
        <v>971</v>
      </c>
      <c r="G21" s="6" t="s">
        <v>420</v>
      </c>
      <c r="H21" s="6" t="s">
        <v>654</v>
      </c>
      <c r="I21" s="12" t="s">
        <v>972</v>
      </c>
      <c r="J21" s="6" t="s">
        <v>742</v>
      </c>
      <c r="K21" s="6" t="s">
        <v>904</v>
      </c>
      <c r="L21" s="6">
        <v>1</v>
      </c>
      <c r="M21" s="6">
        <f>L21*5</f>
        <v>5</v>
      </c>
      <c r="N21" s="6" t="s">
        <v>992</v>
      </c>
      <c r="O21" s="22" t="s">
        <v>1031</v>
      </c>
      <c r="P21" s="7" t="s">
        <v>1022</v>
      </c>
      <c r="Q21" s="7">
        <f>P21*N21</f>
        <v>2.0505</v>
      </c>
      <c r="R21" s="6"/>
    </row>
    <row r="22" spans="1:18">
      <c r="A22" s="1"/>
      <c r="B22" s="9">
        <f t="shared" si="0"/>
        <v>20</v>
      </c>
      <c r="C22" s="14" t="s">
        <v>4</v>
      </c>
      <c r="D22" s="12" t="s">
        <v>60</v>
      </c>
      <c r="E22" s="12" t="s">
        <v>248</v>
      </c>
      <c r="F22" s="12" t="s">
        <v>415</v>
      </c>
      <c r="G22" s="12" t="s">
        <v>507</v>
      </c>
      <c r="H22" s="12" t="s">
        <v>653</v>
      </c>
      <c r="I22" s="12" t="s">
        <v>972</v>
      </c>
      <c r="J22" s="12" t="s">
        <v>743</v>
      </c>
      <c r="K22" s="12" t="s">
        <v>892</v>
      </c>
      <c r="L22" s="12">
        <v>1</v>
      </c>
      <c r="M22" s="12">
        <f t="shared" ref="M22" si="19">L22*5</f>
        <v>5</v>
      </c>
      <c r="N22" s="12" t="s">
        <v>992</v>
      </c>
      <c r="O22" s="22" t="s">
        <v>1031</v>
      </c>
      <c r="P22" s="13" t="s">
        <v>1023</v>
      </c>
      <c r="Q22" s="13">
        <f t="shared" ref="Q22" si="20">P22*N22</f>
        <v>0.71799999999999997</v>
      </c>
      <c r="R22" s="12"/>
    </row>
    <row r="23" spans="1:18">
      <c r="A23" s="1"/>
      <c r="B23" s="8">
        <f>ROW(B23) - ROW($B$2)</f>
        <v>21</v>
      </c>
      <c r="C23" s="14" t="s">
        <v>4</v>
      </c>
      <c r="D23" s="6" t="s">
        <v>61</v>
      </c>
      <c r="E23" s="6" t="s">
        <v>249</v>
      </c>
      <c r="F23" s="6" t="s">
        <v>416</v>
      </c>
      <c r="G23" s="6" t="s">
        <v>508</v>
      </c>
      <c r="H23" s="6" t="s">
        <v>659</v>
      </c>
      <c r="I23" s="12" t="s">
        <v>972</v>
      </c>
      <c r="J23" s="6" t="s">
        <v>744</v>
      </c>
      <c r="K23" s="6" t="s">
        <v>893</v>
      </c>
      <c r="L23" s="6">
        <v>1</v>
      </c>
      <c r="M23" s="6">
        <f>L23*5</f>
        <v>5</v>
      </c>
      <c r="N23" s="6" t="s">
        <v>995</v>
      </c>
      <c r="O23" s="22" t="s">
        <v>1031</v>
      </c>
      <c r="P23" s="7" t="s">
        <v>1024</v>
      </c>
      <c r="Q23" s="7">
        <f>P23*N23</f>
        <v>0.22999999999999998</v>
      </c>
      <c r="R23" s="6"/>
    </row>
    <row r="24" spans="1:18">
      <c r="A24" s="1"/>
      <c r="B24" s="9">
        <f t="shared" si="0"/>
        <v>22</v>
      </c>
      <c r="C24" s="15" t="s">
        <v>4</v>
      </c>
      <c r="D24" s="12" t="s">
        <v>62</v>
      </c>
      <c r="E24" s="12" t="s">
        <v>250</v>
      </c>
      <c r="F24" s="12" t="s">
        <v>415</v>
      </c>
      <c r="G24" s="12" t="s">
        <v>509</v>
      </c>
      <c r="H24" s="12" t="s">
        <v>655</v>
      </c>
      <c r="I24" s="12" t="s">
        <v>972</v>
      </c>
      <c r="J24" s="12" t="s">
        <v>745</v>
      </c>
      <c r="K24" s="12" t="s">
        <v>892</v>
      </c>
      <c r="L24" s="12">
        <v>1</v>
      </c>
      <c r="M24" s="12">
        <f t="shared" ref="M24" si="21">L24*5</f>
        <v>5</v>
      </c>
      <c r="N24" s="12" t="s">
        <v>992</v>
      </c>
      <c r="O24" s="22" t="s">
        <v>1031</v>
      </c>
      <c r="P24" s="13" t="s">
        <v>1025</v>
      </c>
      <c r="Q24" s="13">
        <f t="shared" ref="Q24" si="22">P24*N24</f>
        <v>4.2190000000000003</v>
      </c>
      <c r="R24" s="12"/>
    </row>
    <row r="25" spans="1:18">
      <c r="A25" s="1"/>
      <c r="B25" s="8">
        <f>ROW(B25) - ROW($B$2)</f>
        <v>23</v>
      </c>
      <c r="C25" s="14" t="s">
        <v>4</v>
      </c>
      <c r="D25" s="6" t="s">
        <v>63</v>
      </c>
      <c r="E25" s="6" t="s">
        <v>251</v>
      </c>
      <c r="F25" s="6" t="s">
        <v>416</v>
      </c>
      <c r="G25" s="6" t="s">
        <v>510</v>
      </c>
      <c r="H25" s="6" t="s">
        <v>657</v>
      </c>
      <c r="I25" s="12" t="s">
        <v>972</v>
      </c>
      <c r="J25" s="6" t="s">
        <v>746</v>
      </c>
      <c r="K25" s="6" t="s">
        <v>893</v>
      </c>
      <c r="L25" s="6">
        <v>2</v>
      </c>
      <c r="M25" s="6">
        <f>L25*5</f>
        <v>10</v>
      </c>
      <c r="N25" s="6" t="s">
        <v>995</v>
      </c>
      <c r="O25" s="22" t="s">
        <v>1031</v>
      </c>
      <c r="P25" s="7" t="s">
        <v>1026</v>
      </c>
      <c r="Q25" s="7">
        <f>P25*N25</f>
        <v>0.48</v>
      </c>
      <c r="R25" s="6"/>
    </row>
    <row r="26" spans="1:18">
      <c r="A26" s="1"/>
      <c r="B26" s="9">
        <f t="shared" si="0"/>
        <v>24</v>
      </c>
      <c r="C26" s="15" t="s">
        <v>4</v>
      </c>
      <c r="D26" s="12" t="s">
        <v>64</v>
      </c>
      <c r="E26" s="12" t="s">
        <v>252</v>
      </c>
      <c r="F26" s="12" t="s">
        <v>421</v>
      </c>
      <c r="G26" s="12" t="s">
        <v>511</v>
      </c>
      <c r="H26" s="12" t="s">
        <v>660</v>
      </c>
      <c r="I26" s="12" t="s">
        <v>972</v>
      </c>
      <c r="J26" s="12" t="s">
        <v>747</v>
      </c>
      <c r="K26" s="12" t="s">
        <v>905</v>
      </c>
      <c r="L26" s="12">
        <v>1</v>
      </c>
      <c r="M26" s="12">
        <f t="shared" ref="M26" si="23">L26*5</f>
        <v>5</v>
      </c>
      <c r="N26" s="12" t="s">
        <v>992</v>
      </c>
      <c r="O26" s="22" t="s">
        <v>1031</v>
      </c>
      <c r="P26" s="13" t="s">
        <v>1027</v>
      </c>
      <c r="Q26" s="13">
        <f t="shared" ref="Q26" si="24">P26*N26</f>
        <v>8.5024999999999995</v>
      </c>
      <c r="R26" s="12"/>
    </row>
    <row r="27" spans="1:18">
      <c r="A27" s="1"/>
      <c r="B27" s="8">
        <f>ROW(B27) - ROW($B$2)</f>
        <v>25</v>
      </c>
      <c r="C27" s="14" t="s">
        <v>4</v>
      </c>
      <c r="D27" s="6" t="s">
        <v>65</v>
      </c>
      <c r="E27" s="6" t="s">
        <v>253</v>
      </c>
      <c r="F27" s="6" t="s">
        <v>422</v>
      </c>
      <c r="G27" s="6" t="s">
        <v>512</v>
      </c>
      <c r="H27" s="6" t="s">
        <v>660</v>
      </c>
      <c r="I27" s="12" t="s">
        <v>972</v>
      </c>
      <c r="J27" s="6" t="s">
        <v>748</v>
      </c>
      <c r="K27" s="6" t="s">
        <v>896</v>
      </c>
      <c r="L27" s="6">
        <v>1</v>
      </c>
      <c r="M27" s="6">
        <f>L27*5</f>
        <v>5</v>
      </c>
      <c r="N27" s="6" t="s">
        <v>992</v>
      </c>
      <c r="O27" s="22" t="s">
        <v>1031</v>
      </c>
      <c r="P27" s="7" t="s">
        <v>1028</v>
      </c>
      <c r="Q27" s="7">
        <f>P27*N27</f>
        <v>1.3089999999999999</v>
      </c>
      <c r="R27" s="6"/>
    </row>
    <row r="28" spans="1:18">
      <c r="A28" s="1"/>
      <c r="B28" s="9">
        <f t="shared" si="0"/>
        <v>26</v>
      </c>
      <c r="C28" s="15" t="s">
        <v>4</v>
      </c>
      <c r="D28" s="12" t="s">
        <v>66</v>
      </c>
      <c r="E28" s="12" t="s">
        <v>254</v>
      </c>
      <c r="F28" s="12" t="s">
        <v>416</v>
      </c>
      <c r="G28" s="12" t="s">
        <v>513</v>
      </c>
      <c r="H28" s="12" t="s">
        <v>653</v>
      </c>
      <c r="I28" s="12" t="s">
        <v>972</v>
      </c>
      <c r="J28" s="12" t="s">
        <v>749</v>
      </c>
      <c r="K28" s="12" t="s">
        <v>892</v>
      </c>
      <c r="L28" s="12">
        <v>2</v>
      </c>
      <c r="M28" s="12">
        <f t="shared" ref="M28" si="25">L28*5</f>
        <v>10</v>
      </c>
      <c r="N28" s="12" t="s">
        <v>998</v>
      </c>
      <c r="O28" s="22" t="s">
        <v>1031</v>
      </c>
      <c r="P28" s="13" t="s">
        <v>1029</v>
      </c>
      <c r="Q28" s="13">
        <f t="shared" ref="Q28" si="26">P28*N28</f>
        <v>0.50800000000000001</v>
      </c>
      <c r="R28" s="12"/>
    </row>
    <row r="29" spans="1:18">
      <c r="A29" s="1"/>
      <c r="B29" s="8">
        <f>ROW(B29) - ROW($B$2)</f>
        <v>27</v>
      </c>
      <c r="C29" s="15" t="s">
        <v>4</v>
      </c>
      <c r="D29" s="6" t="s">
        <v>67</v>
      </c>
      <c r="E29" s="6" t="s">
        <v>255</v>
      </c>
      <c r="F29" s="6" t="s">
        <v>423</v>
      </c>
      <c r="G29" s="6" t="s">
        <v>514</v>
      </c>
      <c r="H29" s="6" t="s">
        <v>657</v>
      </c>
      <c r="I29" s="12" t="s">
        <v>972</v>
      </c>
      <c r="J29" s="6" t="s">
        <v>979</v>
      </c>
      <c r="K29" s="6" t="s">
        <v>893</v>
      </c>
      <c r="L29" s="6">
        <v>1</v>
      </c>
      <c r="M29" s="6">
        <f>L29*5</f>
        <v>5</v>
      </c>
      <c r="N29" s="6" t="s">
        <v>995</v>
      </c>
      <c r="O29" s="22" t="s">
        <v>1031</v>
      </c>
      <c r="P29" s="7" t="s">
        <v>1030</v>
      </c>
      <c r="Q29" s="7">
        <f>P29*N29</f>
        <v>0.44500000000000001</v>
      </c>
      <c r="R29" s="6"/>
    </row>
    <row r="30" spans="1:18">
      <c r="A30" s="1"/>
      <c r="B30" s="9">
        <f t="shared" si="0"/>
        <v>28</v>
      </c>
      <c r="C30" s="15" t="s">
        <v>6</v>
      </c>
      <c r="D30" s="12" t="s">
        <v>68</v>
      </c>
      <c r="E30" s="12" t="s">
        <v>256</v>
      </c>
      <c r="F30" s="6" t="s">
        <v>971</v>
      </c>
      <c r="G30" s="12" t="s">
        <v>424</v>
      </c>
      <c r="H30" s="12" t="s">
        <v>660</v>
      </c>
      <c r="I30" s="12" t="s">
        <v>972</v>
      </c>
      <c r="J30" s="12" t="s">
        <v>972</v>
      </c>
      <c r="K30" s="12" t="s">
        <v>906</v>
      </c>
      <c r="L30" s="12">
        <v>1</v>
      </c>
      <c r="M30" s="12">
        <f t="shared" ref="M30" si="27">L30*5</f>
        <v>5</v>
      </c>
      <c r="N30" s="12">
        <v>5</v>
      </c>
      <c r="O30" s="24" t="s">
        <v>1147</v>
      </c>
      <c r="P30" s="13">
        <v>2.54</v>
      </c>
      <c r="Q30" s="13">
        <f t="shared" ref="Q30" si="28">P30*N30</f>
        <v>12.7</v>
      </c>
      <c r="R30" s="12"/>
    </row>
    <row r="31" spans="1:18">
      <c r="A31" s="1"/>
      <c r="B31" s="8">
        <f>ROW(B31) - ROW($B$2)</f>
        <v>29</v>
      </c>
      <c r="C31" s="15" t="s">
        <v>4</v>
      </c>
      <c r="D31" s="6" t="s">
        <v>69</v>
      </c>
      <c r="E31" s="6" t="s">
        <v>257</v>
      </c>
      <c r="F31" s="6" t="s">
        <v>414</v>
      </c>
      <c r="G31" s="6" t="s">
        <v>515</v>
      </c>
      <c r="H31" s="6" t="s">
        <v>655</v>
      </c>
      <c r="I31" s="12" t="s">
        <v>972</v>
      </c>
      <c r="J31" s="6" t="s">
        <v>750</v>
      </c>
      <c r="K31" s="6" t="s">
        <v>907</v>
      </c>
      <c r="L31" s="6">
        <v>2</v>
      </c>
      <c r="M31" s="6">
        <f>L31*5</f>
        <v>10</v>
      </c>
      <c r="N31" s="6" t="s">
        <v>1007</v>
      </c>
      <c r="O31" s="22" t="s">
        <v>1031</v>
      </c>
      <c r="P31" s="7" t="s">
        <v>1033</v>
      </c>
      <c r="Q31" s="7">
        <f>P31*N31</f>
        <v>17.440999999999999</v>
      </c>
      <c r="R31" s="6"/>
    </row>
    <row r="32" spans="1:18">
      <c r="A32" s="1"/>
      <c r="B32" s="9">
        <f t="shared" si="0"/>
        <v>30</v>
      </c>
      <c r="C32" s="15" t="s">
        <v>4</v>
      </c>
      <c r="D32" s="12" t="s">
        <v>70</v>
      </c>
      <c r="E32" s="12" t="s">
        <v>258</v>
      </c>
      <c r="F32" s="12" t="s">
        <v>415</v>
      </c>
      <c r="G32" s="12" t="s">
        <v>516</v>
      </c>
      <c r="H32" s="12" t="s">
        <v>653</v>
      </c>
      <c r="I32" s="12" t="s">
        <v>972</v>
      </c>
      <c r="J32" s="12" t="s">
        <v>751</v>
      </c>
      <c r="K32" s="12" t="s">
        <v>908</v>
      </c>
      <c r="L32" s="12">
        <v>1</v>
      </c>
      <c r="M32" s="12">
        <f t="shared" ref="M32" si="29">L32*5</f>
        <v>5</v>
      </c>
      <c r="N32" s="12" t="s">
        <v>995</v>
      </c>
      <c r="O32" s="22" t="s">
        <v>1031</v>
      </c>
      <c r="P32" s="13" t="s">
        <v>1013</v>
      </c>
      <c r="Q32" s="13">
        <f t="shared" ref="Q32" si="30">P32*N32</f>
        <v>0.45999999999999996</v>
      </c>
      <c r="R32" s="12"/>
    </row>
    <row r="33" spans="1:18">
      <c r="A33" s="1"/>
      <c r="B33" s="8">
        <f>ROW(B33) - ROW($B$2)</f>
        <v>31</v>
      </c>
      <c r="C33" s="14" t="s">
        <v>4</v>
      </c>
      <c r="D33" s="6" t="s">
        <v>71</v>
      </c>
      <c r="E33" s="6" t="s">
        <v>259</v>
      </c>
      <c r="F33" s="6" t="s">
        <v>415</v>
      </c>
      <c r="G33" s="6" t="s">
        <v>517</v>
      </c>
      <c r="H33" s="6" t="s">
        <v>653</v>
      </c>
      <c r="I33" s="12" t="s">
        <v>972</v>
      </c>
      <c r="J33" s="6" t="s">
        <v>752</v>
      </c>
      <c r="K33" s="6" t="s">
        <v>909</v>
      </c>
      <c r="L33" s="6">
        <v>1</v>
      </c>
      <c r="M33" s="6">
        <f>L33*5</f>
        <v>5</v>
      </c>
      <c r="N33" s="6" t="s">
        <v>994</v>
      </c>
      <c r="O33" s="22" t="s">
        <v>1031</v>
      </c>
      <c r="P33" s="7" t="s">
        <v>1016</v>
      </c>
      <c r="Q33" s="7">
        <f>P33*N33</f>
        <v>0.26</v>
      </c>
      <c r="R33" s="6"/>
    </row>
    <row r="34" spans="1:18">
      <c r="A34" s="1"/>
      <c r="B34" s="9">
        <f t="shared" si="0"/>
        <v>32</v>
      </c>
      <c r="C34" s="15" t="s">
        <v>4</v>
      </c>
      <c r="D34" s="12" t="s">
        <v>72</v>
      </c>
      <c r="E34" s="12" t="s">
        <v>260</v>
      </c>
      <c r="F34" s="12" t="s">
        <v>415</v>
      </c>
      <c r="G34" s="12" t="s">
        <v>518</v>
      </c>
      <c r="H34" s="12" t="s">
        <v>653</v>
      </c>
      <c r="I34" s="12" t="s">
        <v>972</v>
      </c>
      <c r="J34" s="12" t="s">
        <v>753</v>
      </c>
      <c r="K34" s="12" t="s">
        <v>903</v>
      </c>
      <c r="L34" s="12">
        <v>2</v>
      </c>
      <c r="M34" s="12">
        <f t="shared" ref="M34" si="31">L34*5</f>
        <v>10</v>
      </c>
      <c r="N34" s="12" t="s">
        <v>1007</v>
      </c>
      <c r="O34" s="22" t="s">
        <v>1031</v>
      </c>
      <c r="P34" s="13" t="s">
        <v>1034</v>
      </c>
      <c r="Q34" s="13">
        <f t="shared" ref="Q34" si="32">P34*N34</f>
        <v>0.39300000000000002</v>
      </c>
      <c r="R34" s="12"/>
    </row>
    <row r="35" spans="1:18">
      <c r="A35" s="1"/>
      <c r="B35" s="8">
        <f>ROW(B35) - ROW($B$2)</f>
        <v>33</v>
      </c>
      <c r="C35" s="14" t="s">
        <v>4</v>
      </c>
      <c r="D35" s="6" t="s">
        <v>73</v>
      </c>
      <c r="E35" s="6" t="s">
        <v>261</v>
      </c>
      <c r="F35" s="6" t="s">
        <v>416</v>
      </c>
      <c r="G35" s="6" t="s">
        <v>519</v>
      </c>
      <c r="H35" s="6" t="s">
        <v>657</v>
      </c>
      <c r="I35" s="12" t="s">
        <v>972</v>
      </c>
      <c r="J35" s="6" t="s">
        <v>754</v>
      </c>
      <c r="K35" s="6" t="s">
        <v>910</v>
      </c>
      <c r="L35" s="6">
        <v>2</v>
      </c>
      <c r="M35" s="6">
        <f>L35*5</f>
        <v>10</v>
      </c>
      <c r="N35" s="6" t="s">
        <v>995</v>
      </c>
      <c r="O35" s="22" t="s">
        <v>1031</v>
      </c>
      <c r="P35" s="7" t="s">
        <v>1035</v>
      </c>
      <c r="Q35" s="7">
        <f>P35*N35</f>
        <v>0.89500000000000002</v>
      </c>
      <c r="R35" s="6"/>
    </row>
    <row r="36" spans="1:18">
      <c r="A36" s="1"/>
      <c r="B36" s="9">
        <f t="shared" si="0"/>
        <v>34</v>
      </c>
      <c r="C36" s="15" t="s">
        <v>4</v>
      </c>
      <c r="D36" s="12" t="s">
        <v>74</v>
      </c>
      <c r="E36" s="12" t="s">
        <v>262</v>
      </c>
      <c r="F36" s="12" t="s">
        <v>415</v>
      </c>
      <c r="G36" s="12" t="s">
        <v>520</v>
      </c>
      <c r="H36" s="12" t="s">
        <v>653</v>
      </c>
      <c r="I36" s="12" t="s">
        <v>972</v>
      </c>
      <c r="J36" s="12" t="s">
        <v>755</v>
      </c>
      <c r="K36" s="12" t="s">
        <v>902</v>
      </c>
      <c r="L36" s="12">
        <v>1</v>
      </c>
      <c r="M36" s="12">
        <f t="shared" ref="M36" si="33">L36*5</f>
        <v>5</v>
      </c>
      <c r="N36" s="12" t="s">
        <v>994</v>
      </c>
      <c r="O36" s="22" t="s">
        <v>1031</v>
      </c>
      <c r="P36" s="13" t="s">
        <v>1036</v>
      </c>
      <c r="Q36" s="13">
        <f t="shared" ref="Q36" si="34">P36*N36</f>
        <v>0.33999999999999997</v>
      </c>
      <c r="R36" s="12"/>
    </row>
    <row r="37" spans="1:18">
      <c r="A37" s="1"/>
      <c r="B37" s="8">
        <f>ROW(B37) - ROW($B$2)</f>
        <v>35</v>
      </c>
      <c r="C37" s="15" t="s">
        <v>4</v>
      </c>
      <c r="D37" s="6" t="s">
        <v>75</v>
      </c>
      <c r="E37" s="6" t="s">
        <v>263</v>
      </c>
      <c r="F37" s="6" t="s">
        <v>416</v>
      </c>
      <c r="G37" s="6" t="s">
        <v>521</v>
      </c>
      <c r="H37" s="6" t="s">
        <v>653</v>
      </c>
      <c r="I37" s="12" t="s">
        <v>972</v>
      </c>
      <c r="J37" s="6" t="s">
        <v>756</v>
      </c>
      <c r="K37" s="6" t="s">
        <v>893</v>
      </c>
      <c r="L37" s="6">
        <v>3</v>
      </c>
      <c r="M37" s="6">
        <f>L37*5</f>
        <v>15</v>
      </c>
      <c r="N37" s="6" t="s">
        <v>994</v>
      </c>
      <c r="O37" s="22" t="s">
        <v>1031</v>
      </c>
      <c r="P37" s="7" t="s">
        <v>1004</v>
      </c>
      <c r="Q37" s="7">
        <f>P37*N37</f>
        <v>0.15</v>
      </c>
      <c r="R37" s="6"/>
    </row>
    <row r="38" spans="1:18">
      <c r="A38" s="1"/>
      <c r="B38" s="9">
        <f t="shared" si="0"/>
        <v>36</v>
      </c>
      <c r="C38" s="15" t="s">
        <v>4</v>
      </c>
      <c r="D38" s="12" t="s">
        <v>76</v>
      </c>
      <c r="E38" s="12" t="s">
        <v>264</v>
      </c>
      <c r="F38" s="12" t="s">
        <v>419</v>
      </c>
      <c r="G38" s="12" t="s">
        <v>522</v>
      </c>
      <c r="H38" s="12" t="s">
        <v>661</v>
      </c>
      <c r="I38" s="12" t="s">
        <v>972</v>
      </c>
      <c r="J38" s="12" t="s">
        <v>757</v>
      </c>
      <c r="K38" s="12" t="s">
        <v>892</v>
      </c>
      <c r="L38" s="12">
        <v>1</v>
      </c>
      <c r="M38" s="12">
        <f t="shared" ref="M38" si="35">L38*5</f>
        <v>5</v>
      </c>
      <c r="N38" s="12" t="s">
        <v>1007</v>
      </c>
      <c r="O38" s="22" t="s">
        <v>1031</v>
      </c>
      <c r="P38" s="13" t="s">
        <v>1037</v>
      </c>
      <c r="Q38" s="13">
        <f t="shared" ref="Q38" si="36">P38*N38</f>
        <v>0.53500000000000003</v>
      </c>
      <c r="R38" s="12"/>
    </row>
    <row r="39" spans="1:18">
      <c r="A39" s="1"/>
      <c r="B39" s="8">
        <f>ROW(B39) - ROW($B$2)</f>
        <v>37</v>
      </c>
      <c r="C39" s="15" t="s">
        <v>4</v>
      </c>
      <c r="D39" s="6" t="s">
        <v>77</v>
      </c>
      <c r="E39" s="6" t="s">
        <v>265</v>
      </c>
      <c r="F39" s="6" t="s">
        <v>416</v>
      </c>
      <c r="G39" s="6" t="s">
        <v>523</v>
      </c>
      <c r="H39" s="6" t="s">
        <v>653</v>
      </c>
      <c r="I39" s="12" t="s">
        <v>972</v>
      </c>
      <c r="J39" s="6" t="s">
        <v>758</v>
      </c>
      <c r="K39" s="6" t="s">
        <v>894</v>
      </c>
      <c r="L39" s="6">
        <v>1</v>
      </c>
      <c r="M39" s="6">
        <f>L39*5</f>
        <v>5</v>
      </c>
      <c r="N39" s="6" t="s">
        <v>994</v>
      </c>
      <c r="O39" s="22" t="s">
        <v>1031</v>
      </c>
      <c r="P39" s="7" t="s">
        <v>1038</v>
      </c>
      <c r="Q39" s="7">
        <f>P39*N39</f>
        <v>0.74</v>
      </c>
      <c r="R39" s="6"/>
    </row>
    <row r="40" spans="1:18">
      <c r="A40" s="1"/>
      <c r="B40" s="9">
        <f t="shared" si="0"/>
        <v>38</v>
      </c>
      <c r="C40" s="15" t="s">
        <v>4</v>
      </c>
      <c r="D40" s="12" t="s">
        <v>78</v>
      </c>
      <c r="E40" s="12" t="s">
        <v>266</v>
      </c>
      <c r="F40" s="12" t="s">
        <v>419</v>
      </c>
      <c r="G40" s="12" t="s">
        <v>524</v>
      </c>
      <c r="H40" s="12" t="s">
        <v>653</v>
      </c>
      <c r="I40" s="12" t="s">
        <v>972</v>
      </c>
      <c r="J40" s="12" t="s">
        <v>759</v>
      </c>
      <c r="K40" s="12" t="s">
        <v>892</v>
      </c>
      <c r="L40" s="12">
        <v>1</v>
      </c>
      <c r="M40" s="12">
        <f t="shared" ref="M40" si="37">L40*5</f>
        <v>5</v>
      </c>
      <c r="N40" s="12" t="s">
        <v>998</v>
      </c>
      <c r="O40" s="22" t="s">
        <v>1031</v>
      </c>
      <c r="P40" s="13" t="s">
        <v>1039</v>
      </c>
      <c r="Q40" s="13">
        <f t="shared" ref="Q40" si="38">P40*N40</f>
        <v>0.59200000000000008</v>
      </c>
      <c r="R40" s="12"/>
    </row>
    <row r="41" spans="1:18" ht="24">
      <c r="A41" s="1"/>
      <c r="B41" s="8">
        <f>ROW(B41) - ROW($B$2)</f>
        <v>39</v>
      </c>
      <c r="C41" s="14" t="s">
        <v>8</v>
      </c>
      <c r="D41" s="6" t="s">
        <v>79</v>
      </c>
      <c r="E41" s="6" t="s">
        <v>267</v>
      </c>
      <c r="F41" s="6" t="s">
        <v>20</v>
      </c>
      <c r="G41" s="6" t="s">
        <v>525</v>
      </c>
      <c r="H41" s="6" t="s">
        <v>662</v>
      </c>
      <c r="I41" s="12" t="s">
        <v>972</v>
      </c>
      <c r="J41" s="6" t="s">
        <v>760</v>
      </c>
      <c r="K41" s="6" t="s">
        <v>972</v>
      </c>
      <c r="L41" s="6">
        <v>5</v>
      </c>
      <c r="M41" s="6">
        <f>L41*5</f>
        <v>25</v>
      </c>
      <c r="N41" s="6" t="s">
        <v>997</v>
      </c>
      <c r="O41" s="22" t="s">
        <v>1031</v>
      </c>
      <c r="P41" s="7" t="s">
        <v>1040</v>
      </c>
      <c r="Q41" s="7">
        <f>P41*N41</f>
        <v>0.84000000000000008</v>
      </c>
      <c r="R41" s="6"/>
    </row>
    <row r="42" spans="1:18">
      <c r="A42" s="1"/>
      <c r="B42" s="9">
        <f t="shared" si="0"/>
        <v>40</v>
      </c>
      <c r="C42" s="15" t="s">
        <v>7</v>
      </c>
      <c r="D42" s="12" t="s">
        <v>80</v>
      </c>
      <c r="E42" s="12" t="s">
        <v>268</v>
      </c>
      <c r="F42" s="12" t="s">
        <v>20</v>
      </c>
      <c r="G42" s="12" t="s">
        <v>526</v>
      </c>
      <c r="H42" s="12" t="s">
        <v>663</v>
      </c>
      <c r="I42" s="12" t="s">
        <v>972</v>
      </c>
      <c r="J42" s="12" t="s">
        <v>761</v>
      </c>
      <c r="K42" s="6" t="s">
        <v>972</v>
      </c>
      <c r="L42" s="12">
        <v>2</v>
      </c>
      <c r="M42" s="12">
        <f t="shared" ref="M42" si="39">L42*5</f>
        <v>10</v>
      </c>
      <c r="N42" s="12" t="s">
        <v>1007</v>
      </c>
      <c r="O42" s="22" t="s">
        <v>1031</v>
      </c>
      <c r="P42" s="13" t="s">
        <v>1041</v>
      </c>
      <c r="Q42" s="13">
        <f t="shared" ref="Q42" si="40">P42*N42</f>
        <v>1.7110000000000001</v>
      </c>
      <c r="R42" s="12"/>
    </row>
    <row r="43" spans="1:18">
      <c r="A43" s="1"/>
      <c r="B43" s="8">
        <f>ROW(B43) - ROW($B$2)</f>
        <v>41</v>
      </c>
      <c r="C43" s="14" t="s">
        <v>8</v>
      </c>
      <c r="D43" s="6" t="s">
        <v>81</v>
      </c>
      <c r="E43" s="6" t="s">
        <v>269</v>
      </c>
      <c r="F43" s="6" t="s">
        <v>425</v>
      </c>
      <c r="G43" s="6" t="s">
        <v>527</v>
      </c>
      <c r="H43" s="6" t="s">
        <v>664</v>
      </c>
      <c r="I43" s="12" t="s">
        <v>972</v>
      </c>
      <c r="J43" s="6" t="s">
        <v>762</v>
      </c>
      <c r="K43" s="6" t="s">
        <v>972</v>
      </c>
      <c r="L43" s="6">
        <v>2</v>
      </c>
      <c r="M43" s="6">
        <f>L43*5</f>
        <v>10</v>
      </c>
      <c r="N43" s="6" t="s">
        <v>1007</v>
      </c>
      <c r="O43" s="22" t="s">
        <v>1031</v>
      </c>
      <c r="P43" s="7" t="s">
        <v>1042</v>
      </c>
      <c r="Q43" s="7">
        <f>P43*N43</f>
        <v>0.38700000000000001</v>
      </c>
      <c r="R43" s="6"/>
    </row>
    <row r="44" spans="1:18" ht="24">
      <c r="A44" s="1"/>
      <c r="B44" s="9">
        <f t="shared" si="0"/>
        <v>42</v>
      </c>
      <c r="C44" s="15" t="s">
        <v>8</v>
      </c>
      <c r="D44" s="12" t="s">
        <v>82</v>
      </c>
      <c r="E44" s="12" t="s">
        <v>270</v>
      </c>
      <c r="F44" s="12" t="s">
        <v>426</v>
      </c>
      <c r="G44" s="12" t="s">
        <v>528</v>
      </c>
      <c r="H44" s="12" t="s">
        <v>665</v>
      </c>
      <c r="I44" s="12" t="s">
        <v>972</v>
      </c>
      <c r="J44" s="12" t="s">
        <v>763</v>
      </c>
      <c r="K44" s="6" t="s">
        <v>972</v>
      </c>
      <c r="L44" s="12">
        <v>1</v>
      </c>
      <c r="M44" s="12">
        <f t="shared" ref="M44" si="41">L44*5</f>
        <v>5</v>
      </c>
      <c r="N44" s="12" t="s">
        <v>1007</v>
      </c>
      <c r="O44" s="22" t="s">
        <v>1031</v>
      </c>
      <c r="P44" s="13" t="s">
        <v>1043</v>
      </c>
      <c r="Q44" s="13">
        <f t="shared" ref="Q44" si="42">P44*N44</f>
        <v>0.82000000000000006</v>
      </c>
      <c r="R44" s="12"/>
    </row>
    <row r="45" spans="1:18" ht="24">
      <c r="A45" s="1"/>
      <c r="B45" s="8">
        <f>ROW(B45) - ROW($B$2)</f>
        <v>43</v>
      </c>
      <c r="C45" s="14" t="s">
        <v>8</v>
      </c>
      <c r="D45" s="6" t="s">
        <v>83</v>
      </c>
      <c r="E45" s="6" t="s">
        <v>271</v>
      </c>
      <c r="F45" s="6" t="s">
        <v>427</v>
      </c>
      <c r="G45" s="6" t="s">
        <v>529</v>
      </c>
      <c r="H45" s="6" t="s">
        <v>666</v>
      </c>
      <c r="I45" s="12" t="s">
        <v>972</v>
      </c>
      <c r="J45" s="6" t="s">
        <v>764</v>
      </c>
      <c r="K45" s="6" t="s">
        <v>972</v>
      </c>
      <c r="L45" s="6">
        <v>2</v>
      </c>
      <c r="M45" s="6">
        <f>L45*5</f>
        <v>10</v>
      </c>
      <c r="N45" s="6" t="s">
        <v>1007</v>
      </c>
      <c r="O45" s="22" t="s">
        <v>1031</v>
      </c>
      <c r="P45" s="7" t="s">
        <v>1044</v>
      </c>
      <c r="Q45" s="7">
        <f>P45*N45</f>
        <v>0.44800000000000001</v>
      </c>
      <c r="R45" s="6"/>
    </row>
    <row r="46" spans="1:18" ht="36">
      <c r="A46" s="1"/>
      <c r="B46" s="9">
        <f t="shared" si="0"/>
        <v>44</v>
      </c>
      <c r="C46" s="15" t="s">
        <v>8</v>
      </c>
      <c r="D46" s="12" t="s">
        <v>84</v>
      </c>
      <c r="E46" s="12" t="s">
        <v>272</v>
      </c>
      <c r="F46" s="12" t="s">
        <v>428</v>
      </c>
      <c r="G46" s="12" t="s">
        <v>530</v>
      </c>
      <c r="H46" s="12" t="s">
        <v>667</v>
      </c>
      <c r="I46" s="12" t="s">
        <v>972</v>
      </c>
      <c r="J46" s="12" t="s">
        <v>765</v>
      </c>
      <c r="K46" s="6" t="s">
        <v>972</v>
      </c>
      <c r="L46" s="12">
        <v>1</v>
      </c>
      <c r="M46" s="12">
        <f t="shared" ref="M46" si="43">L46*5</f>
        <v>5</v>
      </c>
      <c r="N46" s="12" t="s">
        <v>1007</v>
      </c>
      <c r="O46" s="22" t="s">
        <v>1031</v>
      </c>
      <c r="P46" s="13" t="s">
        <v>1045</v>
      </c>
      <c r="Q46" s="13">
        <f t="shared" ref="Q46" si="44">P46*N46</f>
        <v>0.58699999999999997</v>
      </c>
      <c r="R46" s="12"/>
    </row>
    <row r="47" spans="1:18">
      <c r="A47" s="1"/>
      <c r="B47" s="8">
        <f>ROW(B47) - ROW($B$2)</f>
        <v>45</v>
      </c>
      <c r="C47" s="14" t="s">
        <v>8</v>
      </c>
      <c r="D47" s="6" t="s">
        <v>85</v>
      </c>
      <c r="E47" s="6" t="s">
        <v>273</v>
      </c>
      <c r="F47" s="6" t="s">
        <v>428</v>
      </c>
      <c r="G47" s="6" t="s">
        <v>531</v>
      </c>
      <c r="H47" s="6" t="s">
        <v>668</v>
      </c>
      <c r="I47" s="12" t="s">
        <v>972</v>
      </c>
      <c r="J47" s="6" t="s">
        <v>766</v>
      </c>
      <c r="K47" s="6" t="s">
        <v>972</v>
      </c>
      <c r="L47" s="6">
        <v>1</v>
      </c>
      <c r="M47" s="6">
        <f>L47*5</f>
        <v>5</v>
      </c>
      <c r="N47" s="6" t="s">
        <v>1007</v>
      </c>
      <c r="O47" s="22" t="s">
        <v>1031</v>
      </c>
      <c r="P47" s="7" t="s">
        <v>1046</v>
      </c>
      <c r="Q47" s="7">
        <f>P47*N47</f>
        <v>0.36200000000000004</v>
      </c>
      <c r="R47" s="6"/>
    </row>
    <row r="48" spans="1:18">
      <c r="A48" s="1"/>
      <c r="B48" s="9">
        <f t="shared" si="0"/>
        <v>46</v>
      </c>
      <c r="C48" s="15" t="s">
        <v>8</v>
      </c>
      <c r="D48" s="12" t="s">
        <v>86</v>
      </c>
      <c r="E48" s="12" t="s">
        <v>274</v>
      </c>
      <c r="F48" s="12" t="s">
        <v>429</v>
      </c>
      <c r="G48" s="12" t="s">
        <v>532</v>
      </c>
      <c r="H48" s="12" t="s">
        <v>9</v>
      </c>
      <c r="I48" s="12" t="s">
        <v>972</v>
      </c>
      <c r="J48" s="12" t="s">
        <v>767</v>
      </c>
      <c r="K48" s="6" t="s">
        <v>972</v>
      </c>
      <c r="L48" s="12">
        <v>2</v>
      </c>
      <c r="M48" s="12">
        <f t="shared" ref="M48" si="45">L48*5</f>
        <v>10</v>
      </c>
      <c r="N48" s="12" t="s">
        <v>995</v>
      </c>
      <c r="O48" s="22" t="s">
        <v>1031</v>
      </c>
      <c r="P48" s="13" t="s">
        <v>1047</v>
      </c>
      <c r="Q48" s="13">
        <f t="shared" ref="Q48" si="46">P48*N48</f>
        <v>0.80499999999999994</v>
      </c>
      <c r="R48" s="12"/>
    </row>
    <row r="49" spans="1:18" ht="24">
      <c r="A49" s="1"/>
      <c r="B49" s="8">
        <f>ROW(B49) - ROW($B$2)</f>
        <v>47</v>
      </c>
      <c r="C49" s="14" t="s">
        <v>8</v>
      </c>
      <c r="D49" s="6" t="s">
        <v>87</v>
      </c>
      <c r="E49" s="6" t="s">
        <v>275</v>
      </c>
      <c r="F49" s="6" t="s">
        <v>430</v>
      </c>
      <c r="G49" s="6" t="s">
        <v>533</v>
      </c>
      <c r="H49" s="6" t="s">
        <v>668</v>
      </c>
      <c r="I49" s="12" t="s">
        <v>972</v>
      </c>
      <c r="J49" s="6" t="s">
        <v>768</v>
      </c>
      <c r="K49" s="6" t="s">
        <v>972</v>
      </c>
      <c r="L49" s="6">
        <v>1</v>
      </c>
      <c r="M49" s="6">
        <f>L49*5</f>
        <v>5</v>
      </c>
      <c r="N49" s="6" t="s">
        <v>992</v>
      </c>
      <c r="O49" s="22" t="s">
        <v>1031</v>
      </c>
      <c r="P49" s="7" t="s">
        <v>1048</v>
      </c>
      <c r="Q49" s="7">
        <f>P49*N49</f>
        <v>0.78950000000000009</v>
      </c>
      <c r="R49" s="6"/>
    </row>
    <row r="50" spans="1:18" ht="24">
      <c r="A50" s="1"/>
      <c r="B50" s="9">
        <f t="shared" si="0"/>
        <v>48</v>
      </c>
      <c r="C50" s="15" t="s">
        <v>9</v>
      </c>
      <c r="D50" s="12" t="s">
        <v>88</v>
      </c>
      <c r="E50" s="12" t="s">
        <v>276</v>
      </c>
      <c r="F50" s="12" t="s">
        <v>431</v>
      </c>
      <c r="G50" s="12" t="s">
        <v>534</v>
      </c>
      <c r="H50" s="12" t="s">
        <v>666</v>
      </c>
      <c r="I50" s="12" t="s">
        <v>972</v>
      </c>
      <c r="J50" s="12" t="s">
        <v>769</v>
      </c>
      <c r="K50" s="6" t="s">
        <v>972</v>
      </c>
      <c r="L50" s="12">
        <v>2</v>
      </c>
      <c r="M50" s="12">
        <f t="shared" ref="M50" si="47">L50*5</f>
        <v>10</v>
      </c>
      <c r="N50" s="12" t="s">
        <v>1007</v>
      </c>
      <c r="O50" s="22" t="s">
        <v>1031</v>
      </c>
      <c r="P50" s="13" t="s">
        <v>1049</v>
      </c>
      <c r="Q50" s="13">
        <f t="shared" ref="Q50" si="48">P50*N50</f>
        <v>9.1820000000000004</v>
      </c>
      <c r="R50" s="12"/>
    </row>
    <row r="51" spans="1:18">
      <c r="A51" s="1"/>
      <c r="B51" s="8">
        <f>ROW(B51) - ROW($B$2)</f>
        <v>49</v>
      </c>
      <c r="C51" s="14" t="s">
        <v>8</v>
      </c>
      <c r="D51" s="6" t="s">
        <v>89</v>
      </c>
      <c r="E51" s="6" t="s">
        <v>277</v>
      </c>
      <c r="F51" s="6" t="s">
        <v>432</v>
      </c>
      <c r="G51" s="6" t="s">
        <v>535</v>
      </c>
      <c r="H51" s="6" t="s">
        <v>669</v>
      </c>
      <c r="I51" s="12" t="s">
        <v>972</v>
      </c>
      <c r="J51" s="6" t="s">
        <v>770</v>
      </c>
      <c r="K51" s="6" t="s">
        <v>972</v>
      </c>
      <c r="L51" s="6">
        <v>1</v>
      </c>
      <c r="M51" s="6">
        <f>L51*5</f>
        <v>5</v>
      </c>
      <c r="N51" s="6" t="s">
        <v>992</v>
      </c>
      <c r="O51" s="22" t="s">
        <v>1031</v>
      </c>
      <c r="P51" s="7" t="s">
        <v>1050</v>
      </c>
      <c r="Q51" s="7">
        <f>P51*N51</f>
        <v>0.42849999999999999</v>
      </c>
      <c r="R51" s="6"/>
    </row>
    <row r="52" spans="1:18" ht="72">
      <c r="A52" s="1"/>
      <c r="B52" s="9">
        <f t="shared" si="0"/>
        <v>50</v>
      </c>
      <c r="C52" s="15" t="s">
        <v>10</v>
      </c>
      <c r="D52" s="12" t="s">
        <v>90</v>
      </c>
      <c r="E52" s="12" t="s">
        <v>278</v>
      </c>
      <c r="F52" s="12" t="s">
        <v>433</v>
      </c>
      <c r="G52" s="12" t="s">
        <v>536</v>
      </c>
      <c r="H52" s="12" t="s">
        <v>670</v>
      </c>
      <c r="I52" s="12" t="s">
        <v>972</v>
      </c>
      <c r="J52" s="12" t="s">
        <v>771</v>
      </c>
      <c r="K52" s="6" t="s">
        <v>972</v>
      </c>
      <c r="L52" s="12">
        <v>42</v>
      </c>
      <c r="M52" s="12">
        <f t="shared" ref="M52" si="49">L52*5</f>
        <v>210</v>
      </c>
      <c r="N52" s="12" t="s">
        <v>1032</v>
      </c>
      <c r="O52" s="22" t="s">
        <v>1031</v>
      </c>
      <c r="P52" s="13" t="s">
        <v>1051</v>
      </c>
      <c r="Q52" s="13">
        <f t="shared" ref="Q52" si="50">P52*N52</f>
        <v>2.2000000000000002</v>
      </c>
      <c r="R52" s="12"/>
    </row>
    <row r="53" spans="1:18" ht="36">
      <c r="A53" s="1"/>
      <c r="B53" s="8">
        <f>ROW(B53) - ROW($B$2)</f>
        <v>51</v>
      </c>
      <c r="C53" s="14" t="s">
        <v>8</v>
      </c>
      <c r="D53" s="6" t="s">
        <v>91</v>
      </c>
      <c r="E53" s="6" t="s">
        <v>279</v>
      </c>
      <c r="F53" s="6" t="s">
        <v>434</v>
      </c>
      <c r="G53" s="6" t="s">
        <v>537</v>
      </c>
      <c r="H53" s="6" t="s">
        <v>671</v>
      </c>
      <c r="I53" s="12" t="s">
        <v>972</v>
      </c>
      <c r="J53" s="6" t="s">
        <v>772</v>
      </c>
      <c r="K53" s="6" t="s">
        <v>972</v>
      </c>
      <c r="L53" s="6">
        <v>1</v>
      </c>
      <c r="M53" s="6">
        <f>L53*5</f>
        <v>5</v>
      </c>
      <c r="N53" s="6" t="s">
        <v>995</v>
      </c>
      <c r="O53" s="22" t="s">
        <v>1031</v>
      </c>
      <c r="P53" s="7" t="s">
        <v>1052</v>
      </c>
      <c r="Q53" s="7">
        <f>P53*N53</f>
        <v>0.43499999999999994</v>
      </c>
      <c r="R53" s="6"/>
    </row>
    <row r="54" spans="1:18">
      <c r="A54" s="1"/>
      <c r="B54" s="9">
        <f t="shared" si="0"/>
        <v>52</v>
      </c>
      <c r="C54" s="15" t="s">
        <v>8</v>
      </c>
      <c r="D54" s="12" t="s">
        <v>92</v>
      </c>
      <c r="E54" s="12" t="s">
        <v>280</v>
      </c>
      <c r="F54" s="12" t="s">
        <v>435</v>
      </c>
      <c r="G54" s="12" t="s">
        <v>538</v>
      </c>
      <c r="H54" s="12" t="s">
        <v>672</v>
      </c>
      <c r="I54" s="12" t="s">
        <v>972</v>
      </c>
      <c r="J54" s="12" t="s">
        <v>773</v>
      </c>
      <c r="K54" s="6" t="s">
        <v>972</v>
      </c>
      <c r="L54" s="12">
        <v>2</v>
      </c>
      <c r="M54" s="12">
        <f t="shared" ref="M54" si="51">L54*5</f>
        <v>10</v>
      </c>
      <c r="N54" s="12" t="s">
        <v>1007</v>
      </c>
      <c r="O54" s="22" t="s">
        <v>1031</v>
      </c>
      <c r="P54" s="13" t="s">
        <v>1053</v>
      </c>
      <c r="Q54" s="13">
        <f t="shared" ref="Q54" si="52">P54*N54</f>
        <v>0.39700000000000002</v>
      </c>
      <c r="R54" s="12"/>
    </row>
    <row r="55" spans="1:18">
      <c r="A55" s="1"/>
      <c r="B55" s="8">
        <f>ROW(B55) - ROW($B$2)</f>
        <v>53</v>
      </c>
      <c r="C55" s="14" t="s">
        <v>11</v>
      </c>
      <c r="D55" s="6" t="s">
        <v>93</v>
      </c>
      <c r="E55" s="6" t="s">
        <v>281</v>
      </c>
      <c r="F55" s="6" t="s">
        <v>428</v>
      </c>
      <c r="G55" s="6" t="s">
        <v>539</v>
      </c>
      <c r="H55" s="6" t="s">
        <v>673</v>
      </c>
      <c r="I55" s="12" t="s">
        <v>972</v>
      </c>
      <c r="J55" s="6" t="s">
        <v>774</v>
      </c>
      <c r="K55" s="6" t="s">
        <v>972</v>
      </c>
      <c r="L55" s="6">
        <v>1</v>
      </c>
      <c r="M55" s="6">
        <f>L55*5</f>
        <v>5</v>
      </c>
      <c r="N55" s="6" t="s">
        <v>992</v>
      </c>
      <c r="O55" s="22" t="s">
        <v>1031</v>
      </c>
      <c r="P55" s="7" t="s">
        <v>1054</v>
      </c>
      <c r="Q55" s="7">
        <f>P55*N55</f>
        <v>0.47499999999999998</v>
      </c>
      <c r="R55" s="6"/>
    </row>
    <row r="56" spans="1:18">
      <c r="A56" s="1"/>
      <c r="B56" s="9">
        <f t="shared" si="0"/>
        <v>54</v>
      </c>
      <c r="C56" s="15" t="s">
        <v>8</v>
      </c>
      <c r="D56" s="12" t="s">
        <v>94</v>
      </c>
      <c r="E56" s="12" t="s">
        <v>282</v>
      </c>
      <c r="F56" s="12" t="s">
        <v>429</v>
      </c>
      <c r="G56" s="12" t="s">
        <v>540</v>
      </c>
      <c r="H56" s="12" t="s">
        <v>9</v>
      </c>
      <c r="I56" s="12" t="s">
        <v>972</v>
      </c>
      <c r="J56" s="12" t="s">
        <v>775</v>
      </c>
      <c r="K56" s="6" t="s">
        <v>972</v>
      </c>
      <c r="L56" s="12">
        <v>1</v>
      </c>
      <c r="M56" s="12">
        <f t="shared" ref="M56" si="53">L56*5</f>
        <v>5</v>
      </c>
      <c r="N56" s="12" t="s">
        <v>998</v>
      </c>
      <c r="O56" s="22" t="s">
        <v>1031</v>
      </c>
      <c r="P56" s="13" t="s">
        <v>1055</v>
      </c>
      <c r="Q56" s="13">
        <f t="shared" ref="Q56" si="54">P56*N56</f>
        <v>0.54</v>
      </c>
      <c r="R56" s="12"/>
    </row>
    <row r="57" spans="1:18" ht="24">
      <c r="A57" s="1"/>
      <c r="B57" s="8">
        <f>ROW(B57) - ROW($B$2)</f>
        <v>55</v>
      </c>
      <c r="C57" s="14" t="s">
        <v>12</v>
      </c>
      <c r="D57" s="6" t="s">
        <v>95</v>
      </c>
      <c r="E57" s="6" t="s">
        <v>283</v>
      </c>
      <c r="F57" s="6" t="s">
        <v>436</v>
      </c>
      <c r="G57" s="6" t="s">
        <v>541</v>
      </c>
      <c r="H57" s="6" t="s">
        <v>674</v>
      </c>
      <c r="I57" s="12" t="s">
        <v>972</v>
      </c>
      <c r="J57" s="6" t="s">
        <v>776</v>
      </c>
      <c r="K57" s="6" t="s">
        <v>972</v>
      </c>
      <c r="L57" s="6">
        <v>3</v>
      </c>
      <c r="M57" s="6">
        <f>L57*5</f>
        <v>15</v>
      </c>
      <c r="N57" s="6" t="s">
        <v>998</v>
      </c>
      <c r="O57" s="22" t="s">
        <v>1031</v>
      </c>
      <c r="P57" s="7" t="s">
        <v>1056</v>
      </c>
      <c r="Q57" s="7">
        <f>P57*N57</f>
        <v>0.45800000000000002</v>
      </c>
      <c r="R57" s="6"/>
    </row>
    <row r="58" spans="1:18">
      <c r="A58" s="1"/>
      <c r="B58" s="9">
        <f t="shared" si="0"/>
        <v>56</v>
      </c>
      <c r="C58" s="15" t="s">
        <v>9</v>
      </c>
      <c r="D58" s="12" t="s">
        <v>96</v>
      </c>
      <c r="E58" s="12" t="s">
        <v>284</v>
      </c>
      <c r="F58" s="12" t="s">
        <v>437</v>
      </c>
      <c r="G58" s="12" t="s">
        <v>542</v>
      </c>
      <c r="H58" s="12" t="s">
        <v>9</v>
      </c>
      <c r="I58" s="12" t="s">
        <v>972</v>
      </c>
      <c r="J58" s="12" t="s">
        <v>777</v>
      </c>
      <c r="K58" s="6" t="s">
        <v>972</v>
      </c>
      <c r="L58" s="12">
        <v>1</v>
      </c>
      <c r="M58" s="12">
        <f t="shared" ref="M58" si="55">L58*5</f>
        <v>5</v>
      </c>
      <c r="N58" s="12" t="s">
        <v>998</v>
      </c>
      <c r="O58" s="22" t="s">
        <v>1031</v>
      </c>
      <c r="P58" s="13" t="s">
        <v>1057</v>
      </c>
      <c r="Q58" s="13">
        <f t="shared" ref="Q58" si="56">P58*N58</f>
        <v>0.69400000000000006</v>
      </c>
      <c r="R58" s="12"/>
    </row>
    <row r="59" spans="1:18">
      <c r="A59" s="1"/>
      <c r="B59" s="8">
        <f>ROW(B59) - ROW($B$2)</f>
        <v>57</v>
      </c>
      <c r="C59" s="14" t="s">
        <v>13</v>
      </c>
      <c r="D59" s="6" t="s">
        <v>97</v>
      </c>
      <c r="E59" s="6" t="s">
        <v>285</v>
      </c>
      <c r="F59" s="6" t="s">
        <v>971</v>
      </c>
      <c r="G59" s="6" t="s">
        <v>543</v>
      </c>
      <c r="H59" s="6" t="s">
        <v>675</v>
      </c>
      <c r="I59" s="12" t="s">
        <v>972</v>
      </c>
      <c r="J59" s="6" t="s">
        <v>778</v>
      </c>
      <c r="K59" s="6" t="s">
        <v>972</v>
      </c>
      <c r="L59" s="6">
        <v>1</v>
      </c>
      <c r="M59" s="6">
        <f>L59*5</f>
        <v>5</v>
      </c>
      <c r="N59" s="6" t="s">
        <v>1007</v>
      </c>
      <c r="O59" s="22" t="s">
        <v>1031</v>
      </c>
      <c r="P59" s="7" t="s">
        <v>1058</v>
      </c>
      <c r="Q59" s="7">
        <f>P59*N59</f>
        <v>6.8759999999999994</v>
      </c>
      <c r="R59" s="6"/>
    </row>
    <row r="60" spans="1:18" ht="36">
      <c r="A60" s="1"/>
      <c r="B60" s="9">
        <f t="shared" si="0"/>
        <v>58</v>
      </c>
      <c r="C60" s="15" t="s">
        <v>14</v>
      </c>
      <c r="D60" s="12" t="s">
        <v>98</v>
      </c>
      <c r="E60" s="12" t="s">
        <v>286</v>
      </c>
      <c r="F60" s="6" t="s">
        <v>971</v>
      </c>
      <c r="G60" s="12" t="s">
        <v>438</v>
      </c>
      <c r="H60" s="12" t="s">
        <v>676</v>
      </c>
      <c r="I60" s="12" t="s">
        <v>972</v>
      </c>
      <c r="J60" s="12" t="s">
        <v>779</v>
      </c>
      <c r="K60" s="6" t="s">
        <v>972</v>
      </c>
      <c r="L60" s="12">
        <v>1</v>
      </c>
      <c r="M60" s="12">
        <f t="shared" ref="M60" si="57">L60*5</f>
        <v>5</v>
      </c>
      <c r="N60" s="12" t="s">
        <v>992</v>
      </c>
      <c r="O60" s="22" t="s">
        <v>1031</v>
      </c>
      <c r="P60" s="13" t="s">
        <v>1059</v>
      </c>
      <c r="Q60" s="13">
        <f t="shared" ref="Q60" si="58">P60*N60</f>
        <v>3.3559999999999999</v>
      </c>
      <c r="R60" s="12"/>
    </row>
    <row r="61" spans="1:18">
      <c r="A61" s="1"/>
      <c r="B61" s="8">
        <f>ROW(B61) - ROW($B$2)</f>
        <v>59</v>
      </c>
      <c r="C61" s="14" t="s">
        <v>15</v>
      </c>
      <c r="D61" s="6" t="s">
        <v>99</v>
      </c>
      <c r="E61" s="6" t="s">
        <v>287</v>
      </c>
      <c r="F61" s="6" t="s">
        <v>971</v>
      </c>
      <c r="G61" s="6" t="s">
        <v>439</v>
      </c>
      <c r="H61" s="6" t="s">
        <v>677</v>
      </c>
      <c r="I61" s="12" t="s">
        <v>972</v>
      </c>
      <c r="J61" s="6" t="s">
        <v>980</v>
      </c>
      <c r="K61" s="6" t="s">
        <v>972</v>
      </c>
      <c r="L61" s="6">
        <v>9</v>
      </c>
      <c r="M61" s="6">
        <f>L61*5</f>
        <v>45</v>
      </c>
      <c r="N61" s="6">
        <v>45</v>
      </c>
      <c r="O61" s="22" t="s">
        <v>1031</v>
      </c>
      <c r="P61" s="7">
        <v>0.48949999999999999</v>
      </c>
      <c r="Q61" s="7">
        <f>P61*N61</f>
        <v>22.0275</v>
      </c>
      <c r="R61" s="6"/>
    </row>
    <row r="62" spans="1:18">
      <c r="A62" s="1"/>
      <c r="B62" s="9">
        <f t="shared" si="0"/>
        <v>60</v>
      </c>
      <c r="C62" s="15" t="s">
        <v>16</v>
      </c>
      <c r="D62" s="12" t="s">
        <v>100</v>
      </c>
      <c r="E62" s="12" t="s">
        <v>288</v>
      </c>
      <c r="F62" s="6" t="s">
        <v>971</v>
      </c>
      <c r="G62" s="12" t="s">
        <v>544</v>
      </c>
      <c r="H62" s="12" t="s">
        <v>675</v>
      </c>
      <c r="I62" s="12" t="s">
        <v>972</v>
      </c>
      <c r="J62" s="12" t="s">
        <v>780</v>
      </c>
      <c r="K62" s="6" t="s">
        <v>972</v>
      </c>
      <c r="L62" s="12">
        <v>1</v>
      </c>
      <c r="M62" s="12">
        <f t="shared" ref="M62" si="59">L62*5</f>
        <v>5</v>
      </c>
      <c r="N62" s="12" t="s">
        <v>992</v>
      </c>
      <c r="O62" s="22" t="s">
        <v>1031</v>
      </c>
      <c r="P62" s="13" t="s">
        <v>1061</v>
      </c>
      <c r="Q62" s="13">
        <f t="shared" ref="Q62" si="60">P62*N62</f>
        <v>1.0739999999999998</v>
      </c>
      <c r="R62" s="12"/>
    </row>
    <row r="63" spans="1:18">
      <c r="A63" s="1"/>
      <c r="B63" s="8">
        <f>ROW(B63) - ROW($B$2)</f>
        <v>61</v>
      </c>
      <c r="C63" s="14" t="s">
        <v>15</v>
      </c>
      <c r="D63" s="6" t="s">
        <v>101</v>
      </c>
      <c r="E63" s="6" t="s">
        <v>287</v>
      </c>
      <c r="F63" s="6" t="s">
        <v>971</v>
      </c>
      <c r="G63" s="6" t="s">
        <v>440</v>
      </c>
      <c r="H63" s="6" t="s">
        <v>677</v>
      </c>
      <c r="I63" s="12" t="s">
        <v>972</v>
      </c>
      <c r="J63" s="6" t="s">
        <v>981</v>
      </c>
      <c r="K63" s="6" t="s">
        <v>972</v>
      </c>
      <c r="L63" s="6">
        <v>3</v>
      </c>
      <c r="M63" s="6">
        <f>L63*5</f>
        <v>15</v>
      </c>
      <c r="N63" s="6" t="s">
        <v>1060</v>
      </c>
      <c r="O63" s="22" t="s">
        <v>1031</v>
      </c>
      <c r="P63" s="7" t="s">
        <v>1062</v>
      </c>
      <c r="Q63" s="7">
        <f>P63*N63</f>
        <v>9.0299999999999994</v>
      </c>
      <c r="R63" s="6"/>
    </row>
    <row r="64" spans="1:18">
      <c r="A64" s="1"/>
      <c r="B64" s="9">
        <f t="shared" si="0"/>
        <v>62</v>
      </c>
      <c r="C64" s="15" t="s">
        <v>17</v>
      </c>
      <c r="D64" s="12" t="s">
        <v>102</v>
      </c>
      <c r="E64" s="12" t="s">
        <v>289</v>
      </c>
      <c r="F64" s="6" t="s">
        <v>971</v>
      </c>
      <c r="G64" s="12">
        <v>22112032</v>
      </c>
      <c r="H64" s="12" t="s">
        <v>678</v>
      </c>
      <c r="I64" s="12" t="s">
        <v>972</v>
      </c>
      <c r="J64" s="12" t="s">
        <v>781</v>
      </c>
      <c r="K64" s="6" t="s">
        <v>972</v>
      </c>
      <c r="L64" s="12">
        <v>1</v>
      </c>
      <c r="M64" s="12">
        <f t="shared" ref="M64" si="61">L64*5</f>
        <v>5</v>
      </c>
      <c r="N64" s="12" t="s">
        <v>992</v>
      </c>
      <c r="O64" s="22" t="s">
        <v>1031</v>
      </c>
      <c r="P64" s="13" t="s">
        <v>1063</v>
      </c>
      <c r="Q64" s="13">
        <f t="shared" ref="Q64" si="62">P64*N64</f>
        <v>1.637</v>
      </c>
      <c r="R64" s="12"/>
    </row>
    <row r="65" spans="1:18">
      <c r="A65" s="1"/>
      <c r="B65" s="8">
        <f>ROW(B65) - ROW($B$2)</f>
        <v>63</v>
      </c>
      <c r="C65" s="14" t="s">
        <v>17</v>
      </c>
      <c r="D65" s="6" t="s">
        <v>103</v>
      </c>
      <c r="E65" s="6" t="s">
        <v>290</v>
      </c>
      <c r="F65" s="6" t="s">
        <v>971</v>
      </c>
      <c r="G65" s="6">
        <v>22112022</v>
      </c>
      <c r="H65" s="6" t="s">
        <v>678</v>
      </c>
      <c r="I65" s="12" t="s">
        <v>972</v>
      </c>
      <c r="J65" s="6" t="s">
        <v>782</v>
      </c>
      <c r="K65" s="6" t="s">
        <v>972</v>
      </c>
      <c r="L65" s="6">
        <v>1</v>
      </c>
      <c r="M65" s="6">
        <f>L65*5</f>
        <v>5</v>
      </c>
      <c r="N65" s="6" t="s">
        <v>992</v>
      </c>
      <c r="O65" s="22" t="s">
        <v>1031</v>
      </c>
      <c r="P65" s="7" t="s">
        <v>1064</v>
      </c>
      <c r="Q65" s="7">
        <f>P65*N65</f>
        <v>1.2195</v>
      </c>
      <c r="R65" s="6"/>
    </row>
    <row r="66" spans="1:18" ht="48">
      <c r="A66" s="1"/>
      <c r="B66" s="9">
        <f t="shared" si="0"/>
        <v>64</v>
      </c>
      <c r="C66" s="15" t="s">
        <v>18</v>
      </c>
      <c r="D66" s="12" t="s">
        <v>104</v>
      </c>
      <c r="E66" s="12" t="s">
        <v>291</v>
      </c>
      <c r="F66" s="6" t="s">
        <v>971</v>
      </c>
      <c r="G66" s="12" t="s">
        <v>441</v>
      </c>
      <c r="H66" s="12" t="s">
        <v>679</v>
      </c>
      <c r="I66" s="12" t="s">
        <v>972</v>
      </c>
      <c r="J66" s="12" t="s">
        <v>783</v>
      </c>
      <c r="K66" s="6" t="s">
        <v>972</v>
      </c>
      <c r="L66" s="12">
        <v>3</v>
      </c>
      <c r="M66" s="12">
        <f t="shared" ref="M66" si="63">L66*5</f>
        <v>15</v>
      </c>
      <c r="N66" s="12" t="s">
        <v>1060</v>
      </c>
      <c r="O66" s="22" t="s">
        <v>1031</v>
      </c>
      <c r="P66" s="13" t="s">
        <v>1065</v>
      </c>
      <c r="Q66" s="13">
        <f t="shared" ref="Q66" si="64">P66*N66</f>
        <v>2.5590000000000002</v>
      </c>
      <c r="R66" s="12"/>
    </row>
    <row r="67" spans="1:18" ht="48">
      <c r="A67" s="1"/>
      <c r="B67" s="8">
        <f>ROW(B67) - ROW($B$2)</f>
        <v>65</v>
      </c>
      <c r="C67" s="14" t="s">
        <v>19</v>
      </c>
      <c r="D67" s="6" t="s">
        <v>105</v>
      </c>
      <c r="E67" s="6" t="s">
        <v>292</v>
      </c>
      <c r="F67" s="6" t="s">
        <v>442</v>
      </c>
      <c r="G67" s="6" t="s">
        <v>545</v>
      </c>
      <c r="H67" s="6" t="s">
        <v>680</v>
      </c>
      <c r="I67" s="12" t="s">
        <v>972</v>
      </c>
      <c r="J67" s="6" t="s">
        <v>784</v>
      </c>
      <c r="K67" s="6" t="s">
        <v>972</v>
      </c>
      <c r="L67" s="6">
        <v>2</v>
      </c>
      <c r="M67" s="6">
        <f>L67*5</f>
        <v>10</v>
      </c>
      <c r="N67" s="6" t="s">
        <v>995</v>
      </c>
      <c r="O67" s="22" t="s">
        <v>1031</v>
      </c>
      <c r="P67" s="7" t="s">
        <v>1066</v>
      </c>
      <c r="Q67" s="7">
        <f>P67*N67</f>
        <v>0.83499999999999996</v>
      </c>
      <c r="R67" s="6"/>
    </row>
    <row r="68" spans="1:18" ht="36">
      <c r="A68" s="1"/>
      <c r="B68" s="9">
        <f t="shared" si="0"/>
        <v>66</v>
      </c>
      <c r="C68" s="15" t="s">
        <v>20</v>
      </c>
      <c r="D68" s="12" t="s">
        <v>106</v>
      </c>
      <c r="E68" s="12" t="s">
        <v>293</v>
      </c>
      <c r="F68" s="6" t="s">
        <v>971</v>
      </c>
      <c r="G68" s="12" t="s">
        <v>546</v>
      </c>
      <c r="H68" s="12" t="s">
        <v>681</v>
      </c>
      <c r="I68" s="12" t="s">
        <v>972</v>
      </c>
      <c r="J68" s="12" t="s">
        <v>785</v>
      </c>
      <c r="K68" s="6" t="s">
        <v>972</v>
      </c>
      <c r="L68" s="12">
        <v>1</v>
      </c>
      <c r="M68" s="12">
        <f t="shared" ref="M68" si="65">L68*5</f>
        <v>5</v>
      </c>
      <c r="N68" s="12" t="s">
        <v>992</v>
      </c>
      <c r="O68" s="22" t="s">
        <v>1031</v>
      </c>
      <c r="P68" s="13" t="s">
        <v>1067</v>
      </c>
      <c r="Q68" s="13">
        <f t="shared" ref="Q68" si="66">P68*N68</f>
        <v>4.9270000000000005</v>
      </c>
      <c r="R68" s="12"/>
    </row>
    <row r="69" spans="1:18" ht="48">
      <c r="A69" s="1"/>
      <c r="B69" s="8">
        <f>ROW(B69) - ROW($B$2)</f>
        <v>67</v>
      </c>
      <c r="C69" s="14" t="s">
        <v>21</v>
      </c>
      <c r="D69" s="6" t="s">
        <v>107</v>
      </c>
      <c r="E69" s="6" t="s">
        <v>294</v>
      </c>
      <c r="F69" s="6" t="s">
        <v>971</v>
      </c>
      <c r="G69" s="6" t="s">
        <v>443</v>
      </c>
      <c r="H69" s="6" t="s">
        <v>676</v>
      </c>
      <c r="I69" s="12" t="s">
        <v>972</v>
      </c>
      <c r="J69" s="6" t="s">
        <v>786</v>
      </c>
      <c r="K69" s="6" t="s">
        <v>972</v>
      </c>
      <c r="L69" s="6">
        <v>1</v>
      </c>
      <c r="M69" s="6">
        <f>L69*5</f>
        <v>5</v>
      </c>
      <c r="N69" s="6" t="s">
        <v>992</v>
      </c>
      <c r="O69" s="22" t="s">
        <v>1031</v>
      </c>
      <c r="P69" s="7" t="s">
        <v>1068</v>
      </c>
      <c r="Q69" s="7">
        <f>P69*N69</f>
        <v>1.1835</v>
      </c>
      <c r="R69" s="6"/>
    </row>
    <row r="70" spans="1:18" ht="48">
      <c r="A70" s="1"/>
      <c r="B70" s="9">
        <f t="shared" si="0"/>
        <v>68</v>
      </c>
      <c r="C70" s="15" t="s">
        <v>22</v>
      </c>
      <c r="D70" s="12" t="s">
        <v>108</v>
      </c>
      <c r="E70" s="12" t="s">
        <v>295</v>
      </c>
      <c r="F70" s="6" t="s">
        <v>971</v>
      </c>
      <c r="G70" s="12" t="s">
        <v>444</v>
      </c>
      <c r="H70" s="12" t="s">
        <v>679</v>
      </c>
      <c r="I70" s="12" t="s">
        <v>972</v>
      </c>
      <c r="J70" s="12" t="s">
        <v>787</v>
      </c>
      <c r="K70" s="6" t="s">
        <v>972</v>
      </c>
      <c r="L70" s="12">
        <v>2</v>
      </c>
      <c r="M70" s="12">
        <f t="shared" ref="M70" si="67">L70*5</f>
        <v>10</v>
      </c>
      <c r="N70" s="12" t="s">
        <v>1007</v>
      </c>
      <c r="O70" s="22" t="s">
        <v>1031</v>
      </c>
      <c r="P70" s="13" t="s">
        <v>1069</v>
      </c>
      <c r="Q70" s="13">
        <f t="shared" ref="Q70" si="68">P70*N70</f>
        <v>1.0879999999999999</v>
      </c>
      <c r="R70" s="12"/>
    </row>
    <row r="71" spans="1:18" ht="48">
      <c r="A71" s="1"/>
      <c r="B71" s="8">
        <f>ROW(B71) - ROW($B$2)</f>
        <v>69</v>
      </c>
      <c r="C71" s="14" t="s">
        <v>18</v>
      </c>
      <c r="D71" s="6" t="s">
        <v>109</v>
      </c>
      <c r="E71" s="6" t="s">
        <v>296</v>
      </c>
      <c r="F71" s="6" t="s">
        <v>971</v>
      </c>
      <c r="G71" s="6" t="s">
        <v>445</v>
      </c>
      <c r="H71" s="6" t="s">
        <v>679</v>
      </c>
      <c r="I71" s="12" t="s">
        <v>972</v>
      </c>
      <c r="J71" s="6" t="s">
        <v>788</v>
      </c>
      <c r="K71" s="6" t="s">
        <v>972</v>
      </c>
      <c r="L71" s="6">
        <v>1</v>
      </c>
      <c r="M71" s="6">
        <f>L71*5</f>
        <v>5</v>
      </c>
      <c r="N71" s="6" t="s">
        <v>992</v>
      </c>
      <c r="O71" s="22" t="s">
        <v>1031</v>
      </c>
      <c r="P71" s="7" t="s">
        <v>1070</v>
      </c>
      <c r="Q71" s="7">
        <f>P71*N71</f>
        <v>0.99750000000000005</v>
      </c>
      <c r="R71" s="6"/>
    </row>
    <row r="72" spans="1:18">
      <c r="A72" s="1"/>
      <c r="B72" s="9">
        <f t="shared" si="0"/>
        <v>70</v>
      </c>
      <c r="C72" s="15" t="s">
        <v>23</v>
      </c>
      <c r="D72" s="12" t="s">
        <v>110</v>
      </c>
      <c r="E72" s="12" t="s">
        <v>297</v>
      </c>
      <c r="F72" s="6" t="s">
        <v>971</v>
      </c>
      <c r="G72" s="12" t="s">
        <v>446</v>
      </c>
      <c r="H72" s="12" t="s">
        <v>682</v>
      </c>
      <c r="I72" s="12" t="s">
        <v>972</v>
      </c>
      <c r="J72" s="12" t="s">
        <v>789</v>
      </c>
      <c r="K72" s="6" t="s">
        <v>972</v>
      </c>
      <c r="L72" s="12">
        <v>1</v>
      </c>
      <c r="M72" s="12">
        <f t="shared" ref="M72" si="69">L72*5</f>
        <v>5</v>
      </c>
      <c r="N72" s="12" t="s">
        <v>992</v>
      </c>
      <c r="O72" s="22" t="s">
        <v>1031</v>
      </c>
      <c r="P72" s="13" t="s">
        <v>1071</v>
      </c>
      <c r="Q72" s="13">
        <f t="shared" ref="Q72" si="70">P72*N72</f>
        <v>11.141000000000002</v>
      </c>
      <c r="R72" s="12"/>
    </row>
    <row r="73" spans="1:18" ht="48">
      <c r="A73" s="1"/>
      <c r="B73" s="8">
        <f>ROW(B73) - ROW($B$2)</f>
        <v>71</v>
      </c>
      <c r="C73" s="14" t="s">
        <v>24</v>
      </c>
      <c r="D73" s="6" t="s">
        <v>111</v>
      </c>
      <c r="E73" s="6" t="s">
        <v>298</v>
      </c>
      <c r="F73" s="6" t="s">
        <v>447</v>
      </c>
      <c r="G73" s="6" t="s">
        <v>547</v>
      </c>
      <c r="H73" s="6" t="s">
        <v>683</v>
      </c>
      <c r="I73" s="12" t="s">
        <v>972</v>
      </c>
      <c r="J73" s="6" t="s">
        <v>790</v>
      </c>
      <c r="K73" s="6" t="s">
        <v>972</v>
      </c>
      <c r="L73" s="6">
        <v>2</v>
      </c>
      <c r="M73" s="6">
        <f>L73*5</f>
        <v>10</v>
      </c>
      <c r="N73" s="6" t="s">
        <v>998</v>
      </c>
      <c r="O73" s="22" t="s">
        <v>1031</v>
      </c>
      <c r="P73" s="7" t="s">
        <v>1072</v>
      </c>
      <c r="Q73" s="7">
        <f>P73*N73</f>
        <v>0.61599999999999999</v>
      </c>
      <c r="R73" s="6"/>
    </row>
    <row r="74" spans="1:18">
      <c r="A74" s="1"/>
      <c r="B74" s="9">
        <f t="shared" si="0"/>
        <v>72</v>
      </c>
      <c r="C74" s="15" t="s">
        <v>25</v>
      </c>
      <c r="D74" s="12" t="s">
        <v>112</v>
      </c>
      <c r="E74" s="12" t="s">
        <v>299</v>
      </c>
      <c r="F74" s="12" t="s">
        <v>448</v>
      </c>
      <c r="G74" s="12" t="s">
        <v>548</v>
      </c>
      <c r="H74" s="12" t="s">
        <v>684</v>
      </c>
      <c r="I74" s="12" t="s">
        <v>972</v>
      </c>
      <c r="J74" s="12" t="s">
        <v>791</v>
      </c>
      <c r="K74" s="12" t="s">
        <v>911</v>
      </c>
      <c r="L74" s="12">
        <v>1</v>
      </c>
      <c r="M74" s="12">
        <f t="shared" ref="M74" si="71">L74*5</f>
        <v>5</v>
      </c>
      <c r="N74" s="12" t="s">
        <v>1007</v>
      </c>
      <c r="O74" s="22" t="s">
        <v>1031</v>
      </c>
      <c r="P74" s="13" t="s">
        <v>1073</v>
      </c>
      <c r="Q74" s="13">
        <f t="shared" ref="Q74" si="72">P74*N74</f>
        <v>0.39399999999999996</v>
      </c>
      <c r="R74" s="12"/>
    </row>
    <row r="75" spans="1:18" ht="36">
      <c r="A75" s="1"/>
      <c r="B75" s="8">
        <f>ROW(B75) - ROW($B$2)</f>
        <v>73</v>
      </c>
      <c r="C75" s="14" t="s">
        <v>25</v>
      </c>
      <c r="D75" s="6" t="s">
        <v>113</v>
      </c>
      <c r="E75" s="6" t="s">
        <v>300</v>
      </c>
      <c r="F75" s="6" t="s">
        <v>971</v>
      </c>
      <c r="G75" s="6" t="s">
        <v>449</v>
      </c>
      <c r="H75" s="6" t="s">
        <v>655</v>
      </c>
      <c r="I75" s="12" t="s">
        <v>972</v>
      </c>
      <c r="J75" s="6" t="s">
        <v>792</v>
      </c>
      <c r="K75" s="6" t="s">
        <v>912</v>
      </c>
      <c r="L75" s="6">
        <v>1</v>
      </c>
      <c r="M75" s="6">
        <f>L75*5</f>
        <v>5</v>
      </c>
      <c r="N75" s="6" t="s">
        <v>992</v>
      </c>
      <c r="O75" s="22" t="s">
        <v>1031</v>
      </c>
      <c r="P75" s="7" t="s">
        <v>1074</v>
      </c>
      <c r="Q75" s="7">
        <f>P75*N75</f>
        <v>2.1574999999999998</v>
      </c>
      <c r="R75" s="6"/>
    </row>
    <row r="76" spans="1:18" ht="24">
      <c r="A76" s="1"/>
      <c r="B76" s="9">
        <f t="shared" si="0"/>
        <v>74</v>
      </c>
      <c r="C76" s="15" t="s">
        <v>25</v>
      </c>
      <c r="D76" s="12" t="s">
        <v>114</v>
      </c>
      <c r="E76" s="12" t="s">
        <v>301</v>
      </c>
      <c r="F76" s="6" t="s">
        <v>971</v>
      </c>
      <c r="G76" s="12" t="s">
        <v>450</v>
      </c>
      <c r="H76" s="12" t="s">
        <v>685</v>
      </c>
      <c r="I76" s="12" t="s">
        <v>972</v>
      </c>
      <c r="J76" s="12" t="s">
        <v>793</v>
      </c>
      <c r="K76" s="12" t="s">
        <v>913</v>
      </c>
      <c r="L76" s="12">
        <v>1</v>
      </c>
      <c r="M76" s="12">
        <f t="shared" ref="M76" si="73">L76*5</f>
        <v>5</v>
      </c>
      <c r="N76" s="12" t="s">
        <v>992</v>
      </c>
      <c r="O76" s="22" t="s">
        <v>1031</v>
      </c>
      <c r="P76" s="13" t="s">
        <v>1075</v>
      </c>
      <c r="Q76" s="13">
        <f t="shared" ref="Q76" si="74">P76*N76</f>
        <v>1.1455</v>
      </c>
      <c r="R76" s="12"/>
    </row>
    <row r="77" spans="1:18" ht="24">
      <c r="A77" s="1"/>
      <c r="B77" s="8">
        <f>ROW(B77) - ROW($B$2)</f>
        <v>75</v>
      </c>
      <c r="C77" s="14" t="s">
        <v>25</v>
      </c>
      <c r="D77" s="6" t="s">
        <v>115</v>
      </c>
      <c r="E77" s="6" t="s">
        <v>302</v>
      </c>
      <c r="F77" s="6" t="s">
        <v>971</v>
      </c>
      <c r="G77" s="6" t="s">
        <v>451</v>
      </c>
      <c r="H77" s="6" t="s">
        <v>685</v>
      </c>
      <c r="I77" s="12" t="s">
        <v>972</v>
      </c>
      <c r="J77" s="6" t="s">
        <v>794</v>
      </c>
      <c r="K77" s="6" t="s">
        <v>914</v>
      </c>
      <c r="L77" s="6">
        <v>1</v>
      </c>
      <c r="M77" s="6">
        <f>L77*5</f>
        <v>5</v>
      </c>
      <c r="N77" s="6" t="s">
        <v>1007</v>
      </c>
      <c r="O77" s="22" t="s">
        <v>1031</v>
      </c>
      <c r="P77" s="7" t="s">
        <v>1076</v>
      </c>
      <c r="Q77" s="7">
        <f>P77*N77</f>
        <v>0.59499999999999997</v>
      </c>
      <c r="R77" s="6"/>
    </row>
    <row r="78" spans="1:18">
      <c r="A78" s="1"/>
      <c r="B78" s="9">
        <f t="shared" si="0"/>
        <v>76</v>
      </c>
      <c r="C78" s="15" t="s">
        <v>25</v>
      </c>
      <c r="D78" s="12" t="s">
        <v>116</v>
      </c>
      <c r="E78" s="12" t="s">
        <v>303</v>
      </c>
      <c r="F78" s="6" t="s">
        <v>971</v>
      </c>
      <c r="G78" s="12" t="s">
        <v>452</v>
      </c>
      <c r="H78" s="12" t="s">
        <v>686</v>
      </c>
      <c r="I78" s="12" t="s">
        <v>972</v>
      </c>
      <c r="J78" s="12" t="s">
        <v>972</v>
      </c>
      <c r="K78" s="12" t="s">
        <v>915</v>
      </c>
      <c r="L78" s="12">
        <v>1</v>
      </c>
      <c r="M78" s="12">
        <f t="shared" ref="M78" si="75">L78*5</f>
        <v>5</v>
      </c>
      <c r="N78" s="12" t="s">
        <v>992</v>
      </c>
      <c r="O78" s="22" t="s">
        <v>1031</v>
      </c>
      <c r="P78" s="13" t="s">
        <v>1077</v>
      </c>
      <c r="Q78" s="13">
        <f t="shared" ref="Q78" si="76">P78*N78</f>
        <v>1.6789999999999998</v>
      </c>
      <c r="R78" s="12"/>
    </row>
    <row r="79" spans="1:18">
      <c r="A79" s="1"/>
      <c r="B79" s="8">
        <f>ROW(B79) - ROW($B$2)</f>
        <v>77</v>
      </c>
      <c r="C79" s="14" t="s">
        <v>25</v>
      </c>
      <c r="D79" s="6" t="s">
        <v>117</v>
      </c>
      <c r="E79" s="6" t="s">
        <v>304</v>
      </c>
      <c r="F79" s="6" t="s">
        <v>453</v>
      </c>
      <c r="G79" s="6" t="s">
        <v>549</v>
      </c>
      <c r="H79" s="6" t="s">
        <v>657</v>
      </c>
      <c r="I79" s="12" t="s">
        <v>972</v>
      </c>
      <c r="J79" s="6" t="s">
        <v>982</v>
      </c>
      <c r="K79" s="6" t="s">
        <v>916</v>
      </c>
      <c r="L79" s="6">
        <v>1</v>
      </c>
      <c r="M79" s="6">
        <f>L79*5</f>
        <v>5</v>
      </c>
      <c r="N79" s="6" t="s">
        <v>992</v>
      </c>
      <c r="O79" s="22" t="s">
        <v>1031</v>
      </c>
      <c r="P79" s="7" t="s">
        <v>1078</v>
      </c>
      <c r="Q79" s="7">
        <f>P79*N79</f>
        <v>0.67199999999999993</v>
      </c>
      <c r="R79" s="6"/>
    </row>
    <row r="80" spans="1:18">
      <c r="A80" s="1"/>
      <c r="B80" s="9">
        <f t="shared" si="0"/>
        <v>78</v>
      </c>
      <c r="C80" s="15" t="s">
        <v>26</v>
      </c>
      <c r="D80" s="12" t="s">
        <v>118</v>
      </c>
      <c r="E80" s="12" t="s">
        <v>305</v>
      </c>
      <c r="F80" s="12" t="s">
        <v>454</v>
      </c>
      <c r="G80" s="12" t="s">
        <v>550</v>
      </c>
      <c r="H80" s="12" t="s">
        <v>687</v>
      </c>
      <c r="I80" s="12" t="s">
        <v>972</v>
      </c>
      <c r="J80" s="12" t="s">
        <v>972</v>
      </c>
      <c r="K80" s="12" t="s">
        <v>972</v>
      </c>
      <c r="L80" s="12">
        <v>3</v>
      </c>
      <c r="M80" s="12">
        <f t="shared" ref="M80" si="77">L80*5</f>
        <v>15</v>
      </c>
      <c r="N80" s="12" t="s">
        <v>1060</v>
      </c>
      <c r="O80" s="22" t="s">
        <v>1031</v>
      </c>
      <c r="P80" s="13" t="s">
        <v>1079</v>
      </c>
      <c r="Q80" s="13">
        <f t="shared" ref="Q80" si="78">P80*N80</f>
        <v>7.4910000000000005</v>
      </c>
      <c r="R80" s="12"/>
    </row>
    <row r="81" spans="1:18">
      <c r="A81" s="1"/>
      <c r="B81" s="8">
        <f>ROW(B81) - ROW($B$2)</f>
        <v>79</v>
      </c>
      <c r="C81" s="14" t="s">
        <v>27</v>
      </c>
      <c r="D81" s="6" t="s">
        <v>119</v>
      </c>
      <c r="E81" s="6" t="s">
        <v>306</v>
      </c>
      <c r="F81" s="6" t="s">
        <v>455</v>
      </c>
      <c r="G81" s="6" t="s">
        <v>551</v>
      </c>
      <c r="H81" s="6" t="s">
        <v>688</v>
      </c>
      <c r="I81" s="12" t="s">
        <v>972</v>
      </c>
      <c r="J81" s="6" t="s">
        <v>795</v>
      </c>
      <c r="K81" s="12" t="s">
        <v>972</v>
      </c>
      <c r="L81" s="6">
        <v>1</v>
      </c>
      <c r="M81" s="6">
        <f>L81*5</f>
        <v>5</v>
      </c>
      <c r="N81" s="6" t="s">
        <v>992</v>
      </c>
      <c r="O81" s="22" t="s">
        <v>1031</v>
      </c>
      <c r="P81" s="7" t="s">
        <v>1080</v>
      </c>
      <c r="Q81" s="7">
        <f>P81*N81</f>
        <v>0.4985</v>
      </c>
      <c r="R81" s="6"/>
    </row>
    <row r="82" spans="1:18" ht="24">
      <c r="A82" s="1"/>
      <c r="B82" s="9">
        <f t="shared" si="0"/>
        <v>80</v>
      </c>
      <c r="C82" s="15" t="s">
        <v>26</v>
      </c>
      <c r="D82" s="12" t="s">
        <v>120</v>
      </c>
      <c r="E82" s="12" t="s">
        <v>307</v>
      </c>
      <c r="F82" s="12" t="s">
        <v>456</v>
      </c>
      <c r="G82" s="12" t="s">
        <v>552</v>
      </c>
      <c r="H82" s="12" t="s">
        <v>689</v>
      </c>
      <c r="I82" s="12" t="s">
        <v>972</v>
      </c>
      <c r="J82" s="12" t="s">
        <v>796</v>
      </c>
      <c r="K82" s="12" t="s">
        <v>972</v>
      </c>
      <c r="L82" s="12">
        <v>1</v>
      </c>
      <c r="M82" s="12">
        <f t="shared" ref="M82" si="79">L82*5</f>
        <v>5</v>
      </c>
      <c r="N82" s="12" t="s">
        <v>998</v>
      </c>
      <c r="O82" s="22" t="s">
        <v>1031</v>
      </c>
      <c r="P82" s="13" t="s">
        <v>1081</v>
      </c>
      <c r="Q82" s="13">
        <f t="shared" ref="Q82" si="80">P82*N82</f>
        <v>0.50600000000000001</v>
      </c>
      <c r="R82" s="12"/>
    </row>
    <row r="83" spans="1:18" ht="24">
      <c r="A83" s="1"/>
      <c r="B83" s="8">
        <f>ROW(B83) - ROW($B$2)</f>
        <v>81</v>
      </c>
      <c r="C83" s="14" t="s">
        <v>26</v>
      </c>
      <c r="D83" s="6" t="s">
        <v>121</v>
      </c>
      <c r="E83" s="6" t="s">
        <v>308</v>
      </c>
      <c r="F83" s="6" t="s">
        <v>454</v>
      </c>
      <c r="G83" s="6" t="s">
        <v>553</v>
      </c>
      <c r="H83" s="6" t="s">
        <v>690</v>
      </c>
      <c r="I83" s="12" t="s">
        <v>972</v>
      </c>
      <c r="J83" s="6" t="s">
        <v>797</v>
      </c>
      <c r="K83" s="12" t="s">
        <v>972</v>
      </c>
      <c r="L83" s="6">
        <v>1</v>
      </c>
      <c r="M83" s="6">
        <f>L83*5</f>
        <v>5</v>
      </c>
      <c r="N83" s="6" t="s">
        <v>1007</v>
      </c>
      <c r="O83" s="22" t="s">
        <v>1031</v>
      </c>
      <c r="P83" s="7" t="s">
        <v>1082</v>
      </c>
      <c r="Q83" s="7">
        <f>P83*N83</f>
        <v>0.55000000000000004</v>
      </c>
      <c r="R83" s="6"/>
    </row>
    <row r="84" spans="1:18" ht="24">
      <c r="A84" s="1"/>
      <c r="B84" s="9">
        <f t="shared" si="0"/>
        <v>82</v>
      </c>
      <c r="C84" s="15" t="s">
        <v>26</v>
      </c>
      <c r="D84" s="12" t="s">
        <v>122</v>
      </c>
      <c r="E84" s="12" t="s">
        <v>309</v>
      </c>
      <c r="F84" s="12" t="s">
        <v>456</v>
      </c>
      <c r="G84" s="12" t="s">
        <v>554</v>
      </c>
      <c r="H84" s="12" t="s">
        <v>690</v>
      </c>
      <c r="I84" s="12" t="s">
        <v>972</v>
      </c>
      <c r="J84" s="12" t="s">
        <v>798</v>
      </c>
      <c r="K84" s="12" t="s">
        <v>972</v>
      </c>
      <c r="L84" s="12">
        <v>1</v>
      </c>
      <c r="M84" s="12">
        <f t="shared" ref="M84" si="81">L84*5</f>
        <v>5</v>
      </c>
      <c r="N84" s="12">
        <v>20</v>
      </c>
      <c r="O84" s="22" t="s">
        <v>1031</v>
      </c>
      <c r="P84" s="13">
        <v>2.53E-2</v>
      </c>
      <c r="Q84" s="13">
        <f t="shared" ref="Q84" si="82">P84*N84</f>
        <v>0.50600000000000001</v>
      </c>
      <c r="R84" s="12"/>
    </row>
    <row r="85" spans="1:18" ht="24">
      <c r="A85" s="1"/>
      <c r="B85" s="8">
        <f>ROW(B85) - ROW($B$2)</f>
        <v>83</v>
      </c>
      <c r="C85" s="14" t="s">
        <v>28</v>
      </c>
      <c r="D85" s="6" t="s">
        <v>123</v>
      </c>
      <c r="E85" s="6" t="s">
        <v>310</v>
      </c>
      <c r="F85" s="6" t="s">
        <v>971</v>
      </c>
      <c r="G85" s="6" t="s">
        <v>555</v>
      </c>
      <c r="H85" s="6" t="s">
        <v>691</v>
      </c>
      <c r="I85" s="12" t="s">
        <v>972</v>
      </c>
      <c r="J85" s="6" t="s">
        <v>799</v>
      </c>
      <c r="K85" s="12" t="s">
        <v>972</v>
      </c>
      <c r="L85" s="6">
        <v>1</v>
      </c>
      <c r="M85" s="6">
        <f>L85*5</f>
        <v>5</v>
      </c>
      <c r="N85" s="6" t="s">
        <v>992</v>
      </c>
      <c r="O85" s="22" t="s">
        <v>1031</v>
      </c>
      <c r="P85" s="7" t="s">
        <v>1083</v>
      </c>
      <c r="Q85" s="7">
        <f>P85*N85</f>
        <v>1.6355</v>
      </c>
      <c r="R85" s="6"/>
    </row>
    <row r="86" spans="1:18">
      <c r="A86" s="1"/>
      <c r="B86" s="9">
        <f t="shared" si="0"/>
        <v>84</v>
      </c>
      <c r="C86" s="15" t="s">
        <v>29</v>
      </c>
      <c r="D86" s="12" t="s">
        <v>124</v>
      </c>
      <c r="E86" s="12" t="s">
        <v>311</v>
      </c>
      <c r="F86" s="12" t="s">
        <v>971</v>
      </c>
      <c r="G86" s="12" t="s">
        <v>457</v>
      </c>
      <c r="H86" s="12" t="s">
        <v>972</v>
      </c>
      <c r="I86" s="12" t="s">
        <v>972</v>
      </c>
      <c r="J86" s="12" t="s">
        <v>972</v>
      </c>
      <c r="K86" s="12" t="s">
        <v>972</v>
      </c>
      <c r="L86" s="12">
        <v>6</v>
      </c>
      <c r="M86" s="12">
        <f t="shared" ref="M86" si="83">L86*5</f>
        <v>30</v>
      </c>
      <c r="N86" s="12" t="s">
        <v>993</v>
      </c>
      <c r="O86" s="22" t="s">
        <v>1031</v>
      </c>
      <c r="P86" s="13" t="s">
        <v>1084</v>
      </c>
      <c r="Q86" s="13">
        <f t="shared" ref="Q86" si="84">P86*N86</f>
        <v>11.07</v>
      </c>
      <c r="R86" s="12"/>
    </row>
    <row r="87" spans="1:18" ht="24">
      <c r="A87" s="1"/>
      <c r="B87" s="8">
        <f>ROW(B87) - ROW($B$2)</f>
        <v>85</v>
      </c>
      <c r="C87" s="14" t="s">
        <v>30</v>
      </c>
      <c r="D87" s="6" t="s">
        <v>125</v>
      </c>
      <c r="E87" s="6" t="s">
        <v>312</v>
      </c>
      <c r="F87" s="6" t="s">
        <v>458</v>
      </c>
      <c r="G87" s="6" t="s">
        <v>556</v>
      </c>
      <c r="H87" s="6" t="s">
        <v>665</v>
      </c>
      <c r="I87" s="12" t="s">
        <v>972</v>
      </c>
      <c r="J87" s="6" t="s">
        <v>800</v>
      </c>
      <c r="K87" s="6" t="s">
        <v>972</v>
      </c>
      <c r="L87" s="6">
        <v>2</v>
      </c>
      <c r="M87" s="6">
        <f>L87*5</f>
        <v>10</v>
      </c>
      <c r="N87" s="6" t="s">
        <v>1007</v>
      </c>
      <c r="O87" s="22" t="s">
        <v>1031</v>
      </c>
      <c r="P87" s="7" t="s">
        <v>1085</v>
      </c>
      <c r="Q87" s="7">
        <f>P87*N87</f>
        <v>0.63700000000000001</v>
      </c>
      <c r="R87" s="6"/>
    </row>
    <row r="88" spans="1:18">
      <c r="A88" s="1"/>
      <c r="B88" s="9">
        <f t="shared" si="0"/>
        <v>86</v>
      </c>
      <c r="C88" s="15" t="s">
        <v>31</v>
      </c>
      <c r="D88" s="12" t="s">
        <v>126</v>
      </c>
      <c r="E88" s="12" t="s">
        <v>313</v>
      </c>
      <c r="F88" s="12" t="s">
        <v>435</v>
      </c>
      <c r="G88" s="12" t="s">
        <v>557</v>
      </c>
      <c r="H88" s="12" t="s">
        <v>692</v>
      </c>
      <c r="I88" s="12" t="s">
        <v>972</v>
      </c>
      <c r="J88" s="12" t="s">
        <v>801</v>
      </c>
      <c r="K88" s="6" t="s">
        <v>972</v>
      </c>
      <c r="L88" s="12">
        <v>3</v>
      </c>
      <c r="M88" s="12">
        <f t="shared" ref="M88" si="85">L88*5</f>
        <v>15</v>
      </c>
      <c r="N88" s="12" t="s">
        <v>995</v>
      </c>
      <c r="O88" s="22" t="s">
        <v>1031</v>
      </c>
      <c r="P88" s="13" t="s">
        <v>1026</v>
      </c>
      <c r="Q88" s="13">
        <f t="shared" ref="Q88" si="86">P88*N88</f>
        <v>0.48</v>
      </c>
      <c r="R88" s="12"/>
    </row>
    <row r="89" spans="1:18">
      <c r="A89" s="1"/>
      <c r="B89" s="8">
        <f>ROW(B89) - ROW($B$2)</f>
        <v>87</v>
      </c>
      <c r="C89" s="14" t="s">
        <v>30</v>
      </c>
      <c r="D89" s="6" t="s">
        <v>127</v>
      </c>
      <c r="E89" s="6" t="s">
        <v>314</v>
      </c>
      <c r="F89" s="6" t="s">
        <v>435</v>
      </c>
      <c r="G89" s="6" t="s">
        <v>558</v>
      </c>
      <c r="H89" s="6" t="s">
        <v>693</v>
      </c>
      <c r="I89" s="12" t="s">
        <v>972</v>
      </c>
      <c r="J89" s="6" t="s">
        <v>802</v>
      </c>
      <c r="K89" s="6" t="s">
        <v>972</v>
      </c>
      <c r="L89" s="6">
        <v>1</v>
      </c>
      <c r="M89" s="6">
        <f>L89*5</f>
        <v>5</v>
      </c>
      <c r="N89" s="6" t="s">
        <v>992</v>
      </c>
      <c r="O89" s="22" t="s">
        <v>1031</v>
      </c>
      <c r="P89" s="7" t="s">
        <v>1086</v>
      </c>
      <c r="Q89" s="7">
        <f>P89*N89</f>
        <v>0.98</v>
      </c>
      <c r="R89" s="6"/>
    </row>
    <row r="90" spans="1:18">
      <c r="A90" s="1"/>
      <c r="B90" s="9">
        <f t="shared" si="0"/>
        <v>88</v>
      </c>
      <c r="C90" s="15" t="s">
        <v>30</v>
      </c>
      <c r="D90" s="12" t="s">
        <v>128</v>
      </c>
      <c r="E90" s="12" t="s">
        <v>315</v>
      </c>
      <c r="F90" s="12" t="s">
        <v>459</v>
      </c>
      <c r="G90" s="12" t="s">
        <v>559</v>
      </c>
      <c r="H90" s="12" t="s">
        <v>694</v>
      </c>
      <c r="I90" s="12" t="s">
        <v>972</v>
      </c>
      <c r="J90" s="12" t="s">
        <v>803</v>
      </c>
      <c r="K90" s="6" t="s">
        <v>972</v>
      </c>
      <c r="L90" s="12">
        <v>2</v>
      </c>
      <c r="M90" s="12">
        <f t="shared" ref="M90" si="87">L90*5</f>
        <v>10</v>
      </c>
      <c r="N90" s="12" t="s">
        <v>1007</v>
      </c>
      <c r="O90" s="22" t="s">
        <v>1031</v>
      </c>
      <c r="P90" s="13" t="s">
        <v>1087</v>
      </c>
      <c r="Q90" s="13">
        <f t="shared" ref="Q90" si="88">P90*N90</f>
        <v>6.2780000000000005</v>
      </c>
      <c r="R90" s="12"/>
    </row>
    <row r="91" spans="1:18">
      <c r="A91" s="1"/>
      <c r="B91" s="8">
        <f>ROW(B91) - ROW($B$2)</f>
        <v>89</v>
      </c>
      <c r="C91" s="14" t="s">
        <v>30</v>
      </c>
      <c r="D91" s="6" t="s">
        <v>129</v>
      </c>
      <c r="E91" s="6" t="s">
        <v>316</v>
      </c>
      <c r="F91" s="6" t="s">
        <v>435</v>
      </c>
      <c r="G91" s="6" t="s">
        <v>560</v>
      </c>
      <c r="H91" s="6" t="s">
        <v>695</v>
      </c>
      <c r="I91" s="12" t="s">
        <v>972</v>
      </c>
      <c r="J91" s="6" t="s">
        <v>804</v>
      </c>
      <c r="K91" s="6" t="s">
        <v>972</v>
      </c>
      <c r="L91" s="6">
        <v>1</v>
      </c>
      <c r="M91" s="6">
        <f>L91*5</f>
        <v>5</v>
      </c>
      <c r="N91" s="6" t="s">
        <v>992</v>
      </c>
      <c r="O91" s="22" t="s">
        <v>1031</v>
      </c>
      <c r="P91" s="7" t="s">
        <v>1088</v>
      </c>
      <c r="Q91" s="7">
        <f>P91*N91</f>
        <v>0.41399999999999998</v>
      </c>
      <c r="R91" s="6"/>
    </row>
    <row r="92" spans="1:18">
      <c r="A92" s="1"/>
      <c r="B92" s="9">
        <f t="shared" si="0"/>
        <v>90</v>
      </c>
      <c r="C92" s="15" t="s">
        <v>30</v>
      </c>
      <c r="D92" s="12" t="s">
        <v>130</v>
      </c>
      <c r="E92" s="12" t="s">
        <v>317</v>
      </c>
      <c r="F92" s="12" t="s">
        <v>435</v>
      </c>
      <c r="G92" s="12" t="s">
        <v>561</v>
      </c>
      <c r="H92" s="12" t="s">
        <v>9</v>
      </c>
      <c r="I92" s="12" t="s">
        <v>972</v>
      </c>
      <c r="J92" s="12" t="s">
        <v>805</v>
      </c>
      <c r="K92" s="6" t="s">
        <v>972</v>
      </c>
      <c r="L92" s="12">
        <v>1</v>
      </c>
      <c r="M92" s="12">
        <f t="shared" ref="M92" si="89">L92*5</f>
        <v>5</v>
      </c>
      <c r="N92" s="12" t="s">
        <v>998</v>
      </c>
      <c r="O92" s="22" t="s">
        <v>1031</v>
      </c>
      <c r="P92" s="13" t="s">
        <v>1089</v>
      </c>
      <c r="Q92" s="13">
        <f t="shared" ref="Q92" si="90">P92*N92</f>
        <v>0.55000000000000004</v>
      </c>
      <c r="R92" s="12"/>
    </row>
    <row r="93" spans="1:18">
      <c r="A93" s="1"/>
      <c r="B93" s="8">
        <f>ROW(B93) - ROW($B$2)</f>
        <v>91</v>
      </c>
      <c r="C93" s="14" t="s">
        <v>32</v>
      </c>
      <c r="D93" s="6" t="s">
        <v>131</v>
      </c>
      <c r="E93" s="6" t="s">
        <v>318</v>
      </c>
      <c r="F93" s="6" t="s">
        <v>460</v>
      </c>
      <c r="G93" s="6" t="s">
        <v>562</v>
      </c>
      <c r="H93" s="6" t="s">
        <v>696</v>
      </c>
      <c r="I93" s="12" t="s">
        <v>972</v>
      </c>
      <c r="J93" s="6" t="s">
        <v>806</v>
      </c>
      <c r="K93" s="6" t="s">
        <v>972</v>
      </c>
      <c r="L93" s="6">
        <v>1</v>
      </c>
      <c r="M93" s="6">
        <f>L93*5</f>
        <v>5</v>
      </c>
      <c r="N93" s="6"/>
      <c r="O93" s="6"/>
      <c r="P93" s="7"/>
      <c r="Q93" s="7">
        <f>P93*N93</f>
        <v>0</v>
      </c>
      <c r="R93" s="6"/>
    </row>
    <row r="94" spans="1:18">
      <c r="A94" s="1"/>
      <c r="B94" s="9">
        <f t="shared" si="0"/>
        <v>92</v>
      </c>
      <c r="C94" s="15" t="s">
        <v>30</v>
      </c>
      <c r="D94" s="12" t="s">
        <v>132</v>
      </c>
      <c r="E94" s="12" t="s">
        <v>319</v>
      </c>
      <c r="F94" s="12" t="s">
        <v>426</v>
      </c>
      <c r="G94" s="12" t="s">
        <v>563</v>
      </c>
      <c r="H94" s="12" t="s">
        <v>672</v>
      </c>
      <c r="I94" s="12" t="s">
        <v>972</v>
      </c>
      <c r="J94" s="12" t="s">
        <v>807</v>
      </c>
      <c r="K94" s="6" t="s">
        <v>972</v>
      </c>
      <c r="L94" s="12">
        <v>1</v>
      </c>
      <c r="M94" s="12">
        <f t="shared" ref="M94" si="91">L94*5</f>
        <v>5</v>
      </c>
      <c r="N94" s="12" t="s">
        <v>998</v>
      </c>
      <c r="O94" s="22" t="s">
        <v>1031</v>
      </c>
      <c r="P94" s="13" t="s">
        <v>1018</v>
      </c>
      <c r="Q94" s="13">
        <f t="shared" ref="Q94" si="92">P94*N94</f>
        <v>0.48399999999999999</v>
      </c>
      <c r="R94" s="12"/>
    </row>
    <row r="95" spans="1:18" ht="36">
      <c r="A95" s="1"/>
      <c r="B95" s="8">
        <f>ROW(B95) - ROW($B$2)</f>
        <v>93</v>
      </c>
      <c r="C95" s="14" t="s">
        <v>30</v>
      </c>
      <c r="D95" s="6" t="s">
        <v>133</v>
      </c>
      <c r="E95" s="6" t="s">
        <v>320</v>
      </c>
      <c r="F95" s="6" t="s">
        <v>435</v>
      </c>
      <c r="G95" s="6" t="s">
        <v>564</v>
      </c>
      <c r="H95" s="6" t="s">
        <v>662</v>
      </c>
      <c r="I95" s="12" t="s">
        <v>972</v>
      </c>
      <c r="J95" s="6" t="s">
        <v>808</v>
      </c>
      <c r="K95" s="6" t="s">
        <v>972</v>
      </c>
      <c r="L95" s="6">
        <v>1</v>
      </c>
      <c r="M95" s="6">
        <f>L95*5</f>
        <v>5</v>
      </c>
      <c r="N95" s="6" t="s">
        <v>998</v>
      </c>
      <c r="O95" s="22" t="s">
        <v>1031</v>
      </c>
      <c r="P95" s="7" t="s">
        <v>1091</v>
      </c>
      <c r="Q95" s="7">
        <f>P95*N95</f>
        <v>0.54800000000000004</v>
      </c>
      <c r="R95" s="6"/>
    </row>
    <row r="96" spans="1:18">
      <c r="A96" s="1"/>
      <c r="B96" s="9">
        <f t="shared" si="0"/>
        <v>94</v>
      </c>
      <c r="C96" s="15" t="s">
        <v>32</v>
      </c>
      <c r="D96" s="12" t="s">
        <v>134</v>
      </c>
      <c r="E96" s="12" t="s">
        <v>321</v>
      </c>
      <c r="F96" s="12" t="s">
        <v>435</v>
      </c>
      <c r="G96" s="12" t="s">
        <v>565</v>
      </c>
      <c r="H96" s="12" t="s">
        <v>9</v>
      </c>
      <c r="I96" s="12" t="s">
        <v>972</v>
      </c>
      <c r="J96" s="12" t="s">
        <v>809</v>
      </c>
      <c r="K96" s="6" t="s">
        <v>972</v>
      </c>
      <c r="L96" s="12">
        <v>1</v>
      </c>
      <c r="M96" s="12">
        <f t="shared" ref="M96" si="93">L96*5</f>
        <v>5</v>
      </c>
      <c r="N96" s="12" t="s">
        <v>998</v>
      </c>
      <c r="O96" s="22" t="s">
        <v>1031</v>
      </c>
      <c r="P96" s="13" t="s">
        <v>1092</v>
      </c>
      <c r="Q96" s="13">
        <f t="shared" ref="Q96" si="94">P96*N96</f>
        <v>0.46199999999999997</v>
      </c>
      <c r="R96" s="12"/>
    </row>
    <row r="97" spans="1:18" ht="36">
      <c r="A97" s="1"/>
      <c r="B97" s="8">
        <f>ROW(B97) - ROW($B$2)</f>
        <v>95</v>
      </c>
      <c r="C97" s="14" t="s">
        <v>33</v>
      </c>
      <c r="D97" s="6" t="s">
        <v>135</v>
      </c>
      <c r="E97" s="6" t="s">
        <v>322</v>
      </c>
      <c r="F97" s="6" t="s">
        <v>461</v>
      </c>
      <c r="G97" s="6" t="s">
        <v>566</v>
      </c>
      <c r="H97" s="6" t="s">
        <v>697</v>
      </c>
      <c r="I97" s="12" t="s">
        <v>972</v>
      </c>
      <c r="J97" s="6" t="s">
        <v>810</v>
      </c>
      <c r="K97" s="6" t="s">
        <v>917</v>
      </c>
      <c r="L97" s="6">
        <v>1</v>
      </c>
      <c r="M97" s="6">
        <f>L97*5</f>
        <v>5</v>
      </c>
      <c r="N97" s="6" t="s">
        <v>994</v>
      </c>
      <c r="O97" s="22" t="s">
        <v>1031</v>
      </c>
      <c r="P97" s="7" t="s">
        <v>1093</v>
      </c>
      <c r="Q97" s="7">
        <f>P97*N97</f>
        <v>0.12</v>
      </c>
      <c r="R97" s="6"/>
    </row>
    <row r="98" spans="1:18" ht="36">
      <c r="A98" s="1"/>
      <c r="B98" s="9">
        <f t="shared" si="0"/>
        <v>96</v>
      </c>
      <c r="C98" s="15" t="s">
        <v>33</v>
      </c>
      <c r="D98" s="12" t="s">
        <v>136</v>
      </c>
      <c r="E98" s="12" t="s">
        <v>323</v>
      </c>
      <c r="F98" s="12" t="s">
        <v>461</v>
      </c>
      <c r="G98" s="12" t="s">
        <v>567</v>
      </c>
      <c r="H98" s="12" t="s">
        <v>698</v>
      </c>
      <c r="I98" s="12" t="s">
        <v>972</v>
      </c>
      <c r="J98" s="12" t="s">
        <v>811</v>
      </c>
      <c r="K98" s="12" t="s">
        <v>918</v>
      </c>
      <c r="L98" s="12">
        <v>1</v>
      </c>
      <c r="M98" s="12">
        <f t="shared" ref="M98" si="95">L98*5</f>
        <v>5</v>
      </c>
      <c r="N98" s="12" t="s">
        <v>994</v>
      </c>
      <c r="O98" s="22" t="s">
        <v>1031</v>
      </c>
      <c r="P98" s="13" t="s">
        <v>1024</v>
      </c>
      <c r="Q98" s="13">
        <f t="shared" ref="Q98" si="96">P98*N98</f>
        <v>0.45999999999999996</v>
      </c>
      <c r="R98" s="12"/>
    </row>
    <row r="99" spans="1:18">
      <c r="A99" s="1"/>
      <c r="B99" s="8">
        <f>ROW(B99) - ROW($B$2)</f>
        <v>97</v>
      </c>
      <c r="C99" s="14" t="s">
        <v>33</v>
      </c>
      <c r="D99" s="6" t="s">
        <v>137</v>
      </c>
      <c r="E99" s="6" t="s">
        <v>324</v>
      </c>
      <c r="F99" s="6" t="s">
        <v>461</v>
      </c>
      <c r="G99" s="6" t="s">
        <v>568</v>
      </c>
      <c r="H99" s="6" t="s">
        <v>653</v>
      </c>
      <c r="I99" s="12" t="s">
        <v>972</v>
      </c>
      <c r="J99" s="6" t="s">
        <v>812</v>
      </c>
      <c r="K99" s="6" t="s">
        <v>919</v>
      </c>
      <c r="L99" s="6">
        <v>1</v>
      </c>
      <c r="M99" s="6">
        <f>L99*5</f>
        <v>5</v>
      </c>
      <c r="N99" s="6" t="s">
        <v>994</v>
      </c>
      <c r="O99" s="22" t="s">
        <v>1031</v>
      </c>
      <c r="P99" s="7" t="s">
        <v>1093</v>
      </c>
      <c r="Q99" s="7">
        <f>P99*N99</f>
        <v>0.12</v>
      </c>
      <c r="R99" s="6"/>
    </row>
    <row r="100" spans="1:18">
      <c r="A100" s="1"/>
      <c r="B100" s="9">
        <f t="shared" si="0"/>
        <v>98</v>
      </c>
      <c r="C100" s="15" t="s">
        <v>33</v>
      </c>
      <c r="D100" s="12" t="s">
        <v>138</v>
      </c>
      <c r="E100" s="12" t="s">
        <v>325</v>
      </c>
      <c r="F100" s="12" t="s">
        <v>461</v>
      </c>
      <c r="G100" s="12" t="s">
        <v>569</v>
      </c>
      <c r="H100" s="12" t="s">
        <v>653</v>
      </c>
      <c r="I100" s="12" t="s">
        <v>972</v>
      </c>
      <c r="J100" s="12" t="s">
        <v>813</v>
      </c>
      <c r="K100" s="12" t="s">
        <v>920</v>
      </c>
      <c r="L100" s="12">
        <v>2</v>
      </c>
      <c r="M100" s="12">
        <f t="shared" ref="M100" si="97">L100*5</f>
        <v>10</v>
      </c>
      <c r="N100" s="12" t="s">
        <v>994</v>
      </c>
      <c r="O100" s="22" t="s">
        <v>1031</v>
      </c>
      <c r="P100" s="13" t="s">
        <v>1003</v>
      </c>
      <c r="Q100" s="13">
        <f t="shared" ref="Q100" si="98">P100*N100</f>
        <v>0.11</v>
      </c>
      <c r="R100" s="12"/>
    </row>
    <row r="101" spans="1:18">
      <c r="A101" s="1"/>
      <c r="B101" s="8">
        <f>ROW(B101) - ROW($B$2)</f>
        <v>99</v>
      </c>
      <c r="C101" s="14" t="s">
        <v>33</v>
      </c>
      <c r="D101" s="6" t="s">
        <v>139</v>
      </c>
      <c r="E101" s="6" t="s">
        <v>326</v>
      </c>
      <c r="F101" s="6" t="s">
        <v>461</v>
      </c>
      <c r="G101" s="6" t="s">
        <v>570</v>
      </c>
      <c r="H101" s="6" t="s">
        <v>653</v>
      </c>
      <c r="I101" s="12" t="s">
        <v>972</v>
      </c>
      <c r="J101" s="6" t="s">
        <v>814</v>
      </c>
      <c r="K101" s="6" t="s">
        <v>920</v>
      </c>
      <c r="L101" s="6">
        <v>2</v>
      </c>
      <c r="M101" s="6">
        <f>L101*5</f>
        <v>10</v>
      </c>
      <c r="N101" s="6" t="s">
        <v>998</v>
      </c>
      <c r="O101" s="22" t="s">
        <v>1031</v>
      </c>
      <c r="P101" s="7" t="s">
        <v>1094</v>
      </c>
      <c r="Q101" s="7">
        <f>P101*N101</f>
        <v>0.46600000000000003</v>
      </c>
      <c r="R101" s="6"/>
    </row>
    <row r="102" spans="1:18">
      <c r="A102" s="1"/>
      <c r="B102" s="9">
        <f t="shared" si="0"/>
        <v>100</v>
      </c>
      <c r="C102" s="15" t="s">
        <v>33</v>
      </c>
      <c r="D102" s="12" t="s">
        <v>140</v>
      </c>
      <c r="E102" s="12" t="s">
        <v>327</v>
      </c>
      <c r="F102" s="12" t="s">
        <v>461</v>
      </c>
      <c r="G102" s="12" t="s">
        <v>571</v>
      </c>
      <c r="H102" s="12" t="s">
        <v>653</v>
      </c>
      <c r="I102" s="12" t="s">
        <v>972</v>
      </c>
      <c r="J102" s="12" t="s">
        <v>815</v>
      </c>
      <c r="K102" s="12" t="s">
        <v>921</v>
      </c>
      <c r="L102" s="12">
        <v>2</v>
      </c>
      <c r="M102" s="12">
        <f t="shared" ref="M102" si="99">L102*5</f>
        <v>10</v>
      </c>
      <c r="N102" s="12" t="s">
        <v>998</v>
      </c>
      <c r="O102" s="22" t="s">
        <v>1031</v>
      </c>
      <c r="P102" s="13" t="s">
        <v>1095</v>
      </c>
      <c r="Q102" s="13">
        <f t="shared" ref="Q102" si="100">P102*N102</f>
        <v>0.48199999999999998</v>
      </c>
      <c r="R102" s="12"/>
    </row>
    <row r="103" spans="1:18">
      <c r="A103" s="1"/>
      <c r="B103" s="8">
        <f>ROW(B103) - ROW($B$2)</f>
        <v>101</v>
      </c>
      <c r="C103" s="14" t="s">
        <v>33</v>
      </c>
      <c r="D103" s="6" t="s">
        <v>141</v>
      </c>
      <c r="E103" s="6" t="s">
        <v>328</v>
      </c>
      <c r="F103" s="6" t="s">
        <v>461</v>
      </c>
      <c r="G103" s="6" t="s">
        <v>572</v>
      </c>
      <c r="H103" s="6" t="s">
        <v>653</v>
      </c>
      <c r="I103" s="12" t="s">
        <v>972</v>
      </c>
      <c r="J103" s="6" t="s">
        <v>816</v>
      </c>
      <c r="K103" s="6" t="s">
        <v>922</v>
      </c>
      <c r="L103" s="6">
        <v>2</v>
      </c>
      <c r="M103" s="6">
        <f>L103*5</f>
        <v>10</v>
      </c>
      <c r="N103" s="6" t="s">
        <v>994</v>
      </c>
      <c r="O103" s="22" t="s">
        <v>1031</v>
      </c>
      <c r="P103" s="7" t="s">
        <v>1093</v>
      </c>
      <c r="Q103" s="7">
        <f>P103*N103</f>
        <v>0.12</v>
      </c>
      <c r="R103" s="6"/>
    </row>
    <row r="104" spans="1:18" ht="36">
      <c r="A104" s="1"/>
      <c r="B104" s="9">
        <f t="shared" si="0"/>
        <v>102</v>
      </c>
      <c r="C104" s="15" t="s">
        <v>33</v>
      </c>
      <c r="D104" s="12" t="s">
        <v>142</v>
      </c>
      <c r="E104" s="12" t="s">
        <v>329</v>
      </c>
      <c r="F104" s="12" t="s">
        <v>462</v>
      </c>
      <c r="G104" s="12" t="s">
        <v>573</v>
      </c>
      <c r="H104" s="12" t="s">
        <v>697</v>
      </c>
      <c r="I104" s="12" t="s">
        <v>972</v>
      </c>
      <c r="J104" s="12" t="s">
        <v>817</v>
      </c>
      <c r="K104" s="12" t="s">
        <v>923</v>
      </c>
      <c r="L104" s="12">
        <v>1</v>
      </c>
      <c r="M104" s="12">
        <f t="shared" ref="M104" si="101">L104*5</f>
        <v>5</v>
      </c>
      <c r="N104" s="12" t="s">
        <v>994</v>
      </c>
      <c r="O104" s="22" t="s">
        <v>1031</v>
      </c>
      <c r="P104" s="13" t="s">
        <v>1002</v>
      </c>
      <c r="Q104" s="13">
        <f t="shared" ref="Q104" si="102">P104*N104</f>
        <v>0.18</v>
      </c>
      <c r="R104" s="12"/>
    </row>
    <row r="105" spans="1:18">
      <c r="A105" s="1"/>
      <c r="B105" s="8">
        <f>ROW(B105) - ROW($B$2)</f>
        <v>103</v>
      </c>
      <c r="C105" s="14" t="s">
        <v>33</v>
      </c>
      <c r="D105" s="6" t="s">
        <v>143</v>
      </c>
      <c r="E105" s="6" t="s">
        <v>330</v>
      </c>
      <c r="F105" s="6" t="s">
        <v>461</v>
      </c>
      <c r="G105" s="6" t="s">
        <v>574</v>
      </c>
      <c r="H105" s="6" t="s">
        <v>653</v>
      </c>
      <c r="I105" s="12" t="s">
        <v>972</v>
      </c>
      <c r="J105" s="6" t="s">
        <v>818</v>
      </c>
      <c r="K105" s="6" t="s">
        <v>924</v>
      </c>
      <c r="L105" s="6">
        <v>1</v>
      </c>
      <c r="M105" s="6">
        <f>L105*5</f>
        <v>5</v>
      </c>
      <c r="N105" s="6" t="s">
        <v>994</v>
      </c>
      <c r="O105" s="22" t="s">
        <v>1031</v>
      </c>
      <c r="P105" s="7" t="s">
        <v>1093</v>
      </c>
      <c r="Q105" s="7">
        <f>P105*N105</f>
        <v>0.12</v>
      </c>
      <c r="R105" s="6"/>
    </row>
    <row r="106" spans="1:18">
      <c r="A106" s="1"/>
      <c r="B106" s="9">
        <f t="shared" si="0"/>
        <v>104</v>
      </c>
      <c r="C106" s="15" t="s">
        <v>33</v>
      </c>
      <c r="D106" s="12" t="s">
        <v>144</v>
      </c>
      <c r="E106" s="12" t="s">
        <v>331</v>
      </c>
      <c r="F106" s="12" t="s">
        <v>461</v>
      </c>
      <c r="G106" s="12" t="s">
        <v>575</v>
      </c>
      <c r="H106" s="12" t="s">
        <v>653</v>
      </c>
      <c r="I106" s="12" t="s">
        <v>972</v>
      </c>
      <c r="J106" s="12" t="s">
        <v>819</v>
      </c>
      <c r="K106" s="12" t="s">
        <v>925</v>
      </c>
      <c r="L106" s="12">
        <v>2</v>
      </c>
      <c r="M106" s="12">
        <f t="shared" ref="M106" si="103">L106*5</f>
        <v>10</v>
      </c>
      <c r="N106" s="12" t="s">
        <v>994</v>
      </c>
      <c r="O106" s="22" t="s">
        <v>1031</v>
      </c>
      <c r="P106" s="13" t="s">
        <v>1006</v>
      </c>
      <c r="Q106" s="13">
        <f t="shared" ref="Q106" si="104">P106*N106</f>
        <v>0.53</v>
      </c>
      <c r="R106" s="12"/>
    </row>
    <row r="107" spans="1:18">
      <c r="A107" s="1"/>
      <c r="B107" s="8">
        <f>ROW(B107) - ROW($B$2)</f>
        <v>105</v>
      </c>
      <c r="C107" s="14" t="s">
        <v>33</v>
      </c>
      <c r="D107" s="6" t="s">
        <v>145</v>
      </c>
      <c r="E107" s="6" t="s">
        <v>332</v>
      </c>
      <c r="F107" s="6" t="s">
        <v>461</v>
      </c>
      <c r="G107" s="6" t="s">
        <v>576</v>
      </c>
      <c r="H107" s="6" t="s">
        <v>653</v>
      </c>
      <c r="I107" s="12" t="s">
        <v>972</v>
      </c>
      <c r="J107" s="6" t="s">
        <v>820</v>
      </c>
      <c r="K107" s="6" t="s">
        <v>926</v>
      </c>
      <c r="L107" s="6">
        <v>3</v>
      </c>
      <c r="M107" s="6">
        <f>L107*5</f>
        <v>15</v>
      </c>
      <c r="N107" s="6" t="s">
        <v>994</v>
      </c>
      <c r="O107" s="22" t="s">
        <v>1031</v>
      </c>
      <c r="P107" s="7" t="s">
        <v>1093</v>
      </c>
      <c r="Q107" s="7">
        <f>P107*N107</f>
        <v>0.12</v>
      </c>
      <c r="R107" s="6"/>
    </row>
    <row r="108" spans="1:18">
      <c r="A108" s="1"/>
      <c r="B108" s="9">
        <f t="shared" si="0"/>
        <v>106</v>
      </c>
      <c r="C108" s="15" t="s">
        <v>33</v>
      </c>
      <c r="D108" s="12" t="s">
        <v>146</v>
      </c>
      <c r="E108" s="12" t="s">
        <v>333</v>
      </c>
      <c r="F108" s="12" t="s">
        <v>463</v>
      </c>
      <c r="G108" s="12" t="s">
        <v>577</v>
      </c>
      <c r="H108" s="12" t="s">
        <v>653</v>
      </c>
      <c r="I108" s="12" t="s">
        <v>972</v>
      </c>
      <c r="J108" s="12" t="s">
        <v>821</v>
      </c>
      <c r="K108" s="12" t="s">
        <v>920</v>
      </c>
      <c r="L108" s="12">
        <v>5</v>
      </c>
      <c r="M108" s="12">
        <f t="shared" ref="M108" si="105">L108*5</f>
        <v>25</v>
      </c>
      <c r="N108" s="12" t="s">
        <v>994</v>
      </c>
      <c r="O108" s="22" t="s">
        <v>1031</v>
      </c>
      <c r="P108" s="13" t="s">
        <v>1001</v>
      </c>
      <c r="Q108" s="13">
        <f t="shared" ref="Q108" si="106">P108*N108</f>
        <v>6.9999999999999993E-2</v>
      </c>
      <c r="R108" s="12"/>
    </row>
    <row r="109" spans="1:18">
      <c r="A109" s="1"/>
      <c r="B109" s="8">
        <f>ROW(B109) - ROW($B$2)</f>
        <v>107</v>
      </c>
      <c r="C109" s="14" t="s">
        <v>33</v>
      </c>
      <c r="D109" s="6" t="s">
        <v>147</v>
      </c>
      <c r="E109" s="6" t="s">
        <v>334</v>
      </c>
      <c r="F109" s="6" t="s">
        <v>461</v>
      </c>
      <c r="G109" s="6" t="s">
        <v>973</v>
      </c>
      <c r="H109" s="6" t="s">
        <v>974</v>
      </c>
      <c r="I109" s="12" t="s">
        <v>972</v>
      </c>
      <c r="J109" s="6" t="s">
        <v>822</v>
      </c>
      <c r="K109" s="6" t="s">
        <v>927</v>
      </c>
      <c r="L109" s="6">
        <v>4</v>
      </c>
      <c r="M109" s="6">
        <f>L109*5</f>
        <v>20</v>
      </c>
      <c r="N109" s="6" t="s">
        <v>998</v>
      </c>
      <c r="O109" s="22" t="s">
        <v>1031</v>
      </c>
      <c r="P109" s="7" t="s">
        <v>1096</v>
      </c>
      <c r="Q109" s="7">
        <f>P109*N109</f>
        <v>0.57399999999999995</v>
      </c>
      <c r="R109" s="6"/>
    </row>
    <row r="110" spans="1:18">
      <c r="A110" s="1"/>
      <c r="B110" s="9">
        <f t="shared" si="0"/>
        <v>108</v>
      </c>
      <c r="C110" s="15" t="s">
        <v>33</v>
      </c>
      <c r="D110" s="12" t="s">
        <v>148</v>
      </c>
      <c r="E110" s="12" t="s">
        <v>335</v>
      </c>
      <c r="F110" s="12" t="s">
        <v>461</v>
      </c>
      <c r="G110" s="12" t="s">
        <v>578</v>
      </c>
      <c r="H110" s="12" t="s">
        <v>653</v>
      </c>
      <c r="I110" s="12" t="s">
        <v>972</v>
      </c>
      <c r="J110" s="12" t="s">
        <v>823</v>
      </c>
      <c r="K110" s="12" t="s">
        <v>928</v>
      </c>
      <c r="L110" s="12">
        <v>1</v>
      </c>
      <c r="M110" s="12">
        <f t="shared" ref="M110" si="107">L110*5</f>
        <v>5</v>
      </c>
      <c r="N110" s="12" t="s">
        <v>995</v>
      </c>
      <c r="O110" s="22" t="s">
        <v>1031</v>
      </c>
      <c r="P110" s="13" t="s">
        <v>1097</v>
      </c>
      <c r="Q110" s="13">
        <f t="shared" ref="Q110" si="108">P110*N110</f>
        <v>0.41000000000000003</v>
      </c>
      <c r="R110" s="12"/>
    </row>
    <row r="111" spans="1:18">
      <c r="A111" s="1"/>
      <c r="B111" s="8">
        <f>ROW(B111) - ROW($B$2)</f>
        <v>109</v>
      </c>
      <c r="C111" s="14" t="s">
        <v>33</v>
      </c>
      <c r="D111" s="6" t="s">
        <v>149</v>
      </c>
      <c r="E111" s="6" t="s">
        <v>336</v>
      </c>
      <c r="F111" s="6" t="s">
        <v>461</v>
      </c>
      <c r="G111" s="6" t="s">
        <v>579</v>
      </c>
      <c r="H111" s="6" t="s">
        <v>653</v>
      </c>
      <c r="I111" s="12" t="s">
        <v>972</v>
      </c>
      <c r="J111" s="6" t="s">
        <v>824</v>
      </c>
      <c r="K111" s="6" t="s">
        <v>929</v>
      </c>
      <c r="L111" s="6">
        <v>4</v>
      </c>
      <c r="M111" s="6">
        <f>L111*5</f>
        <v>20</v>
      </c>
      <c r="N111" s="6" t="s">
        <v>994</v>
      </c>
      <c r="O111" s="22" t="s">
        <v>1031</v>
      </c>
      <c r="P111" s="7" t="s">
        <v>1093</v>
      </c>
      <c r="Q111" s="7">
        <f>P111*N111</f>
        <v>0.12</v>
      </c>
      <c r="R111" s="6"/>
    </row>
    <row r="112" spans="1:18">
      <c r="A112" s="1"/>
      <c r="B112" s="9">
        <f t="shared" si="0"/>
        <v>110</v>
      </c>
      <c r="C112" s="15" t="s">
        <v>33</v>
      </c>
      <c r="D112" s="12" t="s">
        <v>150</v>
      </c>
      <c r="E112" s="12" t="s">
        <v>337</v>
      </c>
      <c r="F112" s="12" t="s">
        <v>461</v>
      </c>
      <c r="G112" s="12" t="s">
        <v>580</v>
      </c>
      <c r="H112" s="12" t="s">
        <v>653</v>
      </c>
      <c r="I112" s="12" t="s">
        <v>972</v>
      </c>
      <c r="J112" s="12" t="s">
        <v>825</v>
      </c>
      <c r="K112" s="12" t="s">
        <v>927</v>
      </c>
      <c r="L112" s="12">
        <v>7</v>
      </c>
      <c r="M112" s="12">
        <f t="shared" ref="M112" si="109">L112*5</f>
        <v>35</v>
      </c>
      <c r="N112" s="12" t="s">
        <v>994</v>
      </c>
      <c r="O112" s="22" t="s">
        <v>1031</v>
      </c>
      <c r="P112" s="13" t="s">
        <v>1003</v>
      </c>
      <c r="Q112" s="13">
        <f t="shared" ref="Q112" si="110">P112*N112</f>
        <v>0.11</v>
      </c>
      <c r="R112" s="12"/>
    </row>
    <row r="113" spans="1:18">
      <c r="A113" s="1"/>
      <c r="B113" s="8">
        <f>ROW(B113) - ROW($B$2)</f>
        <v>111</v>
      </c>
      <c r="C113" s="15" t="s">
        <v>33</v>
      </c>
      <c r="D113" s="6" t="s">
        <v>151</v>
      </c>
      <c r="E113" s="6" t="s">
        <v>338</v>
      </c>
      <c r="F113" s="6" t="s">
        <v>461</v>
      </c>
      <c r="G113" s="6" t="s">
        <v>581</v>
      </c>
      <c r="H113" s="6" t="s">
        <v>653</v>
      </c>
      <c r="I113" s="12" t="s">
        <v>972</v>
      </c>
      <c r="J113" s="6" t="s">
        <v>826</v>
      </c>
      <c r="K113" s="6" t="s">
        <v>930</v>
      </c>
      <c r="L113" s="6">
        <v>2</v>
      </c>
      <c r="M113" s="6">
        <f>L113*5</f>
        <v>10</v>
      </c>
      <c r="N113" s="6" t="s">
        <v>994</v>
      </c>
      <c r="O113" s="22" t="s">
        <v>1031</v>
      </c>
      <c r="P113" s="7" t="s">
        <v>1093</v>
      </c>
      <c r="Q113" s="7">
        <f>P113*N113</f>
        <v>0.12</v>
      </c>
      <c r="R113" s="6"/>
    </row>
    <row r="114" spans="1:18">
      <c r="A114" s="1"/>
      <c r="B114" s="9">
        <f t="shared" si="0"/>
        <v>112</v>
      </c>
      <c r="C114" s="15" t="s">
        <v>33</v>
      </c>
      <c r="D114" s="17" t="s">
        <v>152</v>
      </c>
      <c r="E114" s="17" t="s">
        <v>339</v>
      </c>
      <c r="F114" s="17" t="s">
        <v>463</v>
      </c>
      <c r="G114" s="17" t="s">
        <v>582</v>
      </c>
      <c r="H114" s="17" t="s">
        <v>653</v>
      </c>
      <c r="I114" s="18" t="s">
        <v>972</v>
      </c>
      <c r="J114" s="17" t="s">
        <v>827</v>
      </c>
      <c r="K114" s="17" t="s">
        <v>931</v>
      </c>
      <c r="L114" s="17">
        <v>1</v>
      </c>
      <c r="M114" s="17">
        <f t="shared" ref="M114" si="111">L114*5</f>
        <v>5</v>
      </c>
      <c r="N114" s="17" t="s">
        <v>994</v>
      </c>
      <c r="O114" s="22" t="s">
        <v>1031</v>
      </c>
      <c r="P114" s="18" t="s">
        <v>972</v>
      </c>
      <c r="Q114" s="18" t="s">
        <v>972</v>
      </c>
      <c r="R114" s="21" t="s">
        <v>991</v>
      </c>
    </row>
    <row r="115" spans="1:18">
      <c r="A115" s="1"/>
      <c r="B115" s="8">
        <f>ROW(B115) - ROW($B$2)</f>
        <v>113</v>
      </c>
      <c r="C115" s="14" t="s">
        <v>33</v>
      </c>
      <c r="D115" s="19" t="s">
        <v>153</v>
      </c>
      <c r="E115" s="19" t="s">
        <v>340</v>
      </c>
      <c r="F115" s="19" t="s">
        <v>461</v>
      </c>
      <c r="G115" s="19" t="s">
        <v>583</v>
      </c>
      <c r="H115" s="19" t="s">
        <v>653</v>
      </c>
      <c r="I115" s="20" t="s">
        <v>972</v>
      </c>
      <c r="J115" s="19" t="s">
        <v>828</v>
      </c>
      <c r="K115" s="19" t="s">
        <v>931</v>
      </c>
      <c r="L115" s="19">
        <v>3</v>
      </c>
      <c r="M115" s="19">
        <f>L115*5</f>
        <v>15</v>
      </c>
      <c r="N115" s="19" t="s">
        <v>994</v>
      </c>
      <c r="O115" s="22" t="s">
        <v>1031</v>
      </c>
      <c r="P115" s="20" t="s">
        <v>972</v>
      </c>
      <c r="Q115" s="20" t="s">
        <v>972</v>
      </c>
      <c r="R115" s="21" t="s">
        <v>991</v>
      </c>
    </row>
    <row r="116" spans="1:18" ht="84">
      <c r="A116" s="1"/>
      <c r="B116" s="9">
        <f t="shared" si="0"/>
        <v>114</v>
      </c>
      <c r="C116" s="15" t="s">
        <v>33</v>
      </c>
      <c r="D116" s="12" t="s">
        <v>154</v>
      </c>
      <c r="E116" s="12" t="s">
        <v>340</v>
      </c>
      <c r="F116" s="12" t="s">
        <v>461</v>
      </c>
      <c r="G116" s="12" t="s">
        <v>583</v>
      </c>
      <c r="H116" s="12" t="s">
        <v>653</v>
      </c>
      <c r="I116" s="12" t="s">
        <v>972</v>
      </c>
      <c r="J116" s="12" t="s">
        <v>828</v>
      </c>
      <c r="K116" s="12" t="s">
        <v>932</v>
      </c>
      <c r="L116" s="12">
        <v>44</v>
      </c>
      <c r="M116" s="12">
        <f t="shared" ref="M116" si="112">L116*5</f>
        <v>220</v>
      </c>
      <c r="N116" s="12" t="s">
        <v>1090</v>
      </c>
      <c r="O116" s="22" t="s">
        <v>1031</v>
      </c>
      <c r="P116" s="13" t="s">
        <v>1003</v>
      </c>
      <c r="Q116" s="13">
        <f t="shared" ref="Q116" si="113">P116*N116</f>
        <v>0.33</v>
      </c>
      <c r="R116" s="12"/>
    </row>
    <row r="117" spans="1:18">
      <c r="A117" s="1"/>
      <c r="B117" s="8">
        <f>ROW(B117) - ROW($B$2)</f>
        <v>115</v>
      </c>
      <c r="C117" s="14" t="s">
        <v>33</v>
      </c>
      <c r="D117" s="6" t="s">
        <v>155</v>
      </c>
      <c r="E117" s="6" t="s">
        <v>341</v>
      </c>
      <c r="F117" s="6" t="s">
        <v>461</v>
      </c>
      <c r="G117" s="6" t="s">
        <v>584</v>
      </c>
      <c r="H117" s="6" t="s">
        <v>653</v>
      </c>
      <c r="I117" s="12" t="s">
        <v>972</v>
      </c>
      <c r="J117" s="6" t="s">
        <v>829</v>
      </c>
      <c r="K117" s="6" t="s">
        <v>922</v>
      </c>
      <c r="L117" s="6">
        <v>1</v>
      </c>
      <c r="M117" s="6">
        <f>L117*5</f>
        <v>5</v>
      </c>
      <c r="N117" s="6" t="s">
        <v>998</v>
      </c>
      <c r="O117" s="22" t="s">
        <v>1031</v>
      </c>
      <c r="P117" s="7" t="s">
        <v>1099</v>
      </c>
      <c r="Q117" s="7">
        <f>P117*N117</f>
        <v>0.40599999999999997</v>
      </c>
      <c r="R117" s="6"/>
    </row>
    <row r="118" spans="1:18">
      <c r="A118" s="1"/>
      <c r="B118" s="9">
        <f t="shared" si="0"/>
        <v>116</v>
      </c>
      <c r="C118" s="15" t="s">
        <v>33</v>
      </c>
      <c r="D118" s="12" t="s">
        <v>156</v>
      </c>
      <c r="E118" s="12" t="s">
        <v>342</v>
      </c>
      <c r="F118" s="12" t="s">
        <v>464</v>
      </c>
      <c r="G118" s="12" t="s">
        <v>585</v>
      </c>
      <c r="H118" s="12" t="s">
        <v>653</v>
      </c>
      <c r="I118" s="12" t="s">
        <v>972</v>
      </c>
      <c r="J118" s="12" t="s">
        <v>830</v>
      </c>
      <c r="K118" s="12" t="s">
        <v>933</v>
      </c>
      <c r="L118" s="12">
        <v>1</v>
      </c>
      <c r="M118" s="12">
        <f t="shared" ref="M118" si="114">L118*5</f>
        <v>5</v>
      </c>
      <c r="N118" s="12" t="s">
        <v>994</v>
      </c>
      <c r="O118" s="22" t="s">
        <v>1031</v>
      </c>
      <c r="P118" s="13" t="s">
        <v>1010</v>
      </c>
      <c r="Q118" s="13">
        <f t="shared" ref="Q118" si="115">P118*N118</f>
        <v>0.22</v>
      </c>
      <c r="R118" s="12"/>
    </row>
    <row r="119" spans="1:18">
      <c r="A119" s="1"/>
      <c r="B119" s="8">
        <f>ROW(B119) - ROW($B$2)</f>
        <v>117</v>
      </c>
      <c r="C119" s="14" t="s">
        <v>33</v>
      </c>
      <c r="D119" s="6" t="s">
        <v>157</v>
      </c>
      <c r="E119" s="6" t="s">
        <v>343</v>
      </c>
      <c r="F119" s="6" t="s">
        <v>461</v>
      </c>
      <c r="G119" s="6" t="s">
        <v>586</v>
      </c>
      <c r="H119" s="6" t="s">
        <v>653</v>
      </c>
      <c r="I119" s="12" t="s">
        <v>972</v>
      </c>
      <c r="J119" s="6" t="s">
        <v>831</v>
      </c>
      <c r="K119" s="6" t="s">
        <v>934</v>
      </c>
      <c r="L119" s="6">
        <v>4</v>
      </c>
      <c r="M119" s="6">
        <f>L119*5</f>
        <v>20</v>
      </c>
      <c r="N119" s="6" t="s">
        <v>994</v>
      </c>
      <c r="O119" s="22" t="s">
        <v>1031</v>
      </c>
      <c r="P119" s="7" t="s">
        <v>1003</v>
      </c>
      <c r="Q119" s="7">
        <f>P119*N119</f>
        <v>0.11</v>
      </c>
      <c r="R119" s="6"/>
    </row>
    <row r="120" spans="1:18">
      <c r="A120" s="1"/>
      <c r="B120" s="9">
        <f t="shared" si="0"/>
        <v>118</v>
      </c>
      <c r="C120" s="15" t="s">
        <v>33</v>
      </c>
      <c r="D120" s="12" t="s">
        <v>158</v>
      </c>
      <c r="E120" s="12" t="s">
        <v>344</v>
      </c>
      <c r="F120" s="12" t="s">
        <v>461</v>
      </c>
      <c r="G120" s="12" t="s">
        <v>587</v>
      </c>
      <c r="H120" s="12" t="s">
        <v>653</v>
      </c>
      <c r="I120" s="12" t="s">
        <v>972</v>
      </c>
      <c r="J120" s="12" t="s">
        <v>832</v>
      </c>
      <c r="K120" s="12" t="s">
        <v>935</v>
      </c>
      <c r="L120" s="12">
        <v>1</v>
      </c>
      <c r="M120" s="12">
        <f t="shared" ref="M120" si="116">L120*5</f>
        <v>5</v>
      </c>
      <c r="N120" s="12" t="s">
        <v>998</v>
      </c>
      <c r="O120" s="22" t="s">
        <v>1031</v>
      </c>
      <c r="P120" s="13" t="s">
        <v>1100</v>
      </c>
      <c r="Q120" s="13">
        <f t="shared" ref="Q120" si="117">P120*N120</f>
        <v>0.47600000000000003</v>
      </c>
      <c r="R120" s="12"/>
    </row>
    <row r="121" spans="1:18">
      <c r="A121" s="1"/>
      <c r="B121" s="8">
        <f>ROW(B121) - ROW($B$2)</f>
        <v>119</v>
      </c>
      <c r="C121" s="15" t="s">
        <v>33</v>
      </c>
      <c r="D121" s="6" t="s">
        <v>159</v>
      </c>
      <c r="E121" s="6" t="s">
        <v>345</v>
      </c>
      <c r="F121" s="6" t="s">
        <v>462</v>
      </c>
      <c r="G121" s="6" t="s">
        <v>588</v>
      </c>
      <c r="H121" s="6" t="s">
        <v>699</v>
      </c>
      <c r="I121" s="12" t="s">
        <v>972</v>
      </c>
      <c r="J121" s="6" t="s">
        <v>833</v>
      </c>
      <c r="K121" s="6" t="s">
        <v>936</v>
      </c>
      <c r="L121" s="6">
        <v>2</v>
      </c>
      <c r="M121" s="6">
        <f>L121*5</f>
        <v>10</v>
      </c>
      <c r="N121" s="6" t="s">
        <v>1007</v>
      </c>
      <c r="O121" s="22" t="s">
        <v>1031</v>
      </c>
      <c r="P121" s="7" t="s">
        <v>1101</v>
      </c>
      <c r="Q121" s="7">
        <f>P121*N121</f>
        <v>0.97199999999999998</v>
      </c>
      <c r="R121" s="6"/>
    </row>
    <row r="122" spans="1:18">
      <c r="A122" s="1"/>
      <c r="B122" s="9">
        <f t="shared" si="0"/>
        <v>120</v>
      </c>
      <c r="C122" s="15" t="s">
        <v>33</v>
      </c>
      <c r="D122" s="12" t="s">
        <v>160</v>
      </c>
      <c r="E122" s="12" t="s">
        <v>346</v>
      </c>
      <c r="F122" s="12" t="s">
        <v>461</v>
      </c>
      <c r="G122" s="12" t="s">
        <v>589</v>
      </c>
      <c r="H122" s="12" t="s">
        <v>653</v>
      </c>
      <c r="I122" s="12" t="s">
        <v>972</v>
      </c>
      <c r="J122" s="12" t="s">
        <v>834</v>
      </c>
      <c r="K122" s="12" t="s">
        <v>937</v>
      </c>
      <c r="L122" s="12">
        <v>2</v>
      </c>
      <c r="M122" s="12">
        <f t="shared" ref="M122" si="118">L122*5</f>
        <v>10</v>
      </c>
      <c r="N122" s="12" t="s">
        <v>994</v>
      </c>
      <c r="O122" s="22" t="s">
        <v>1031</v>
      </c>
      <c r="P122" s="13" t="s">
        <v>1093</v>
      </c>
      <c r="Q122" s="13">
        <f t="shared" ref="Q122" si="119">P122*N122</f>
        <v>0.12</v>
      </c>
      <c r="R122" s="12"/>
    </row>
    <row r="123" spans="1:18">
      <c r="A123" s="1"/>
      <c r="B123" s="8">
        <f>ROW(B123) - ROW($B$2)</f>
        <v>121</v>
      </c>
      <c r="C123" s="14" t="s">
        <v>34</v>
      </c>
      <c r="D123" s="6" t="s">
        <v>161</v>
      </c>
      <c r="E123" s="6" t="s">
        <v>347</v>
      </c>
      <c r="F123" s="6" t="s">
        <v>464</v>
      </c>
      <c r="G123" s="6" t="s">
        <v>590</v>
      </c>
      <c r="H123" s="6" t="s">
        <v>653</v>
      </c>
      <c r="I123" s="12" t="s">
        <v>972</v>
      </c>
      <c r="J123" s="6" t="s">
        <v>835</v>
      </c>
      <c r="K123" s="6" t="s">
        <v>938</v>
      </c>
      <c r="L123" s="6">
        <v>1</v>
      </c>
      <c r="M123" s="6">
        <f>L123*5</f>
        <v>5</v>
      </c>
      <c r="N123" s="6" t="s">
        <v>994</v>
      </c>
      <c r="O123" s="22" t="s">
        <v>1031</v>
      </c>
      <c r="P123" s="7" t="s">
        <v>1102</v>
      </c>
      <c r="Q123" s="7">
        <f>P123*N123</f>
        <v>0.49</v>
      </c>
      <c r="R123" s="6"/>
    </row>
    <row r="124" spans="1:18">
      <c r="A124" s="1"/>
      <c r="B124" s="9">
        <f t="shared" si="0"/>
        <v>122</v>
      </c>
      <c r="C124" s="15" t="s">
        <v>33</v>
      </c>
      <c r="D124" s="12" t="s">
        <v>162</v>
      </c>
      <c r="E124" s="12" t="s">
        <v>348</v>
      </c>
      <c r="F124" s="12" t="s">
        <v>463</v>
      </c>
      <c r="G124" s="12" t="s">
        <v>591</v>
      </c>
      <c r="H124" s="12" t="s">
        <v>653</v>
      </c>
      <c r="I124" s="12" t="s">
        <v>972</v>
      </c>
      <c r="J124" s="12" t="s">
        <v>836</v>
      </c>
      <c r="K124" s="12" t="s">
        <v>939</v>
      </c>
      <c r="L124" s="12">
        <v>1</v>
      </c>
      <c r="M124" s="12">
        <f t="shared" ref="M124" si="120">L124*5</f>
        <v>5</v>
      </c>
      <c r="N124" s="12" t="s">
        <v>1007</v>
      </c>
      <c r="O124" s="22" t="s">
        <v>1031</v>
      </c>
      <c r="P124" s="13" t="s">
        <v>1103</v>
      </c>
      <c r="Q124" s="13">
        <f t="shared" ref="Q124" si="121">P124*N124</f>
        <v>0.44200000000000006</v>
      </c>
      <c r="R124" s="12"/>
    </row>
    <row r="125" spans="1:18">
      <c r="A125" s="1"/>
      <c r="B125" s="8">
        <f>ROW(B125) - ROW($B$2)</f>
        <v>123</v>
      </c>
      <c r="C125" s="14" t="s">
        <v>33</v>
      </c>
      <c r="D125" s="6" t="s">
        <v>163</v>
      </c>
      <c r="E125" s="6" t="s">
        <v>349</v>
      </c>
      <c r="F125" s="6" t="s">
        <v>463</v>
      </c>
      <c r="G125" s="6" t="s">
        <v>592</v>
      </c>
      <c r="H125" s="6" t="s">
        <v>653</v>
      </c>
      <c r="I125" s="12" t="s">
        <v>972</v>
      </c>
      <c r="J125" s="6" t="s">
        <v>837</v>
      </c>
      <c r="K125" s="6" t="s">
        <v>940</v>
      </c>
      <c r="L125" s="6">
        <v>1</v>
      </c>
      <c r="M125" s="6">
        <f>L125*5</f>
        <v>5</v>
      </c>
      <c r="N125" s="6" t="s">
        <v>995</v>
      </c>
      <c r="O125" s="22" t="s">
        <v>1031</v>
      </c>
      <c r="P125" s="7" t="s">
        <v>1104</v>
      </c>
      <c r="Q125" s="7">
        <f>P125*N125</f>
        <v>0.9900000000000001</v>
      </c>
      <c r="R125" s="6"/>
    </row>
    <row r="126" spans="1:18">
      <c r="A126" s="1"/>
      <c r="B126" s="9">
        <f t="shared" si="0"/>
        <v>124</v>
      </c>
      <c r="C126" s="15" t="s">
        <v>33</v>
      </c>
      <c r="D126" s="12" t="s">
        <v>164</v>
      </c>
      <c r="E126" s="12" t="s">
        <v>350</v>
      </c>
      <c r="F126" s="12" t="s">
        <v>461</v>
      </c>
      <c r="G126" s="12" t="s">
        <v>593</v>
      </c>
      <c r="H126" s="12" t="s">
        <v>653</v>
      </c>
      <c r="I126" s="12" t="s">
        <v>972</v>
      </c>
      <c r="J126" s="12" t="s">
        <v>838</v>
      </c>
      <c r="K126" s="12" t="s">
        <v>941</v>
      </c>
      <c r="L126" s="12">
        <v>1</v>
      </c>
      <c r="M126" s="12">
        <f t="shared" ref="M126" si="122">L126*5</f>
        <v>5</v>
      </c>
      <c r="N126" s="12" t="s">
        <v>1007</v>
      </c>
      <c r="O126" s="22" t="s">
        <v>1031</v>
      </c>
      <c r="P126" s="13" t="s">
        <v>1105</v>
      </c>
      <c r="Q126" s="13">
        <f t="shared" ref="Q126" si="123">P126*N126</f>
        <v>0.65900000000000003</v>
      </c>
      <c r="R126" s="12"/>
    </row>
    <row r="127" spans="1:18" ht="24">
      <c r="A127" s="1"/>
      <c r="B127" s="8">
        <f>ROW(B127) - ROW($B$2)</f>
        <v>125</v>
      </c>
      <c r="C127" s="14" t="s">
        <v>34</v>
      </c>
      <c r="D127" s="6" t="s">
        <v>165</v>
      </c>
      <c r="E127" s="6" t="s">
        <v>351</v>
      </c>
      <c r="F127" s="6" t="s">
        <v>463</v>
      </c>
      <c r="G127" s="6" t="s">
        <v>594</v>
      </c>
      <c r="H127" s="6" t="s">
        <v>653</v>
      </c>
      <c r="I127" s="12" t="s">
        <v>972</v>
      </c>
      <c r="J127" s="6" t="s">
        <v>839</v>
      </c>
      <c r="K127" s="6" t="s">
        <v>932</v>
      </c>
      <c r="L127" s="6">
        <v>10</v>
      </c>
      <c r="M127" s="6">
        <f>L127*5</f>
        <v>50</v>
      </c>
      <c r="N127" s="6" t="s">
        <v>994</v>
      </c>
      <c r="O127" s="22" t="s">
        <v>1031</v>
      </c>
      <c r="P127" s="7" t="s">
        <v>1098</v>
      </c>
      <c r="Q127" s="7">
        <f>P127*N127</f>
        <v>0.06</v>
      </c>
      <c r="R127" s="6"/>
    </row>
    <row r="128" spans="1:18">
      <c r="A128" s="1"/>
      <c r="B128" s="9">
        <f t="shared" si="0"/>
        <v>126</v>
      </c>
      <c r="C128" s="15" t="s">
        <v>33</v>
      </c>
      <c r="D128" s="12" t="s">
        <v>166</v>
      </c>
      <c r="E128" s="12" t="s">
        <v>352</v>
      </c>
      <c r="F128" s="12" t="s">
        <v>464</v>
      </c>
      <c r="G128" s="12" t="s">
        <v>595</v>
      </c>
      <c r="H128" s="12" t="s">
        <v>653</v>
      </c>
      <c r="I128" s="12" t="s">
        <v>972</v>
      </c>
      <c r="J128" s="12" t="s">
        <v>840</v>
      </c>
      <c r="K128" s="12" t="s">
        <v>942</v>
      </c>
      <c r="L128" s="12">
        <v>1</v>
      </c>
      <c r="M128" s="12">
        <f t="shared" ref="M128" si="124">L128*5</f>
        <v>5</v>
      </c>
      <c r="N128" s="12" t="s">
        <v>994</v>
      </c>
      <c r="O128" s="22" t="s">
        <v>1031</v>
      </c>
      <c r="P128" s="13" t="s">
        <v>1106</v>
      </c>
      <c r="Q128" s="13">
        <f t="shared" ref="Q128" si="125">P128*N128</f>
        <v>0.27</v>
      </c>
      <c r="R128" s="12"/>
    </row>
    <row r="129" spans="1:18">
      <c r="A129" s="1"/>
      <c r="B129" s="8">
        <f>ROW(B129) - ROW($B$2)</f>
        <v>127</v>
      </c>
      <c r="C129" s="14" t="s">
        <v>33</v>
      </c>
      <c r="D129" s="6" t="s">
        <v>167</v>
      </c>
      <c r="E129" s="6" t="s">
        <v>353</v>
      </c>
      <c r="F129" s="6" t="s">
        <v>461</v>
      </c>
      <c r="G129" s="6" t="s">
        <v>596</v>
      </c>
      <c r="H129" s="6" t="s">
        <v>653</v>
      </c>
      <c r="I129" s="12" t="s">
        <v>972</v>
      </c>
      <c r="J129" s="6" t="s">
        <v>841</v>
      </c>
      <c r="K129" s="6" t="s">
        <v>943</v>
      </c>
      <c r="L129" s="6">
        <v>1</v>
      </c>
      <c r="M129" s="6">
        <f>L129*5</f>
        <v>5</v>
      </c>
      <c r="N129" s="6" t="s">
        <v>994</v>
      </c>
      <c r="O129" s="22" t="s">
        <v>1031</v>
      </c>
      <c r="P129" s="7" t="s">
        <v>1093</v>
      </c>
      <c r="Q129" s="7">
        <f>P129*N129</f>
        <v>0.12</v>
      </c>
      <c r="R129" s="6"/>
    </row>
    <row r="130" spans="1:18" ht="36">
      <c r="A130" s="1"/>
      <c r="B130" s="9">
        <f t="shared" si="0"/>
        <v>128</v>
      </c>
      <c r="C130" s="15" t="s">
        <v>33</v>
      </c>
      <c r="D130" s="12" t="s">
        <v>168</v>
      </c>
      <c r="E130" s="12" t="s">
        <v>354</v>
      </c>
      <c r="F130" s="12" t="s">
        <v>461</v>
      </c>
      <c r="G130" s="12" t="s">
        <v>597</v>
      </c>
      <c r="H130" s="12" t="s">
        <v>700</v>
      </c>
      <c r="I130" s="12" t="s">
        <v>972</v>
      </c>
      <c r="J130" s="12" t="s">
        <v>842</v>
      </c>
      <c r="K130" s="12" t="s">
        <v>939</v>
      </c>
      <c r="L130" s="12">
        <v>1</v>
      </c>
      <c r="M130" s="12">
        <f t="shared" ref="M130" si="126">L130*5</f>
        <v>5</v>
      </c>
      <c r="N130" s="12" t="s">
        <v>998</v>
      </c>
      <c r="O130" s="22" t="s">
        <v>1031</v>
      </c>
      <c r="P130" s="13" t="s">
        <v>1107</v>
      </c>
      <c r="Q130" s="13">
        <f t="shared" ref="Q130" si="127">P130*N130</f>
        <v>0.52600000000000002</v>
      </c>
      <c r="R130" s="12"/>
    </row>
    <row r="131" spans="1:18">
      <c r="A131" s="1"/>
      <c r="B131" s="8">
        <f>ROW(B131) - ROW($B$2)</f>
        <v>129</v>
      </c>
      <c r="C131" s="14" t="s">
        <v>33</v>
      </c>
      <c r="D131" s="6" t="s">
        <v>169</v>
      </c>
      <c r="E131" s="6" t="s">
        <v>355</v>
      </c>
      <c r="F131" s="6" t="s">
        <v>463</v>
      </c>
      <c r="G131" s="6" t="s">
        <v>598</v>
      </c>
      <c r="H131" s="6" t="s">
        <v>653</v>
      </c>
      <c r="I131" s="12" t="s">
        <v>972</v>
      </c>
      <c r="J131" s="6" t="s">
        <v>843</v>
      </c>
      <c r="K131" s="6" t="s">
        <v>944</v>
      </c>
      <c r="L131" s="6">
        <v>1</v>
      </c>
      <c r="M131" s="6">
        <f>L131*5</f>
        <v>5</v>
      </c>
      <c r="N131" s="6" t="s">
        <v>995</v>
      </c>
      <c r="O131" s="22" t="s">
        <v>1031</v>
      </c>
      <c r="P131" s="7" t="s">
        <v>1108</v>
      </c>
      <c r="Q131" s="7">
        <f>P131*N131</f>
        <v>1.0049999999999999</v>
      </c>
      <c r="R131" s="6"/>
    </row>
    <row r="132" spans="1:18">
      <c r="A132" s="1"/>
      <c r="B132" s="9">
        <f t="shared" si="0"/>
        <v>130</v>
      </c>
      <c r="C132" s="15" t="s">
        <v>33</v>
      </c>
      <c r="D132" s="12" t="s">
        <v>170</v>
      </c>
      <c r="E132" s="12" t="s">
        <v>356</v>
      </c>
      <c r="F132" s="12" t="s">
        <v>465</v>
      </c>
      <c r="G132" s="12" t="s">
        <v>599</v>
      </c>
      <c r="H132" s="12" t="s">
        <v>653</v>
      </c>
      <c r="I132" s="12" t="s">
        <v>972</v>
      </c>
      <c r="J132" s="12" t="s">
        <v>844</v>
      </c>
      <c r="K132" s="12" t="s">
        <v>932</v>
      </c>
      <c r="L132" s="12">
        <v>1</v>
      </c>
      <c r="M132" s="12">
        <f t="shared" ref="M132" si="128">L132*5</f>
        <v>5</v>
      </c>
      <c r="N132" s="12" t="s">
        <v>998</v>
      </c>
      <c r="O132" s="22" t="s">
        <v>1031</v>
      </c>
      <c r="P132" s="13" t="s">
        <v>1109</v>
      </c>
      <c r="Q132" s="13">
        <f t="shared" ref="Q132" si="129">P132*N132</f>
        <v>0.63400000000000001</v>
      </c>
      <c r="R132" s="12"/>
    </row>
    <row r="133" spans="1:18">
      <c r="A133" s="1"/>
      <c r="B133" s="8">
        <f>ROW(B133) - ROW($B$2)</f>
        <v>131</v>
      </c>
      <c r="C133" s="15" t="s">
        <v>33</v>
      </c>
      <c r="D133" s="6" t="s">
        <v>171</v>
      </c>
      <c r="E133" s="6" t="s">
        <v>357</v>
      </c>
      <c r="F133" s="6" t="s">
        <v>463</v>
      </c>
      <c r="G133" s="6" t="s">
        <v>600</v>
      </c>
      <c r="H133" s="6" t="s">
        <v>653</v>
      </c>
      <c r="I133" s="12" t="s">
        <v>972</v>
      </c>
      <c r="J133" s="6" t="s">
        <v>845</v>
      </c>
      <c r="K133" s="6" t="s">
        <v>945</v>
      </c>
      <c r="L133" s="6">
        <v>1</v>
      </c>
      <c r="M133" s="6">
        <f>L133*5</f>
        <v>5</v>
      </c>
      <c r="N133" s="6" t="s">
        <v>994</v>
      </c>
      <c r="O133" s="22" t="s">
        <v>1031</v>
      </c>
      <c r="P133" s="7" t="s">
        <v>1110</v>
      </c>
      <c r="Q133" s="7">
        <f>P133*N133</f>
        <v>0.16</v>
      </c>
      <c r="R133" s="6"/>
    </row>
    <row r="134" spans="1:18">
      <c r="A134" s="1"/>
      <c r="B134" s="9">
        <f t="shared" si="0"/>
        <v>132</v>
      </c>
      <c r="C134" s="15" t="s">
        <v>33</v>
      </c>
      <c r="D134" s="12" t="s">
        <v>172</v>
      </c>
      <c r="E134" s="12" t="s">
        <v>358</v>
      </c>
      <c r="F134" s="12" t="s">
        <v>466</v>
      </c>
      <c r="G134" s="12" t="s">
        <v>601</v>
      </c>
      <c r="H134" s="12" t="s">
        <v>653</v>
      </c>
      <c r="I134" s="12" t="s">
        <v>972</v>
      </c>
      <c r="J134" s="12" t="s">
        <v>846</v>
      </c>
      <c r="K134" s="12" t="s">
        <v>933</v>
      </c>
      <c r="L134" s="12">
        <v>1</v>
      </c>
      <c r="M134" s="12">
        <f t="shared" ref="M134" si="130">L134*5</f>
        <v>5</v>
      </c>
      <c r="N134" s="12" t="s">
        <v>994</v>
      </c>
      <c r="O134" s="22" t="s">
        <v>1031</v>
      </c>
      <c r="P134" s="13" t="s">
        <v>1005</v>
      </c>
      <c r="Q134" s="13">
        <f t="shared" ref="Q134" si="131">P134*N134</f>
        <v>0.08</v>
      </c>
      <c r="R134" s="12"/>
    </row>
    <row r="135" spans="1:18">
      <c r="A135" s="1"/>
      <c r="B135" s="8">
        <f>ROW(B135) - ROW($B$2)</f>
        <v>133</v>
      </c>
      <c r="C135" s="14" t="s">
        <v>33</v>
      </c>
      <c r="D135" s="6" t="s">
        <v>173</v>
      </c>
      <c r="E135" s="6" t="s">
        <v>359</v>
      </c>
      <c r="F135" s="6" t="s">
        <v>463</v>
      </c>
      <c r="G135" s="6" t="s">
        <v>602</v>
      </c>
      <c r="H135" s="6" t="s">
        <v>653</v>
      </c>
      <c r="I135" s="12" t="s">
        <v>972</v>
      </c>
      <c r="J135" s="6" t="s">
        <v>847</v>
      </c>
      <c r="K135" s="6" t="s">
        <v>946</v>
      </c>
      <c r="L135" s="6">
        <v>1</v>
      </c>
      <c r="M135" s="6">
        <f>L135*5</f>
        <v>5</v>
      </c>
      <c r="N135" s="6" t="s">
        <v>994</v>
      </c>
      <c r="O135" s="22" t="s">
        <v>1031</v>
      </c>
      <c r="P135" s="7" t="s">
        <v>1001</v>
      </c>
      <c r="Q135" s="7">
        <f>P135*N135</f>
        <v>6.9999999999999993E-2</v>
      </c>
      <c r="R135" s="6"/>
    </row>
    <row r="136" spans="1:18">
      <c r="A136" s="1"/>
      <c r="B136" s="9">
        <f t="shared" si="0"/>
        <v>134</v>
      </c>
      <c r="C136" s="15" t="s">
        <v>33</v>
      </c>
      <c r="D136" s="12" t="s">
        <v>174</v>
      </c>
      <c r="E136" s="12" t="s">
        <v>360</v>
      </c>
      <c r="F136" s="12" t="s">
        <v>467</v>
      </c>
      <c r="G136" s="12" t="s">
        <v>603</v>
      </c>
      <c r="H136" s="12" t="s">
        <v>653</v>
      </c>
      <c r="I136" s="12" t="s">
        <v>972</v>
      </c>
      <c r="J136" s="12" t="s">
        <v>848</v>
      </c>
      <c r="K136" s="12" t="s">
        <v>934</v>
      </c>
      <c r="L136" s="12">
        <v>1</v>
      </c>
      <c r="M136" s="12">
        <f t="shared" ref="M136" si="132">L136*5</f>
        <v>5</v>
      </c>
      <c r="N136" s="12" t="s">
        <v>995</v>
      </c>
      <c r="O136" s="22" t="s">
        <v>1031</v>
      </c>
      <c r="P136" s="13" t="s">
        <v>1111</v>
      </c>
      <c r="Q136" s="13">
        <f t="shared" ref="Q136" si="133">P136*N136</f>
        <v>0.52</v>
      </c>
      <c r="R136" s="12"/>
    </row>
    <row r="137" spans="1:18">
      <c r="A137" s="1"/>
      <c r="B137" s="8">
        <f>ROW(B137) - ROW($B$2)</f>
        <v>135</v>
      </c>
      <c r="C137" s="14" t="s">
        <v>33</v>
      </c>
      <c r="D137" s="6" t="s">
        <v>175</v>
      </c>
      <c r="E137" s="6" t="s">
        <v>361</v>
      </c>
      <c r="F137" s="6" t="s">
        <v>461</v>
      </c>
      <c r="G137" s="6" t="s">
        <v>604</v>
      </c>
      <c r="H137" s="6" t="s">
        <v>653</v>
      </c>
      <c r="I137" s="12" t="s">
        <v>972</v>
      </c>
      <c r="J137" s="6" t="s">
        <v>849</v>
      </c>
      <c r="K137" s="6" t="s">
        <v>947</v>
      </c>
      <c r="L137" s="6">
        <v>1</v>
      </c>
      <c r="M137" s="6">
        <f>L137*5</f>
        <v>5</v>
      </c>
      <c r="N137" s="6" t="s">
        <v>998</v>
      </c>
      <c r="O137" s="22" t="s">
        <v>1031</v>
      </c>
      <c r="P137" s="7" t="s">
        <v>1112</v>
      </c>
      <c r="Q137" s="7">
        <f>P137*N137</f>
        <v>0.496</v>
      </c>
      <c r="R137" s="6"/>
    </row>
    <row r="138" spans="1:18">
      <c r="A138" s="1"/>
      <c r="B138" s="9">
        <f t="shared" si="0"/>
        <v>136</v>
      </c>
      <c r="C138" s="14" t="s">
        <v>33</v>
      </c>
      <c r="D138" s="12" t="s">
        <v>176</v>
      </c>
      <c r="E138" s="12" t="s">
        <v>362</v>
      </c>
      <c r="F138" s="12" t="s">
        <v>461</v>
      </c>
      <c r="G138" s="12" t="s">
        <v>605</v>
      </c>
      <c r="H138" s="12" t="s">
        <v>653</v>
      </c>
      <c r="I138" s="12" t="s">
        <v>972</v>
      </c>
      <c r="J138" s="12" t="s">
        <v>850</v>
      </c>
      <c r="K138" s="12" t="s">
        <v>948</v>
      </c>
      <c r="L138" s="12">
        <v>2</v>
      </c>
      <c r="M138" s="12">
        <f t="shared" ref="M138" si="134">L138*5</f>
        <v>10</v>
      </c>
      <c r="N138" s="12" t="s">
        <v>994</v>
      </c>
      <c r="O138" s="22" t="s">
        <v>1031</v>
      </c>
      <c r="P138" s="13" t="s">
        <v>1093</v>
      </c>
      <c r="Q138" s="13">
        <f t="shared" ref="Q138" si="135">P138*N138</f>
        <v>0.12</v>
      </c>
      <c r="R138" s="12"/>
    </row>
    <row r="139" spans="1:18" ht="36">
      <c r="A139" s="1"/>
      <c r="B139" s="8">
        <f>ROW(B139) - ROW($B$2)</f>
        <v>137</v>
      </c>
      <c r="C139" s="14" t="s">
        <v>33</v>
      </c>
      <c r="D139" s="6" t="s">
        <v>177</v>
      </c>
      <c r="E139" s="6" t="s">
        <v>363</v>
      </c>
      <c r="F139" s="6" t="s">
        <v>463</v>
      </c>
      <c r="G139" s="6" t="s">
        <v>606</v>
      </c>
      <c r="H139" s="6" t="s">
        <v>653</v>
      </c>
      <c r="I139" s="12" t="s">
        <v>972</v>
      </c>
      <c r="J139" s="6" t="s">
        <v>851</v>
      </c>
      <c r="K139" s="6" t="s">
        <v>927</v>
      </c>
      <c r="L139" s="6">
        <v>13</v>
      </c>
      <c r="M139" s="6">
        <f>L139*5</f>
        <v>65</v>
      </c>
      <c r="N139" s="6" t="s">
        <v>994</v>
      </c>
      <c r="O139" s="22" t="s">
        <v>1031</v>
      </c>
      <c r="P139" s="7" t="s">
        <v>1098</v>
      </c>
      <c r="Q139" s="7">
        <f>P139*N139</f>
        <v>0.06</v>
      </c>
      <c r="R139" s="6"/>
    </row>
    <row r="140" spans="1:18">
      <c r="A140" s="1"/>
      <c r="B140" s="9">
        <f t="shared" si="0"/>
        <v>138</v>
      </c>
      <c r="C140" s="15" t="s">
        <v>33</v>
      </c>
      <c r="D140" s="12" t="s">
        <v>178</v>
      </c>
      <c r="E140" s="12" t="s">
        <v>364</v>
      </c>
      <c r="F140" s="12" t="s">
        <v>461</v>
      </c>
      <c r="G140" s="12" t="s">
        <v>607</v>
      </c>
      <c r="H140" s="12" t="s">
        <v>701</v>
      </c>
      <c r="I140" s="12" t="s">
        <v>972</v>
      </c>
      <c r="J140" s="12" t="s">
        <v>852</v>
      </c>
      <c r="K140" s="12" t="s">
        <v>925</v>
      </c>
      <c r="L140" s="12">
        <v>1</v>
      </c>
      <c r="M140" s="12">
        <f t="shared" ref="M140" si="136">L140*5</f>
        <v>5</v>
      </c>
      <c r="N140" s="12" t="s">
        <v>994</v>
      </c>
      <c r="O140" s="22" t="s">
        <v>1031</v>
      </c>
      <c r="P140" s="13" t="s">
        <v>1093</v>
      </c>
      <c r="Q140" s="13">
        <f t="shared" ref="Q140" si="137">P140*N140</f>
        <v>0.12</v>
      </c>
      <c r="R140" s="12"/>
    </row>
    <row r="141" spans="1:18">
      <c r="A141" s="1"/>
      <c r="B141" s="8">
        <f>ROW(B141) - ROW($B$2)</f>
        <v>139</v>
      </c>
      <c r="C141" s="14" t="s">
        <v>33</v>
      </c>
      <c r="D141" s="6" t="s">
        <v>179</v>
      </c>
      <c r="E141" s="6" t="s">
        <v>365</v>
      </c>
      <c r="F141" s="6" t="s">
        <v>461</v>
      </c>
      <c r="G141" s="6" t="s">
        <v>608</v>
      </c>
      <c r="H141" s="6" t="s">
        <v>702</v>
      </c>
      <c r="I141" s="12" t="s">
        <v>972</v>
      </c>
      <c r="J141" s="6" t="s">
        <v>983</v>
      </c>
      <c r="K141" s="6" t="s">
        <v>949</v>
      </c>
      <c r="L141" s="6">
        <v>2</v>
      </c>
      <c r="M141" s="6">
        <f>L141*5</f>
        <v>10</v>
      </c>
      <c r="N141" s="6" t="s">
        <v>1007</v>
      </c>
      <c r="O141" s="22" t="s">
        <v>1031</v>
      </c>
      <c r="P141" s="7" t="s">
        <v>1113</v>
      </c>
      <c r="Q141" s="7">
        <f>P141*N141</f>
        <v>3.5999999999999997E-2</v>
      </c>
      <c r="R141" s="6"/>
    </row>
    <row r="142" spans="1:18">
      <c r="A142" s="1"/>
      <c r="B142" s="9">
        <f t="shared" si="0"/>
        <v>140</v>
      </c>
      <c r="C142" s="15" t="s">
        <v>33</v>
      </c>
      <c r="D142" s="12" t="s">
        <v>180</v>
      </c>
      <c r="E142" s="12" t="s">
        <v>366</v>
      </c>
      <c r="F142" s="12" t="s">
        <v>463</v>
      </c>
      <c r="G142" s="12" t="s">
        <v>609</v>
      </c>
      <c r="H142" s="12" t="s">
        <v>653</v>
      </c>
      <c r="I142" s="12" t="s">
        <v>972</v>
      </c>
      <c r="J142" s="12" t="s">
        <v>853</v>
      </c>
      <c r="K142" s="12" t="s">
        <v>934</v>
      </c>
      <c r="L142" s="12">
        <v>2</v>
      </c>
      <c r="M142" s="12">
        <f t="shared" ref="M142" si="138">L142*5</f>
        <v>10</v>
      </c>
      <c r="N142" s="12" t="s">
        <v>994</v>
      </c>
      <c r="O142" s="22" t="s">
        <v>1031</v>
      </c>
      <c r="P142" s="13" t="s">
        <v>1098</v>
      </c>
      <c r="Q142" s="13">
        <f t="shared" ref="Q142" si="139">P142*N142</f>
        <v>0.06</v>
      </c>
      <c r="R142" s="12"/>
    </row>
    <row r="143" spans="1:18">
      <c r="A143" s="1"/>
      <c r="B143" s="8">
        <f>ROW(B143) - ROW($B$2)</f>
        <v>141</v>
      </c>
      <c r="C143" s="14" t="s">
        <v>34</v>
      </c>
      <c r="D143" s="19" t="s">
        <v>181</v>
      </c>
      <c r="E143" s="19" t="s">
        <v>367</v>
      </c>
      <c r="F143" s="19" t="s">
        <v>467</v>
      </c>
      <c r="G143" s="19" t="s">
        <v>610</v>
      </c>
      <c r="H143" s="19" t="s">
        <v>653</v>
      </c>
      <c r="I143" s="12" t="s">
        <v>972</v>
      </c>
      <c r="J143" s="19" t="s">
        <v>984</v>
      </c>
      <c r="K143" s="19" t="s">
        <v>931</v>
      </c>
      <c r="L143" s="19">
        <v>1</v>
      </c>
      <c r="M143" s="19">
        <f>L143*5</f>
        <v>5</v>
      </c>
      <c r="N143" s="19" t="s">
        <v>994</v>
      </c>
      <c r="O143" s="22" t="s">
        <v>1031</v>
      </c>
      <c r="P143" s="20" t="s">
        <v>972</v>
      </c>
      <c r="Q143" s="20" t="s">
        <v>972</v>
      </c>
      <c r="R143" s="21" t="s">
        <v>991</v>
      </c>
    </row>
    <row r="144" spans="1:18" ht="48">
      <c r="A144" s="1"/>
      <c r="B144" s="9">
        <f t="shared" si="0"/>
        <v>142</v>
      </c>
      <c r="C144" s="15" t="s">
        <v>33</v>
      </c>
      <c r="D144" s="12" t="s">
        <v>182</v>
      </c>
      <c r="E144" s="12" t="s">
        <v>368</v>
      </c>
      <c r="F144" s="12" t="s">
        <v>468</v>
      </c>
      <c r="G144" s="12" t="s">
        <v>611</v>
      </c>
      <c r="H144" s="12" t="s">
        <v>703</v>
      </c>
      <c r="I144" s="12" t="s">
        <v>972</v>
      </c>
      <c r="J144" s="12" t="s">
        <v>854</v>
      </c>
      <c r="K144" s="12" t="s">
        <v>950</v>
      </c>
      <c r="L144" s="12">
        <v>1</v>
      </c>
      <c r="M144" s="12">
        <f t="shared" ref="M144" si="140">L144*5</f>
        <v>5</v>
      </c>
      <c r="N144" s="12" t="s">
        <v>1007</v>
      </c>
      <c r="O144" s="22" t="s">
        <v>1031</v>
      </c>
      <c r="P144" s="13" t="s">
        <v>1114</v>
      </c>
      <c r="Q144" s="13">
        <f t="shared" ref="Q144" si="141">P144*N144</f>
        <v>0.57099999999999995</v>
      </c>
      <c r="R144" s="12"/>
    </row>
    <row r="145" spans="1:18">
      <c r="A145" s="1"/>
      <c r="B145" s="8">
        <f>ROW(B145) - ROW($B$2)</f>
        <v>143</v>
      </c>
      <c r="C145" s="14" t="s">
        <v>34</v>
      </c>
      <c r="D145" s="6" t="s">
        <v>183</v>
      </c>
      <c r="E145" s="6" t="s">
        <v>367</v>
      </c>
      <c r="F145" s="6" t="s">
        <v>467</v>
      </c>
      <c r="G145" s="6" t="s">
        <v>610</v>
      </c>
      <c r="H145" s="6" t="s">
        <v>653</v>
      </c>
      <c r="I145" s="12" t="s">
        <v>972</v>
      </c>
      <c r="J145" s="6" t="s">
        <v>984</v>
      </c>
      <c r="K145" s="6" t="s">
        <v>932</v>
      </c>
      <c r="L145" s="6">
        <v>1</v>
      </c>
      <c r="M145" s="6">
        <f>L145*5</f>
        <v>5</v>
      </c>
      <c r="N145" s="6" t="s">
        <v>994</v>
      </c>
      <c r="O145" s="22" t="s">
        <v>1031</v>
      </c>
      <c r="P145" s="7" t="s">
        <v>1011</v>
      </c>
      <c r="Q145" s="7">
        <f>P145*N145</f>
        <v>0.31</v>
      </c>
      <c r="R145" s="6"/>
    </row>
    <row r="146" spans="1:18">
      <c r="A146" s="1"/>
      <c r="B146" s="9">
        <f t="shared" si="0"/>
        <v>144</v>
      </c>
      <c r="C146" s="15" t="s">
        <v>33</v>
      </c>
      <c r="D146" s="12" t="s">
        <v>184</v>
      </c>
      <c r="E146" s="12" t="s">
        <v>369</v>
      </c>
      <c r="F146" s="12" t="s">
        <v>461</v>
      </c>
      <c r="G146" s="12" t="s">
        <v>612</v>
      </c>
      <c r="H146" s="12" t="s">
        <v>653</v>
      </c>
      <c r="I146" s="12" t="s">
        <v>972</v>
      </c>
      <c r="J146" s="12" t="s">
        <v>855</v>
      </c>
      <c r="K146" s="12" t="s">
        <v>936</v>
      </c>
      <c r="L146" s="12">
        <v>1</v>
      </c>
      <c r="M146" s="12">
        <f t="shared" ref="M146" si="142">L146*5</f>
        <v>5</v>
      </c>
      <c r="N146" s="12" t="s">
        <v>994</v>
      </c>
      <c r="O146" s="22" t="s">
        <v>1031</v>
      </c>
      <c r="P146" s="13" t="s">
        <v>1017</v>
      </c>
      <c r="Q146" s="13">
        <f t="shared" ref="Q146" si="143">P146*N146</f>
        <v>0.1</v>
      </c>
      <c r="R146" s="12"/>
    </row>
    <row r="147" spans="1:18">
      <c r="A147" s="1"/>
      <c r="B147" s="8">
        <f>ROW(B147) - ROW($B$2)</f>
        <v>145</v>
      </c>
      <c r="C147" s="15" t="s">
        <v>33</v>
      </c>
      <c r="D147" s="6" t="s">
        <v>185</v>
      </c>
      <c r="E147" s="6" t="s">
        <v>370</v>
      </c>
      <c r="F147" s="6" t="s">
        <v>466</v>
      </c>
      <c r="G147" s="6" t="s">
        <v>613</v>
      </c>
      <c r="H147" s="6" t="s">
        <v>653</v>
      </c>
      <c r="I147" s="12" t="s">
        <v>972</v>
      </c>
      <c r="J147" s="6" t="s">
        <v>856</v>
      </c>
      <c r="K147" s="6" t="s">
        <v>948</v>
      </c>
      <c r="L147" s="6">
        <v>1</v>
      </c>
      <c r="M147" s="6">
        <f>L147*5</f>
        <v>5</v>
      </c>
      <c r="N147" s="6" t="s">
        <v>994</v>
      </c>
      <c r="O147" s="22" t="s">
        <v>1031</v>
      </c>
      <c r="P147" s="7" t="s">
        <v>1005</v>
      </c>
      <c r="Q147" s="7">
        <f>P147*N147</f>
        <v>0.08</v>
      </c>
      <c r="R147" s="6"/>
    </row>
    <row r="148" spans="1:18" ht="36">
      <c r="A148" s="1"/>
      <c r="B148" s="9">
        <f t="shared" si="0"/>
        <v>146</v>
      </c>
      <c r="C148" s="15" t="s">
        <v>33</v>
      </c>
      <c r="D148" s="12" t="s">
        <v>186</v>
      </c>
      <c r="E148" s="12" t="s">
        <v>371</v>
      </c>
      <c r="F148" s="12" t="s">
        <v>468</v>
      </c>
      <c r="G148" s="12" t="s">
        <v>614</v>
      </c>
      <c r="H148" s="12" t="s">
        <v>704</v>
      </c>
      <c r="I148" s="12" t="s">
        <v>972</v>
      </c>
      <c r="J148" s="12" t="s">
        <v>857</v>
      </c>
      <c r="K148" s="12" t="s">
        <v>932</v>
      </c>
      <c r="L148" s="12">
        <v>1</v>
      </c>
      <c r="M148" s="12">
        <f t="shared" ref="M148" si="144">L148*5</f>
        <v>5</v>
      </c>
      <c r="N148" s="12" t="s">
        <v>995</v>
      </c>
      <c r="O148" s="22" t="s">
        <v>1031</v>
      </c>
      <c r="P148" s="13" t="s">
        <v>1115</v>
      </c>
      <c r="Q148" s="13">
        <f t="shared" ref="Q148" si="145">P148*N148</f>
        <v>0.95</v>
      </c>
      <c r="R148" s="12"/>
    </row>
    <row r="149" spans="1:18">
      <c r="A149" s="1"/>
      <c r="B149" s="8">
        <f>ROW(B149) - ROW($B$2)</f>
        <v>147</v>
      </c>
      <c r="C149" s="14" t="s">
        <v>33</v>
      </c>
      <c r="D149" s="6" t="s">
        <v>187</v>
      </c>
      <c r="E149" s="6" t="s">
        <v>372</v>
      </c>
      <c r="F149" s="6" t="s">
        <v>466</v>
      </c>
      <c r="G149" s="6" t="s">
        <v>615</v>
      </c>
      <c r="H149" s="6" t="s">
        <v>653</v>
      </c>
      <c r="I149" s="12" t="s">
        <v>972</v>
      </c>
      <c r="J149" s="6" t="s">
        <v>858</v>
      </c>
      <c r="K149" s="6" t="s">
        <v>927</v>
      </c>
      <c r="L149" s="6">
        <v>5</v>
      </c>
      <c r="M149" s="6">
        <f>L149*5</f>
        <v>25</v>
      </c>
      <c r="N149" s="6" t="s">
        <v>994</v>
      </c>
      <c r="O149" s="22" t="s">
        <v>1031</v>
      </c>
      <c r="P149" s="7" t="s">
        <v>1116</v>
      </c>
      <c r="Q149" s="7">
        <f>P149*N149</f>
        <v>0.09</v>
      </c>
      <c r="R149" s="6"/>
    </row>
    <row r="150" spans="1:18">
      <c r="A150" s="1"/>
      <c r="B150" s="9">
        <f t="shared" si="0"/>
        <v>148</v>
      </c>
      <c r="C150" s="15" t="s">
        <v>33</v>
      </c>
      <c r="D150" s="12" t="s">
        <v>188</v>
      </c>
      <c r="E150" s="12" t="s">
        <v>373</v>
      </c>
      <c r="F150" s="12" t="s">
        <v>461</v>
      </c>
      <c r="G150" s="12" t="s">
        <v>616</v>
      </c>
      <c r="H150" s="12" t="s">
        <v>653</v>
      </c>
      <c r="I150" s="12" t="s">
        <v>972</v>
      </c>
      <c r="J150" s="12" t="s">
        <v>859</v>
      </c>
      <c r="K150" s="12" t="s">
        <v>951</v>
      </c>
      <c r="L150" s="12">
        <v>2</v>
      </c>
      <c r="M150" s="12">
        <f t="shared" ref="M150" si="146">L150*5</f>
        <v>10</v>
      </c>
      <c r="N150" s="12" t="s">
        <v>994</v>
      </c>
      <c r="O150" s="22" t="s">
        <v>1031</v>
      </c>
      <c r="P150" s="13" t="s">
        <v>1093</v>
      </c>
      <c r="Q150" s="13">
        <f t="shared" ref="Q150" si="147">P150*N150</f>
        <v>0.12</v>
      </c>
      <c r="R150" s="12"/>
    </row>
    <row r="151" spans="1:18">
      <c r="A151" s="1"/>
      <c r="B151" s="8">
        <f>ROW(B151) - ROW($B$2)</f>
        <v>149</v>
      </c>
      <c r="C151" s="14" t="s">
        <v>33</v>
      </c>
      <c r="D151" s="6" t="s">
        <v>189</v>
      </c>
      <c r="E151" s="6" t="s">
        <v>374</v>
      </c>
      <c r="F151" s="6" t="s">
        <v>461</v>
      </c>
      <c r="G151" s="6" t="s">
        <v>617</v>
      </c>
      <c r="H151" s="6" t="s">
        <v>702</v>
      </c>
      <c r="I151" s="12" t="s">
        <v>972</v>
      </c>
      <c r="J151" s="6" t="s">
        <v>985</v>
      </c>
      <c r="K151" s="6" t="s">
        <v>952</v>
      </c>
      <c r="L151" s="6">
        <v>1</v>
      </c>
      <c r="M151" s="6">
        <f>L151*5</f>
        <v>5</v>
      </c>
      <c r="N151" s="6" t="s">
        <v>995</v>
      </c>
      <c r="O151" s="22" t="s">
        <v>1031</v>
      </c>
      <c r="P151" s="7" t="s">
        <v>1117</v>
      </c>
      <c r="Q151" s="7">
        <f>P151*N151</f>
        <v>0.24</v>
      </c>
      <c r="R151" s="6"/>
    </row>
    <row r="152" spans="1:18">
      <c r="A152" s="1"/>
      <c r="B152" s="9">
        <f t="shared" si="0"/>
        <v>150</v>
      </c>
      <c r="C152" s="15" t="s">
        <v>33</v>
      </c>
      <c r="D152" s="12" t="s">
        <v>190</v>
      </c>
      <c r="E152" s="12" t="s">
        <v>375</v>
      </c>
      <c r="F152" s="12" t="s">
        <v>461</v>
      </c>
      <c r="G152" s="12" t="s">
        <v>618</v>
      </c>
      <c r="H152" s="12" t="s">
        <v>653</v>
      </c>
      <c r="I152" s="12" t="s">
        <v>972</v>
      </c>
      <c r="J152" s="12" t="s">
        <v>986</v>
      </c>
      <c r="K152" s="12" t="s">
        <v>953</v>
      </c>
      <c r="L152" s="12">
        <v>1</v>
      </c>
      <c r="M152" s="12">
        <f t="shared" ref="M152" si="148">L152*5</f>
        <v>5</v>
      </c>
      <c r="N152" s="12" t="s">
        <v>994</v>
      </c>
      <c r="O152" s="22" t="s">
        <v>1031</v>
      </c>
      <c r="P152" s="13" t="s">
        <v>1001</v>
      </c>
      <c r="Q152" s="13">
        <f t="shared" ref="Q152" si="149">P152*N152</f>
        <v>6.9999999999999993E-2</v>
      </c>
      <c r="R152" s="12"/>
    </row>
    <row r="153" spans="1:18">
      <c r="A153" s="1"/>
      <c r="B153" s="8">
        <f>ROW(B153) - ROW($B$2)</f>
        <v>151</v>
      </c>
      <c r="C153" s="14" t="s">
        <v>33</v>
      </c>
      <c r="D153" s="6" t="s">
        <v>191</v>
      </c>
      <c r="E153" s="6" t="s">
        <v>376</v>
      </c>
      <c r="F153" s="6" t="s">
        <v>461</v>
      </c>
      <c r="G153" s="6" t="s">
        <v>619</v>
      </c>
      <c r="H153" s="6" t="s">
        <v>653</v>
      </c>
      <c r="I153" s="12" t="s">
        <v>972</v>
      </c>
      <c r="J153" s="6" t="s">
        <v>860</v>
      </c>
      <c r="K153" s="6" t="s">
        <v>939</v>
      </c>
      <c r="L153" s="6">
        <v>1</v>
      </c>
      <c r="M153" s="6">
        <f>L153*5</f>
        <v>5</v>
      </c>
      <c r="N153" s="6" t="s">
        <v>994</v>
      </c>
      <c r="O153" s="22" t="s">
        <v>1031</v>
      </c>
      <c r="P153" s="7" t="s">
        <v>1093</v>
      </c>
      <c r="Q153" s="7">
        <f>P153*N153</f>
        <v>0.12</v>
      </c>
      <c r="R153" s="6"/>
    </row>
    <row r="154" spans="1:18">
      <c r="A154" s="1"/>
      <c r="B154" s="9">
        <f t="shared" si="0"/>
        <v>152</v>
      </c>
      <c r="C154" s="15" t="s">
        <v>33</v>
      </c>
      <c r="D154" s="12" t="s">
        <v>192</v>
      </c>
      <c r="E154" s="12" t="s">
        <v>377</v>
      </c>
      <c r="F154" s="12" t="s">
        <v>461</v>
      </c>
      <c r="G154" s="12" t="s">
        <v>975</v>
      </c>
      <c r="H154" s="12" t="s">
        <v>976</v>
      </c>
      <c r="I154" s="12" t="s">
        <v>972</v>
      </c>
      <c r="J154" s="12" t="s">
        <v>861</v>
      </c>
      <c r="K154" s="12" t="s">
        <v>954</v>
      </c>
      <c r="L154" s="12">
        <v>1</v>
      </c>
      <c r="M154" s="12">
        <f t="shared" ref="M154" si="150">L154*5</f>
        <v>5</v>
      </c>
      <c r="N154" s="12" t="s">
        <v>994</v>
      </c>
      <c r="O154" s="22" t="s">
        <v>1031</v>
      </c>
      <c r="P154" s="13" t="s">
        <v>1000</v>
      </c>
      <c r="Q154" s="13">
        <f t="shared" ref="Q154" si="151">P154*N154</f>
        <v>0.38</v>
      </c>
      <c r="R154" s="12"/>
    </row>
    <row r="155" spans="1:18">
      <c r="A155" s="1"/>
      <c r="B155" s="8">
        <f>ROW(B155) - ROW($B$2)</f>
        <v>153</v>
      </c>
      <c r="C155" s="14" t="s">
        <v>33</v>
      </c>
      <c r="D155" s="6" t="s">
        <v>193</v>
      </c>
      <c r="E155" s="6" t="s">
        <v>378</v>
      </c>
      <c r="F155" s="6" t="s">
        <v>461</v>
      </c>
      <c r="G155" s="6" t="s">
        <v>620</v>
      </c>
      <c r="H155" s="6" t="s">
        <v>653</v>
      </c>
      <c r="I155" s="12" t="s">
        <v>972</v>
      </c>
      <c r="J155" s="6" t="s">
        <v>862</v>
      </c>
      <c r="K155" s="6" t="s">
        <v>933</v>
      </c>
      <c r="L155" s="6">
        <v>4</v>
      </c>
      <c r="M155" s="6">
        <f>L155*5</f>
        <v>20</v>
      </c>
      <c r="N155" s="6" t="s">
        <v>998</v>
      </c>
      <c r="O155" s="22" t="s">
        <v>1031</v>
      </c>
      <c r="P155" s="7" t="s">
        <v>1118</v>
      </c>
      <c r="Q155" s="7">
        <f>P155*N155</f>
        <v>0.41000000000000003</v>
      </c>
      <c r="R155" s="6"/>
    </row>
    <row r="156" spans="1:18">
      <c r="A156" s="1"/>
      <c r="B156" s="9">
        <f t="shared" si="0"/>
        <v>154</v>
      </c>
      <c r="C156" s="15" t="s">
        <v>33</v>
      </c>
      <c r="D156" s="12" t="s">
        <v>194</v>
      </c>
      <c r="E156" s="12" t="s">
        <v>379</v>
      </c>
      <c r="F156" s="12" t="s">
        <v>461</v>
      </c>
      <c r="G156" s="12" t="s">
        <v>621</v>
      </c>
      <c r="H156" s="12" t="s">
        <v>653</v>
      </c>
      <c r="I156" s="12" t="s">
        <v>972</v>
      </c>
      <c r="J156" s="12" t="s">
        <v>863</v>
      </c>
      <c r="K156" s="12" t="s">
        <v>955</v>
      </c>
      <c r="L156" s="12">
        <v>1</v>
      </c>
      <c r="M156" s="12">
        <f t="shared" ref="M156" si="152">L156*5</f>
        <v>5</v>
      </c>
      <c r="N156" s="12" t="s">
        <v>992</v>
      </c>
      <c r="O156" s="22" t="s">
        <v>1031</v>
      </c>
      <c r="P156" s="13" t="s">
        <v>1119</v>
      </c>
      <c r="Q156" s="13">
        <f t="shared" ref="Q156" si="153">P156*N156</f>
        <v>0.68400000000000005</v>
      </c>
      <c r="R156" s="12"/>
    </row>
    <row r="157" spans="1:18">
      <c r="A157" s="1"/>
      <c r="B157" s="8">
        <f>ROW(B157) - ROW($B$2)</f>
        <v>155</v>
      </c>
      <c r="C157" s="14" t="s">
        <v>33</v>
      </c>
      <c r="D157" s="6" t="s">
        <v>195</v>
      </c>
      <c r="E157" s="6" t="s">
        <v>380</v>
      </c>
      <c r="F157" s="6" t="s">
        <v>463</v>
      </c>
      <c r="G157" s="6" t="s">
        <v>622</v>
      </c>
      <c r="H157" s="6" t="s">
        <v>653</v>
      </c>
      <c r="I157" s="12" t="s">
        <v>972</v>
      </c>
      <c r="J157" s="6" t="s">
        <v>864</v>
      </c>
      <c r="K157" s="6" t="s">
        <v>951</v>
      </c>
      <c r="L157" s="6">
        <v>1</v>
      </c>
      <c r="M157" s="6">
        <f>L157*5</f>
        <v>5</v>
      </c>
      <c r="N157" s="6" t="s">
        <v>994</v>
      </c>
      <c r="O157" s="22" t="s">
        <v>1031</v>
      </c>
      <c r="P157" s="7" t="s">
        <v>1001</v>
      </c>
      <c r="Q157" s="7">
        <f>P157*N157</f>
        <v>6.9999999999999993E-2</v>
      </c>
      <c r="R157" s="6"/>
    </row>
    <row r="158" spans="1:18">
      <c r="A158" s="1"/>
      <c r="B158" s="9">
        <f t="shared" si="0"/>
        <v>156</v>
      </c>
      <c r="C158" s="15" t="s">
        <v>33</v>
      </c>
      <c r="D158" s="12" t="s">
        <v>196</v>
      </c>
      <c r="E158" s="12" t="s">
        <v>381</v>
      </c>
      <c r="F158" s="12" t="s">
        <v>463</v>
      </c>
      <c r="G158" s="12" t="s">
        <v>623</v>
      </c>
      <c r="H158" s="12" t="s">
        <v>653</v>
      </c>
      <c r="I158" s="12" t="s">
        <v>972</v>
      </c>
      <c r="J158" s="12" t="s">
        <v>865</v>
      </c>
      <c r="K158" s="12" t="s">
        <v>956</v>
      </c>
      <c r="L158" s="12">
        <v>5</v>
      </c>
      <c r="M158" s="12">
        <f t="shared" ref="M158" si="154">L158*5</f>
        <v>25</v>
      </c>
      <c r="N158" s="12" t="s">
        <v>994</v>
      </c>
      <c r="O158" s="22" t="s">
        <v>1031</v>
      </c>
      <c r="P158" s="13" t="s">
        <v>1098</v>
      </c>
      <c r="Q158" s="13">
        <f t="shared" ref="Q158" si="155">P158*N158</f>
        <v>0.06</v>
      </c>
      <c r="R158" s="12"/>
    </row>
    <row r="159" spans="1:18">
      <c r="A159" s="1"/>
      <c r="B159" s="8">
        <f>ROW(B159) - ROW($B$2)</f>
        <v>157</v>
      </c>
      <c r="C159" s="14" t="s">
        <v>33</v>
      </c>
      <c r="D159" s="6" t="s">
        <v>197</v>
      </c>
      <c r="E159" s="6" t="s">
        <v>382</v>
      </c>
      <c r="F159" s="6" t="s">
        <v>461</v>
      </c>
      <c r="G159" s="6" t="s">
        <v>624</v>
      </c>
      <c r="H159" s="6" t="s">
        <v>653</v>
      </c>
      <c r="I159" s="12" t="s">
        <v>972</v>
      </c>
      <c r="J159" s="6" t="s">
        <v>866</v>
      </c>
      <c r="K159" s="6" t="s">
        <v>955</v>
      </c>
      <c r="L159" s="6">
        <v>2</v>
      </c>
      <c r="M159" s="6">
        <f>L159*5</f>
        <v>10</v>
      </c>
      <c r="N159" s="6" t="s">
        <v>994</v>
      </c>
      <c r="O159" s="22" t="s">
        <v>1031</v>
      </c>
      <c r="P159" s="7" t="s">
        <v>1093</v>
      </c>
      <c r="Q159" s="7">
        <f>P159*N159</f>
        <v>0.12</v>
      </c>
      <c r="R159" s="6"/>
    </row>
    <row r="160" spans="1:18">
      <c r="A160" s="1"/>
      <c r="B160" s="9">
        <f t="shared" si="0"/>
        <v>158</v>
      </c>
      <c r="C160" s="15" t="s">
        <v>33</v>
      </c>
      <c r="D160" s="12" t="s">
        <v>198</v>
      </c>
      <c r="E160" s="12" t="s">
        <v>383</v>
      </c>
      <c r="F160" s="12" t="s">
        <v>463</v>
      </c>
      <c r="G160" s="12" t="s">
        <v>625</v>
      </c>
      <c r="H160" s="12" t="s">
        <v>653</v>
      </c>
      <c r="I160" s="12" t="s">
        <v>972</v>
      </c>
      <c r="J160" s="12" t="s">
        <v>867</v>
      </c>
      <c r="K160" s="12" t="s">
        <v>957</v>
      </c>
      <c r="L160" s="12">
        <v>1</v>
      </c>
      <c r="M160" s="12">
        <f t="shared" ref="M160" si="156">L160*5</f>
        <v>5</v>
      </c>
      <c r="N160" s="12" t="s">
        <v>1007</v>
      </c>
      <c r="O160" s="22" t="s">
        <v>1031</v>
      </c>
      <c r="P160" s="13" t="s">
        <v>1120</v>
      </c>
      <c r="Q160" s="13">
        <f t="shared" ref="Q160" si="157">P160*N160</f>
        <v>0.45699999999999996</v>
      </c>
      <c r="R160" s="12"/>
    </row>
    <row r="161" spans="1:18">
      <c r="A161" s="1"/>
      <c r="B161" s="8">
        <f>ROW(B161) - ROW($B$2)</f>
        <v>159</v>
      </c>
      <c r="C161" s="14" t="s">
        <v>33</v>
      </c>
      <c r="D161" s="6" t="s">
        <v>199</v>
      </c>
      <c r="E161" s="6" t="s">
        <v>384</v>
      </c>
      <c r="F161" s="6" t="s">
        <v>463</v>
      </c>
      <c r="G161" s="6" t="s">
        <v>977</v>
      </c>
      <c r="H161" s="12" t="s">
        <v>653</v>
      </c>
      <c r="I161" s="12" t="s">
        <v>972</v>
      </c>
      <c r="J161" s="6" t="s">
        <v>868</v>
      </c>
      <c r="K161" s="6" t="s">
        <v>958</v>
      </c>
      <c r="L161" s="6">
        <v>1</v>
      </c>
      <c r="M161" s="6">
        <f>L161*5</f>
        <v>5</v>
      </c>
      <c r="N161" s="6" t="s">
        <v>994</v>
      </c>
      <c r="O161" s="22" t="s">
        <v>1031</v>
      </c>
      <c r="P161" s="7" t="s">
        <v>1001</v>
      </c>
      <c r="Q161" s="7">
        <f>P161*N161</f>
        <v>6.9999999999999993E-2</v>
      </c>
      <c r="R161" s="6"/>
    </row>
    <row r="162" spans="1:18">
      <c r="A162" s="1"/>
      <c r="B162" s="9">
        <f t="shared" si="0"/>
        <v>160</v>
      </c>
      <c r="C162" s="15" t="s">
        <v>35</v>
      </c>
      <c r="D162" s="12" t="s">
        <v>200</v>
      </c>
      <c r="E162" s="12" t="s">
        <v>385</v>
      </c>
      <c r="F162" s="6" t="s">
        <v>971</v>
      </c>
      <c r="G162" s="12" t="s">
        <v>626</v>
      </c>
      <c r="H162" s="12" t="s">
        <v>705</v>
      </c>
      <c r="I162" s="12" t="s">
        <v>972</v>
      </c>
      <c r="J162" s="12" t="s">
        <v>869</v>
      </c>
      <c r="K162" s="12" t="s">
        <v>972</v>
      </c>
      <c r="L162" s="12">
        <v>1</v>
      </c>
      <c r="M162" s="12">
        <f t="shared" ref="M162" si="158">L162*5</f>
        <v>5</v>
      </c>
      <c r="N162" s="12" t="s">
        <v>992</v>
      </c>
      <c r="O162" s="22" t="s">
        <v>1031</v>
      </c>
      <c r="P162" s="13" t="s">
        <v>1121</v>
      </c>
      <c r="Q162" s="13">
        <f t="shared" ref="Q162" si="159">P162*N162</f>
        <v>4.3625000000000007</v>
      </c>
      <c r="R162" s="12"/>
    </row>
    <row r="163" spans="1:18" ht="48">
      <c r="A163" s="1"/>
      <c r="B163" s="8">
        <f>ROW(B163) - ROW($B$2)</f>
        <v>161</v>
      </c>
      <c r="C163" s="14" t="s">
        <v>36</v>
      </c>
      <c r="D163" s="6" t="s">
        <v>201</v>
      </c>
      <c r="E163" s="6" t="s">
        <v>386</v>
      </c>
      <c r="F163" s="6" t="s">
        <v>971</v>
      </c>
      <c r="G163" s="6" t="s">
        <v>469</v>
      </c>
      <c r="H163" s="6" t="s">
        <v>706</v>
      </c>
      <c r="I163" s="12" t="s">
        <v>972</v>
      </c>
      <c r="J163" s="6" t="s">
        <v>870</v>
      </c>
      <c r="K163" s="12" t="s">
        <v>972</v>
      </c>
      <c r="L163" s="6">
        <v>1</v>
      </c>
      <c r="M163" s="6">
        <f>L163*5</f>
        <v>5</v>
      </c>
      <c r="N163" s="6" t="s">
        <v>992</v>
      </c>
      <c r="O163" s="22" t="s">
        <v>1031</v>
      </c>
      <c r="P163" s="7" t="s">
        <v>1122</v>
      </c>
      <c r="Q163" s="7">
        <f>P163*N163</f>
        <v>0.47</v>
      </c>
      <c r="R163" s="6"/>
    </row>
    <row r="164" spans="1:18">
      <c r="A164" s="1"/>
      <c r="B164" s="9">
        <f t="shared" si="0"/>
        <v>162</v>
      </c>
      <c r="C164" s="15" t="s">
        <v>37</v>
      </c>
      <c r="D164" s="12" t="s">
        <v>202</v>
      </c>
      <c r="E164" s="12" t="s">
        <v>387</v>
      </c>
      <c r="F164" s="12" t="s">
        <v>470</v>
      </c>
      <c r="G164" s="12" t="s">
        <v>627</v>
      </c>
      <c r="H164" s="12" t="s">
        <v>707</v>
      </c>
      <c r="I164" s="12" t="s">
        <v>972</v>
      </c>
      <c r="J164" s="12" t="s">
        <v>871</v>
      </c>
      <c r="K164" s="12" t="s">
        <v>972</v>
      </c>
      <c r="L164" s="12">
        <v>2</v>
      </c>
      <c r="M164" s="12">
        <f t="shared" ref="M164" si="160">L164*5</f>
        <v>10</v>
      </c>
      <c r="N164" s="12" t="s">
        <v>1007</v>
      </c>
      <c r="O164" s="22" t="s">
        <v>1031</v>
      </c>
      <c r="P164" s="13" t="s">
        <v>1123</v>
      </c>
      <c r="Q164" s="13">
        <f t="shared" ref="Q164" si="161">P164*N164</f>
        <v>27.63</v>
      </c>
      <c r="R164" s="12"/>
    </row>
    <row r="165" spans="1:18">
      <c r="A165" s="1"/>
      <c r="B165" s="8">
        <f>ROW(B165) - ROW($B$2)</f>
        <v>163</v>
      </c>
      <c r="C165" s="14" t="s">
        <v>5</v>
      </c>
      <c r="D165" s="6" t="s">
        <v>203</v>
      </c>
      <c r="E165" s="6" t="s">
        <v>388</v>
      </c>
      <c r="F165" s="6" t="s">
        <v>471</v>
      </c>
      <c r="G165" s="6" t="s">
        <v>628</v>
      </c>
      <c r="H165" s="6" t="s">
        <v>708</v>
      </c>
      <c r="I165" s="12" t="s">
        <v>972</v>
      </c>
      <c r="J165" s="6" t="s">
        <v>872</v>
      </c>
      <c r="K165" s="12" t="s">
        <v>972</v>
      </c>
      <c r="L165" s="6">
        <v>1</v>
      </c>
      <c r="M165" s="6">
        <f>L165*5</f>
        <v>5</v>
      </c>
      <c r="N165" s="6" t="s">
        <v>992</v>
      </c>
      <c r="O165" s="22" t="s">
        <v>1031</v>
      </c>
      <c r="P165" s="7" t="s">
        <v>1124</v>
      </c>
      <c r="Q165" s="7">
        <f>P165*N165</f>
        <v>0.88249999999999995</v>
      </c>
      <c r="R165" s="6"/>
    </row>
    <row r="166" spans="1:18">
      <c r="A166" s="1"/>
      <c r="B166" s="9">
        <f t="shared" si="0"/>
        <v>164</v>
      </c>
      <c r="C166" s="15" t="s">
        <v>5</v>
      </c>
      <c r="D166" s="12" t="s">
        <v>204</v>
      </c>
      <c r="E166" s="12" t="s">
        <v>389</v>
      </c>
      <c r="F166" s="12" t="s">
        <v>472</v>
      </c>
      <c r="G166" s="12" t="s">
        <v>629</v>
      </c>
      <c r="H166" s="12" t="s">
        <v>708</v>
      </c>
      <c r="I166" s="12" t="s">
        <v>972</v>
      </c>
      <c r="J166" s="12" t="s">
        <v>873</v>
      </c>
      <c r="K166" s="12" t="s">
        <v>972</v>
      </c>
      <c r="L166" s="12">
        <v>2</v>
      </c>
      <c r="M166" s="12">
        <f t="shared" ref="M166" si="162">L166*5</f>
        <v>10</v>
      </c>
      <c r="N166" s="12" t="s">
        <v>1007</v>
      </c>
      <c r="O166" s="22" t="s">
        <v>1031</v>
      </c>
      <c r="P166" s="13" t="s">
        <v>1125</v>
      </c>
      <c r="Q166" s="13">
        <f t="shared" ref="Q166" si="163">P166*N166</f>
        <v>9.9789999999999992</v>
      </c>
      <c r="R166" s="12"/>
    </row>
    <row r="167" spans="1:18">
      <c r="A167" s="1"/>
      <c r="B167" s="8">
        <f>ROW(B167) - ROW($B$2)</f>
        <v>165</v>
      </c>
      <c r="C167" s="14" t="s">
        <v>5</v>
      </c>
      <c r="D167" s="6" t="s">
        <v>205</v>
      </c>
      <c r="E167" s="6" t="s">
        <v>390</v>
      </c>
      <c r="F167" s="6" t="s">
        <v>473</v>
      </c>
      <c r="G167" s="6" t="s">
        <v>630</v>
      </c>
      <c r="H167" s="6" t="s">
        <v>709</v>
      </c>
      <c r="I167" s="12" t="s">
        <v>972</v>
      </c>
      <c r="J167" s="6" t="s">
        <v>987</v>
      </c>
      <c r="K167" s="12" t="s">
        <v>972</v>
      </c>
      <c r="L167" s="6">
        <v>1</v>
      </c>
      <c r="M167" s="6">
        <f>L167*5</f>
        <v>5</v>
      </c>
      <c r="N167" s="6" t="s">
        <v>992</v>
      </c>
      <c r="O167" s="22" t="s">
        <v>1031</v>
      </c>
      <c r="P167" s="7" t="s">
        <v>1126</v>
      </c>
      <c r="Q167" s="7">
        <f>P167*N167</f>
        <v>48.618499999999997</v>
      </c>
      <c r="R167" s="6"/>
    </row>
    <row r="168" spans="1:18">
      <c r="A168" s="1"/>
      <c r="B168" s="9">
        <f t="shared" si="0"/>
        <v>166</v>
      </c>
      <c r="C168" s="15" t="s">
        <v>5</v>
      </c>
      <c r="D168" s="12" t="s">
        <v>206</v>
      </c>
      <c r="E168" s="12" t="s">
        <v>391</v>
      </c>
      <c r="F168" s="12" t="s">
        <v>471</v>
      </c>
      <c r="G168" s="12" t="s">
        <v>631</v>
      </c>
      <c r="H168" s="12" t="s">
        <v>692</v>
      </c>
      <c r="I168" s="12" t="s">
        <v>972</v>
      </c>
      <c r="J168" s="12" t="s">
        <v>988</v>
      </c>
      <c r="K168" s="12" t="s">
        <v>972</v>
      </c>
      <c r="L168" s="12">
        <v>1</v>
      </c>
      <c r="M168" s="12">
        <f t="shared" ref="M168" si="164">L168*5</f>
        <v>5</v>
      </c>
      <c r="N168" s="12" t="s">
        <v>992</v>
      </c>
      <c r="O168" s="22" t="s">
        <v>1031</v>
      </c>
      <c r="P168" s="13" t="s">
        <v>1127</v>
      </c>
      <c r="Q168" s="13">
        <f t="shared" ref="Q168" si="165">P168*N168</f>
        <v>6.7215000000000007</v>
      </c>
      <c r="R168" s="12"/>
    </row>
    <row r="169" spans="1:18" ht="24">
      <c r="A169" s="1"/>
      <c r="B169" s="8">
        <f>ROW(B169) - ROW($B$2)</f>
        <v>167</v>
      </c>
      <c r="C169" s="14" t="s">
        <v>5</v>
      </c>
      <c r="D169" s="6" t="s">
        <v>207</v>
      </c>
      <c r="E169" s="6" t="s">
        <v>392</v>
      </c>
      <c r="F169" s="6" t="s">
        <v>474</v>
      </c>
      <c r="G169" s="6" t="s">
        <v>632</v>
      </c>
      <c r="H169" s="6" t="s">
        <v>710</v>
      </c>
      <c r="I169" s="12" t="s">
        <v>972</v>
      </c>
      <c r="J169" s="6" t="s">
        <v>989</v>
      </c>
      <c r="K169" s="12" t="s">
        <v>972</v>
      </c>
      <c r="L169" s="6">
        <v>1</v>
      </c>
      <c r="M169" s="6">
        <f>L169*5</f>
        <v>5</v>
      </c>
      <c r="N169" s="6" t="s">
        <v>992</v>
      </c>
      <c r="O169" s="22" t="s">
        <v>1031</v>
      </c>
      <c r="P169" s="7" t="s">
        <v>1128</v>
      </c>
      <c r="Q169" s="7">
        <f>P169*N169</f>
        <v>27.503500000000003</v>
      </c>
      <c r="R169" s="6"/>
    </row>
    <row r="170" spans="1:18">
      <c r="A170" s="1"/>
      <c r="B170" s="9">
        <f t="shared" si="0"/>
        <v>168</v>
      </c>
      <c r="C170" s="15" t="s">
        <v>5</v>
      </c>
      <c r="D170" s="12" t="s">
        <v>208</v>
      </c>
      <c r="E170" s="12" t="s">
        <v>393</v>
      </c>
      <c r="F170" s="12" t="s">
        <v>475</v>
      </c>
      <c r="G170" s="12" t="s">
        <v>633</v>
      </c>
      <c r="H170" s="12" t="s">
        <v>708</v>
      </c>
      <c r="I170" s="12" t="s">
        <v>972</v>
      </c>
      <c r="J170" s="12" t="s">
        <v>874</v>
      </c>
      <c r="K170" s="12" t="s">
        <v>972</v>
      </c>
      <c r="L170" s="12">
        <v>3</v>
      </c>
      <c r="M170" s="12">
        <f t="shared" ref="M170" si="166">L170*5</f>
        <v>15</v>
      </c>
      <c r="N170" s="12" t="s">
        <v>1060</v>
      </c>
      <c r="O170" s="22" t="s">
        <v>1031</v>
      </c>
      <c r="P170" s="13" t="s">
        <v>1129</v>
      </c>
      <c r="Q170" s="13">
        <f t="shared" ref="Q170" si="167">P170*N170</f>
        <v>1.3320000000000001</v>
      </c>
      <c r="R170" s="12"/>
    </row>
    <row r="171" spans="1:18" ht="36">
      <c r="A171" s="1"/>
      <c r="B171" s="8">
        <f>ROW(B171) - ROW($B$2)</f>
        <v>169</v>
      </c>
      <c r="C171" s="15" t="s">
        <v>5</v>
      </c>
      <c r="D171" s="6" t="s">
        <v>209</v>
      </c>
      <c r="E171" s="6" t="s">
        <v>394</v>
      </c>
      <c r="F171" s="6" t="s">
        <v>476</v>
      </c>
      <c r="G171" s="6" t="s">
        <v>634</v>
      </c>
      <c r="H171" s="6" t="s">
        <v>711</v>
      </c>
      <c r="I171" s="12" t="s">
        <v>972</v>
      </c>
      <c r="J171" s="6" t="s">
        <v>875</v>
      </c>
      <c r="K171" s="12" t="s">
        <v>972</v>
      </c>
      <c r="L171" s="6">
        <v>1</v>
      </c>
      <c r="M171" s="6">
        <f>L171*5</f>
        <v>5</v>
      </c>
      <c r="N171" s="6" t="s">
        <v>992</v>
      </c>
      <c r="O171" s="22" t="s">
        <v>1031</v>
      </c>
      <c r="P171" s="7" t="s">
        <v>1130</v>
      </c>
      <c r="Q171" s="7">
        <f>P171*N171</f>
        <v>1.3625</v>
      </c>
      <c r="R171" s="6"/>
    </row>
    <row r="172" spans="1:18">
      <c r="A172" s="1"/>
      <c r="B172" s="9">
        <f t="shared" si="0"/>
        <v>170</v>
      </c>
      <c r="C172" s="15" t="s">
        <v>5</v>
      </c>
      <c r="D172" s="12" t="s">
        <v>210</v>
      </c>
      <c r="E172" s="12" t="s">
        <v>395</v>
      </c>
      <c r="F172" s="12" t="s">
        <v>477</v>
      </c>
      <c r="G172" s="12" t="s">
        <v>635</v>
      </c>
      <c r="H172" s="12" t="s">
        <v>708</v>
      </c>
      <c r="I172" s="12" t="s">
        <v>972</v>
      </c>
      <c r="J172" s="12" t="s">
        <v>876</v>
      </c>
      <c r="K172" s="12" t="s">
        <v>972</v>
      </c>
      <c r="L172" s="12">
        <v>1</v>
      </c>
      <c r="M172" s="12">
        <f t="shared" ref="M172" si="168">L172*5</f>
        <v>5</v>
      </c>
      <c r="N172" s="12" t="s">
        <v>992</v>
      </c>
      <c r="O172" s="22" t="s">
        <v>1031</v>
      </c>
      <c r="P172" s="13" t="s">
        <v>1131</v>
      </c>
      <c r="Q172" s="13">
        <f t="shared" ref="Q172" si="169">P172*N172</f>
        <v>11.736000000000001</v>
      </c>
      <c r="R172" s="12"/>
    </row>
    <row r="173" spans="1:18">
      <c r="A173" s="1"/>
      <c r="B173" s="8">
        <f>ROW(B173) - ROW($B$2)</f>
        <v>171</v>
      </c>
      <c r="C173" s="14" t="s">
        <v>5</v>
      </c>
      <c r="D173" s="6" t="s">
        <v>211</v>
      </c>
      <c r="E173" s="6" t="s">
        <v>396</v>
      </c>
      <c r="F173" s="6" t="s">
        <v>478</v>
      </c>
      <c r="G173" s="6" t="s">
        <v>636</v>
      </c>
      <c r="H173" s="6" t="s">
        <v>708</v>
      </c>
      <c r="I173" s="12" t="s">
        <v>972</v>
      </c>
      <c r="J173" s="6" t="s">
        <v>877</v>
      </c>
      <c r="K173" s="12" t="s">
        <v>972</v>
      </c>
      <c r="L173" s="6">
        <v>1</v>
      </c>
      <c r="M173" s="6">
        <f>L173*5</f>
        <v>5</v>
      </c>
      <c r="N173" s="6" t="s">
        <v>992</v>
      </c>
      <c r="O173" s="22" t="s">
        <v>1031</v>
      </c>
      <c r="P173" s="7" t="s">
        <v>1132</v>
      </c>
      <c r="Q173" s="7">
        <f>P173*N173</f>
        <v>3.093</v>
      </c>
      <c r="R173" s="6"/>
    </row>
    <row r="174" spans="1:18">
      <c r="A174" s="1"/>
      <c r="B174" s="9">
        <f t="shared" si="0"/>
        <v>172</v>
      </c>
      <c r="C174" s="15" t="s">
        <v>5</v>
      </c>
      <c r="D174" s="12" t="s">
        <v>212</v>
      </c>
      <c r="E174" s="12" t="s">
        <v>397</v>
      </c>
      <c r="F174" s="12" t="s">
        <v>479</v>
      </c>
      <c r="G174" s="12" t="s">
        <v>637</v>
      </c>
      <c r="H174" s="12" t="s">
        <v>712</v>
      </c>
      <c r="I174" s="12" t="s">
        <v>972</v>
      </c>
      <c r="J174" s="12" t="s">
        <v>878</v>
      </c>
      <c r="K174" s="12" t="s">
        <v>972</v>
      </c>
      <c r="L174" s="12">
        <v>1</v>
      </c>
      <c r="M174" s="12">
        <f t="shared" ref="M174" si="170">L174*5</f>
        <v>5</v>
      </c>
      <c r="N174" s="12" t="s">
        <v>992</v>
      </c>
      <c r="O174" s="22" t="s">
        <v>1031</v>
      </c>
      <c r="P174" s="13" t="s">
        <v>1133</v>
      </c>
      <c r="Q174" s="13">
        <f t="shared" ref="Q174" si="171">P174*N174</f>
        <v>5.28</v>
      </c>
      <c r="R174" s="12"/>
    </row>
    <row r="175" spans="1:18">
      <c r="A175" s="1"/>
      <c r="B175" s="8">
        <f>ROW(B175) - ROW($B$2)</f>
        <v>173</v>
      </c>
      <c r="C175" s="14" t="s">
        <v>5</v>
      </c>
      <c r="D175" s="6" t="s">
        <v>213</v>
      </c>
      <c r="E175" s="6" t="s">
        <v>398</v>
      </c>
      <c r="F175" s="6" t="s">
        <v>475</v>
      </c>
      <c r="G175" s="6" t="s">
        <v>638</v>
      </c>
      <c r="H175" s="6" t="s">
        <v>708</v>
      </c>
      <c r="I175" s="12" t="s">
        <v>972</v>
      </c>
      <c r="J175" s="6" t="s">
        <v>879</v>
      </c>
      <c r="K175" s="12" t="s">
        <v>972</v>
      </c>
      <c r="L175" s="6">
        <v>2</v>
      </c>
      <c r="M175" s="6">
        <f>L175*5</f>
        <v>10</v>
      </c>
      <c r="N175" s="6" t="s">
        <v>1007</v>
      </c>
      <c r="O175" s="22" t="s">
        <v>1031</v>
      </c>
      <c r="P175" s="7" t="s">
        <v>1134</v>
      </c>
      <c r="Q175" s="7">
        <f>P175*N175</f>
        <v>2.0739999999999998</v>
      </c>
      <c r="R175" s="6"/>
    </row>
    <row r="176" spans="1:18" ht="24">
      <c r="A176" s="1"/>
      <c r="B176" s="9">
        <f t="shared" si="0"/>
        <v>174</v>
      </c>
      <c r="C176" s="14" t="s">
        <v>5</v>
      </c>
      <c r="D176" s="12" t="s">
        <v>214</v>
      </c>
      <c r="E176" s="12" t="s">
        <v>399</v>
      </c>
      <c r="F176" s="12" t="s">
        <v>480</v>
      </c>
      <c r="G176" s="12" t="s">
        <v>480</v>
      </c>
      <c r="H176" s="12" t="s">
        <v>713</v>
      </c>
      <c r="I176" s="12" t="s">
        <v>972</v>
      </c>
      <c r="J176" s="12" t="s">
        <v>880</v>
      </c>
      <c r="K176" s="12" t="s">
        <v>972</v>
      </c>
      <c r="L176" s="12">
        <v>1</v>
      </c>
      <c r="M176" s="12">
        <f t="shared" ref="M176" si="172">L176*5</f>
        <v>5</v>
      </c>
      <c r="N176" s="12" t="s">
        <v>992</v>
      </c>
      <c r="O176" s="22" t="s">
        <v>1031</v>
      </c>
      <c r="P176" s="13" t="s">
        <v>1135</v>
      </c>
      <c r="Q176" s="13">
        <f t="shared" ref="Q176" si="173">P176*N176</f>
        <v>4.6665000000000001</v>
      </c>
      <c r="R176" s="12"/>
    </row>
    <row r="177" spans="1:18" ht="48">
      <c r="A177" s="1"/>
      <c r="B177" s="8">
        <f>ROW(B177) - ROW($B$2)</f>
        <v>175</v>
      </c>
      <c r="C177" s="14" t="s">
        <v>5</v>
      </c>
      <c r="D177" s="6" t="s">
        <v>215</v>
      </c>
      <c r="E177" s="6" t="s">
        <v>400</v>
      </c>
      <c r="F177" s="6" t="s">
        <v>481</v>
      </c>
      <c r="G177" s="6" t="s">
        <v>639</v>
      </c>
      <c r="H177" s="6" t="s">
        <v>714</v>
      </c>
      <c r="I177" s="12" t="s">
        <v>972</v>
      </c>
      <c r="J177" s="6" t="s">
        <v>990</v>
      </c>
      <c r="K177" s="12" t="s">
        <v>972</v>
      </c>
      <c r="L177" s="6">
        <v>1</v>
      </c>
      <c r="M177" s="6">
        <f>L177*5</f>
        <v>5</v>
      </c>
      <c r="N177" s="6" t="s">
        <v>992</v>
      </c>
      <c r="O177" s="22" t="s">
        <v>1031</v>
      </c>
      <c r="P177" s="7" t="s">
        <v>1136</v>
      </c>
      <c r="Q177" s="7">
        <f>P177*N177</f>
        <v>0.93450000000000011</v>
      </c>
      <c r="R177" s="6"/>
    </row>
    <row r="178" spans="1:18">
      <c r="A178" s="1"/>
      <c r="B178" s="9">
        <f t="shared" si="0"/>
        <v>176</v>
      </c>
      <c r="C178" s="15" t="s">
        <v>5</v>
      </c>
      <c r="D178" s="12" t="s">
        <v>216</v>
      </c>
      <c r="E178" s="12" t="s">
        <v>401</v>
      </c>
      <c r="F178" s="12" t="s">
        <v>482</v>
      </c>
      <c r="G178" s="12" t="s">
        <v>640</v>
      </c>
      <c r="H178" s="12" t="s">
        <v>715</v>
      </c>
      <c r="I178" s="12" t="s">
        <v>972</v>
      </c>
      <c r="J178" s="12" t="s">
        <v>881</v>
      </c>
      <c r="K178" s="12" t="s">
        <v>972</v>
      </c>
      <c r="L178" s="12">
        <v>1</v>
      </c>
      <c r="M178" s="12">
        <f t="shared" ref="M178" si="174">L178*5</f>
        <v>5</v>
      </c>
      <c r="N178" s="12" t="s">
        <v>992</v>
      </c>
      <c r="O178" s="22" t="s">
        <v>1031</v>
      </c>
      <c r="P178" s="13" t="s">
        <v>1137</v>
      </c>
      <c r="Q178" s="13">
        <f t="shared" ref="Q178" si="175">P178*N178</f>
        <v>26.158999999999999</v>
      </c>
      <c r="R178" s="12"/>
    </row>
    <row r="179" spans="1:18" ht="24">
      <c r="A179" s="1"/>
      <c r="B179" s="8">
        <f>ROW(B179) - ROW($B$2)</f>
        <v>177</v>
      </c>
      <c r="C179" s="14" t="s">
        <v>38</v>
      </c>
      <c r="D179" s="6" t="s">
        <v>217</v>
      </c>
      <c r="E179" s="6" t="s">
        <v>402</v>
      </c>
      <c r="F179" s="6" t="s">
        <v>483</v>
      </c>
      <c r="G179" s="6" t="s">
        <v>641</v>
      </c>
      <c r="H179" s="6" t="s">
        <v>972</v>
      </c>
      <c r="I179" s="12" t="s">
        <v>972</v>
      </c>
      <c r="J179" s="6" t="s">
        <v>972</v>
      </c>
      <c r="K179" s="12" t="s">
        <v>972</v>
      </c>
      <c r="L179" s="6">
        <v>1</v>
      </c>
      <c r="M179" s="6">
        <f>L179*5</f>
        <v>5</v>
      </c>
      <c r="N179" s="6">
        <v>5</v>
      </c>
      <c r="O179" s="22" t="s">
        <v>1154</v>
      </c>
      <c r="P179" s="7">
        <v>5.0199999999999996</v>
      </c>
      <c r="Q179" s="7">
        <f>P179*N179</f>
        <v>25.099999999999998</v>
      </c>
      <c r="R179" s="6"/>
    </row>
    <row r="180" spans="1:18" ht="24">
      <c r="A180" s="1"/>
      <c r="B180" s="9">
        <f t="shared" si="0"/>
        <v>178</v>
      </c>
      <c r="C180" s="15" t="s">
        <v>5</v>
      </c>
      <c r="D180" s="12" t="s">
        <v>218</v>
      </c>
      <c r="E180" s="12" t="s">
        <v>403</v>
      </c>
      <c r="F180" s="12" t="s">
        <v>475</v>
      </c>
      <c r="G180" s="12" t="s">
        <v>642</v>
      </c>
      <c r="H180" s="12" t="s">
        <v>716</v>
      </c>
      <c r="I180" s="12" t="s">
        <v>972</v>
      </c>
      <c r="J180" s="12" t="s">
        <v>882</v>
      </c>
      <c r="K180" s="12" t="s">
        <v>972</v>
      </c>
      <c r="L180" s="12">
        <v>1</v>
      </c>
      <c r="M180" s="12">
        <f t="shared" ref="M180" si="176">L180*5</f>
        <v>5</v>
      </c>
      <c r="N180" s="12" t="s">
        <v>992</v>
      </c>
      <c r="O180" s="22" t="str">
        <f t="shared" ref="O180:O189" si="177">HYPERLINK(N180, "LCSC")</f>
        <v>LCSC</v>
      </c>
      <c r="P180" s="13" t="s">
        <v>1138</v>
      </c>
      <c r="Q180" s="13">
        <f t="shared" ref="Q180" si="178">P180*N180</f>
        <v>0.4375</v>
      </c>
      <c r="R180" s="12"/>
    </row>
    <row r="181" spans="1:18">
      <c r="A181" s="1"/>
      <c r="B181" s="8">
        <f>ROW(B181) - ROW($B$2)</f>
        <v>179</v>
      </c>
      <c r="C181" s="14" t="s">
        <v>5</v>
      </c>
      <c r="D181" s="6" t="s">
        <v>219</v>
      </c>
      <c r="E181" s="6" t="s">
        <v>404</v>
      </c>
      <c r="F181" s="6" t="s">
        <v>484</v>
      </c>
      <c r="G181" s="6" t="s">
        <v>643</v>
      </c>
      <c r="H181" s="6" t="s">
        <v>9</v>
      </c>
      <c r="I181" s="12" t="s">
        <v>972</v>
      </c>
      <c r="J181" s="6" t="s">
        <v>883</v>
      </c>
      <c r="K181" s="12" t="s">
        <v>972</v>
      </c>
      <c r="L181" s="6">
        <v>1</v>
      </c>
      <c r="M181" s="6">
        <f>L181*5</f>
        <v>5</v>
      </c>
      <c r="N181" s="6" t="s">
        <v>992</v>
      </c>
      <c r="O181" s="22" t="str">
        <f t="shared" si="177"/>
        <v>LCSC</v>
      </c>
      <c r="P181" s="7" t="s">
        <v>1015</v>
      </c>
      <c r="Q181" s="7">
        <f>P181*N181</f>
        <v>1.8979999999999999</v>
      </c>
      <c r="R181" s="6"/>
    </row>
    <row r="182" spans="1:18">
      <c r="A182" s="1"/>
      <c r="B182" s="9">
        <f t="shared" si="0"/>
        <v>180</v>
      </c>
      <c r="C182" s="14" t="s">
        <v>5</v>
      </c>
      <c r="D182" s="12" t="s">
        <v>220</v>
      </c>
      <c r="E182" s="12" t="s">
        <v>405</v>
      </c>
      <c r="F182" s="12" t="s">
        <v>475</v>
      </c>
      <c r="G182" s="12" t="s">
        <v>644</v>
      </c>
      <c r="H182" s="12" t="s">
        <v>717</v>
      </c>
      <c r="I182" s="12" t="s">
        <v>972</v>
      </c>
      <c r="J182" s="12" t="s">
        <v>884</v>
      </c>
      <c r="K182" s="12" t="s">
        <v>972</v>
      </c>
      <c r="L182" s="12">
        <v>1</v>
      </c>
      <c r="M182" s="12">
        <f t="shared" ref="M182" si="179">L182*5</f>
        <v>5</v>
      </c>
      <c r="N182" s="12" t="s">
        <v>992</v>
      </c>
      <c r="O182" s="22" t="str">
        <f t="shared" si="177"/>
        <v>LCSC</v>
      </c>
      <c r="P182" s="13" t="s">
        <v>1139</v>
      </c>
      <c r="Q182" s="13">
        <f t="shared" ref="Q182" si="180">P182*N182</f>
        <v>4.9409999999999998</v>
      </c>
      <c r="R182" s="12"/>
    </row>
    <row r="183" spans="1:18" ht="36">
      <c r="A183" s="1"/>
      <c r="B183" s="8">
        <f>ROW(B183) - ROW($B$2)</f>
        <v>181</v>
      </c>
      <c r="C183" s="14" t="s">
        <v>5</v>
      </c>
      <c r="D183" s="6" t="s">
        <v>221</v>
      </c>
      <c r="E183" s="6" t="s">
        <v>406</v>
      </c>
      <c r="F183" s="6" t="s">
        <v>485</v>
      </c>
      <c r="G183" s="6" t="s">
        <v>645</v>
      </c>
      <c r="H183" s="6" t="s">
        <v>718</v>
      </c>
      <c r="I183" s="12" t="s">
        <v>972</v>
      </c>
      <c r="J183" s="6" t="s">
        <v>885</v>
      </c>
      <c r="K183" s="12" t="s">
        <v>972</v>
      </c>
      <c r="L183" s="6">
        <v>1</v>
      </c>
      <c r="M183" s="6">
        <f>L183*5</f>
        <v>5</v>
      </c>
      <c r="N183" s="6" t="s">
        <v>992</v>
      </c>
      <c r="O183" s="22" t="str">
        <f t="shared" si="177"/>
        <v>LCSC</v>
      </c>
      <c r="P183" s="7" t="s">
        <v>1140</v>
      </c>
      <c r="Q183" s="7">
        <f>P183*N183</f>
        <v>17.355499999999999</v>
      </c>
      <c r="R183" s="6"/>
    </row>
    <row r="184" spans="1:18">
      <c r="A184" s="1"/>
      <c r="B184" s="9">
        <f t="shared" si="0"/>
        <v>182</v>
      </c>
      <c r="C184" s="15" t="s">
        <v>5</v>
      </c>
      <c r="D184" s="12" t="s">
        <v>222</v>
      </c>
      <c r="E184" s="12" t="s">
        <v>407</v>
      </c>
      <c r="F184" s="12" t="s">
        <v>470</v>
      </c>
      <c r="G184" s="12" t="s">
        <v>646</v>
      </c>
      <c r="H184" s="12" t="s">
        <v>719</v>
      </c>
      <c r="I184" s="12" t="s">
        <v>972</v>
      </c>
      <c r="J184" s="12" t="s">
        <v>886</v>
      </c>
      <c r="K184" s="12" t="s">
        <v>972</v>
      </c>
      <c r="L184" s="12">
        <v>2</v>
      </c>
      <c r="M184" s="12">
        <f t="shared" ref="M184" si="181">L184*5</f>
        <v>10</v>
      </c>
      <c r="N184" s="12" t="s">
        <v>1007</v>
      </c>
      <c r="O184" s="22" t="str">
        <f t="shared" si="177"/>
        <v>LCSC</v>
      </c>
      <c r="P184" s="13" t="s">
        <v>1141</v>
      </c>
      <c r="Q184" s="13">
        <f t="shared" ref="Q184" si="182">P184*N184</f>
        <v>2.423</v>
      </c>
      <c r="R184" s="12"/>
    </row>
    <row r="185" spans="1:18" ht="24">
      <c r="A185" s="1"/>
      <c r="B185" s="8">
        <f>ROW(B185) - ROW($B$2)</f>
        <v>183</v>
      </c>
      <c r="C185" s="14" t="s">
        <v>5</v>
      </c>
      <c r="D185" s="6" t="s">
        <v>223</v>
      </c>
      <c r="E185" s="6" t="s">
        <v>408</v>
      </c>
      <c r="F185" s="6" t="s">
        <v>486</v>
      </c>
      <c r="G185" s="6" t="s">
        <v>647</v>
      </c>
      <c r="H185" s="6" t="s">
        <v>720</v>
      </c>
      <c r="I185" s="12" t="s">
        <v>972</v>
      </c>
      <c r="J185" s="6" t="s">
        <v>887</v>
      </c>
      <c r="K185" s="12" t="s">
        <v>972</v>
      </c>
      <c r="L185" s="6">
        <v>1</v>
      </c>
      <c r="M185" s="6">
        <f>L185*5</f>
        <v>5</v>
      </c>
      <c r="N185" s="6" t="s">
        <v>992</v>
      </c>
      <c r="O185" s="22" t="str">
        <f t="shared" si="177"/>
        <v>LCSC</v>
      </c>
      <c r="P185" s="7" t="s">
        <v>1142</v>
      </c>
      <c r="Q185" s="7">
        <f>P185*N185</f>
        <v>9.3889999999999993</v>
      </c>
      <c r="R185" s="6"/>
    </row>
    <row r="186" spans="1:18" ht="36">
      <c r="A186" s="1"/>
      <c r="B186" s="9">
        <f t="shared" si="0"/>
        <v>184</v>
      </c>
      <c r="C186" s="15" t="s">
        <v>5</v>
      </c>
      <c r="D186" s="12" t="s">
        <v>224</v>
      </c>
      <c r="E186" s="12" t="s">
        <v>409</v>
      </c>
      <c r="F186" s="12" t="s">
        <v>478</v>
      </c>
      <c r="G186" s="12" t="s">
        <v>648</v>
      </c>
      <c r="H186" s="12" t="s">
        <v>721</v>
      </c>
      <c r="I186" s="12" t="s">
        <v>972</v>
      </c>
      <c r="J186" s="12" t="s">
        <v>888</v>
      </c>
      <c r="K186" s="12" t="s">
        <v>972</v>
      </c>
      <c r="L186" s="12">
        <v>1</v>
      </c>
      <c r="M186" s="12">
        <f t="shared" ref="M186" si="183">L186*5</f>
        <v>5</v>
      </c>
      <c r="N186" s="12" t="s">
        <v>1007</v>
      </c>
      <c r="O186" s="22" t="str">
        <f t="shared" si="177"/>
        <v>LCSC</v>
      </c>
      <c r="P186" s="13" t="s">
        <v>1143</v>
      </c>
      <c r="Q186" s="13">
        <f t="shared" ref="Q186" si="184">P186*N186</f>
        <v>0.60099999999999998</v>
      </c>
      <c r="R186" s="12"/>
    </row>
    <row r="187" spans="1:18">
      <c r="A187" s="1"/>
      <c r="B187" s="8">
        <f>ROW(B187) - ROW($B$2)</f>
        <v>185</v>
      </c>
      <c r="C187" s="14" t="s">
        <v>39</v>
      </c>
      <c r="D187" s="6" t="s">
        <v>225</v>
      </c>
      <c r="E187" s="6" t="s">
        <v>410</v>
      </c>
      <c r="F187" s="6" t="s">
        <v>971</v>
      </c>
      <c r="G187" s="6" t="s">
        <v>487</v>
      </c>
      <c r="H187" s="6" t="s">
        <v>722</v>
      </c>
      <c r="I187" s="12" t="s">
        <v>972</v>
      </c>
      <c r="J187" s="6" t="s">
        <v>889</v>
      </c>
      <c r="K187" s="6" t="s">
        <v>959</v>
      </c>
      <c r="L187" s="6">
        <v>1</v>
      </c>
      <c r="M187" s="6">
        <f>L187*5</f>
        <v>5</v>
      </c>
      <c r="N187" s="6" t="s">
        <v>992</v>
      </c>
      <c r="O187" s="22" t="str">
        <f t="shared" si="177"/>
        <v>LCSC</v>
      </c>
      <c r="P187" s="7" t="s">
        <v>1144</v>
      </c>
      <c r="Q187" s="7">
        <f>P187*N187</f>
        <v>1.6239999999999999</v>
      </c>
      <c r="R187" s="6"/>
    </row>
    <row r="188" spans="1:18" ht="36">
      <c r="A188" s="1"/>
      <c r="B188" s="9">
        <f t="shared" si="0"/>
        <v>186</v>
      </c>
      <c r="C188" s="15" t="s">
        <v>39</v>
      </c>
      <c r="D188" s="12" t="s">
        <v>226</v>
      </c>
      <c r="E188" s="12" t="s">
        <v>411</v>
      </c>
      <c r="F188" s="12" t="s">
        <v>488</v>
      </c>
      <c r="G188" s="12" t="s">
        <v>649</v>
      </c>
      <c r="H188" s="12" t="s">
        <v>723</v>
      </c>
      <c r="I188" s="12" t="s">
        <v>972</v>
      </c>
      <c r="J188" s="12" t="s">
        <v>890</v>
      </c>
      <c r="K188" s="12" t="s">
        <v>960</v>
      </c>
      <c r="L188" s="12">
        <v>1</v>
      </c>
      <c r="M188" s="12">
        <f t="shared" ref="M188" si="185">L188*5</f>
        <v>5</v>
      </c>
      <c r="N188" s="12" t="s">
        <v>992</v>
      </c>
      <c r="O188" s="22" t="str">
        <f t="shared" si="177"/>
        <v>LCSC</v>
      </c>
      <c r="P188" s="13" t="s">
        <v>1145</v>
      </c>
      <c r="Q188" s="13">
        <f t="shared" ref="Q188" si="186">P188*N188</f>
        <v>0.42099999999999999</v>
      </c>
      <c r="R188" s="12"/>
    </row>
    <row r="189" spans="1:18" ht="15.75" thickBot="1">
      <c r="A189" s="1"/>
      <c r="B189" s="8">
        <f>ROW(B189) - ROW($B$2)</f>
        <v>187</v>
      </c>
      <c r="C189" s="15" t="s">
        <v>39</v>
      </c>
      <c r="D189" s="6" t="s">
        <v>227</v>
      </c>
      <c r="E189" s="6" t="s">
        <v>412</v>
      </c>
      <c r="F189" s="6" t="s">
        <v>971</v>
      </c>
      <c r="G189" s="6" t="s">
        <v>650</v>
      </c>
      <c r="H189" s="6" t="s">
        <v>724</v>
      </c>
      <c r="I189" s="12" t="s">
        <v>972</v>
      </c>
      <c r="J189" s="6" t="s">
        <v>891</v>
      </c>
      <c r="K189" s="6" t="s">
        <v>961</v>
      </c>
      <c r="L189" s="6">
        <v>1</v>
      </c>
      <c r="M189" s="6">
        <f>L189*5</f>
        <v>5</v>
      </c>
      <c r="N189" s="6" t="s">
        <v>992</v>
      </c>
      <c r="O189" s="22" t="str">
        <f t="shared" si="177"/>
        <v>LCSC</v>
      </c>
      <c r="P189" s="7" t="s">
        <v>1146</v>
      </c>
      <c r="Q189" s="7">
        <f>P189*N189</f>
        <v>1.2404999999999999</v>
      </c>
      <c r="R189" s="6"/>
    </row>
    <row r="190" spans="1:18" ht="24.75" thickBot="1">
      <c r="A190" s="1"/>
      <c r="B190" s="25">
        <f>ROW(B190)-ROW($B$2)</f>
        <v>188</v>
      </c>
      <c r="C190" s="26" t="s">
        <v>1149</v>
      </c>
      <c r="D190" s="27" t="s">
        <v>972</v>
      </c>
      <c r="E190" s="28" t="s">
        <v>1150</v>
      </c>
      <c r="F190" s="27" t="s">
        <v>972</v>
      </c>
      <c r="G190" s="28" t="s">
        <v>1151</v>
      </c>
      <c r="H190" s="27" t="s">
        <v>972</v>
      </c>
      <c r="I190" s="12" t="s">
        <v>972</v>
      </c>
      <c r="J190" s="12" t="s">
        <v>972</v>
      </c>
      <c r="K190" s="12" t="s">
        <v>972</v>
      </c>
      <c r="L190" s="6">
        <v>1</v>
      </c>
      <c r="M190" s="6">
        <f t="shared" ref="M190:M191" si="187">L190*5</f>
        <v>5</v>
      </c>
      <c r="N190" s="6">
        <v>5</v>
      </c>
      <c r="O190" s="22" t="s">
        <v>1154</v>
      </c>
      <c r="P190" s="13">
        <v>2.97</v>
      </c>
      <c r="Q190" s="7">
        <f t="shared" ref="Q190:Q191" si="188">P190*N190</f>
        <v>14.850000000000001</v>
      </c>
      <c r="R190" s="6"/>
    </row>
    <row r="191" spans="1:18" ht="36.75" thickBot="1">
      <c r="A191" s="1"/>
      <c r="B191" s="25">
        <f>ROW(B191)-ROW($B$2)</f>
        <v>189</v>
      </c>
      <c r="C191" s="26" t="s">
        <v>1149</v>
      </c>
      <c r="D191" s="27" t="s">
        <v>972</v>
      </c>
      <c r="E191" s="28" t="s">
        <v>1152</v>
      </c>
      <c r="F191" s="27" t="s">
        <v>972</v>
      </c>
      <c r="G191" s="28" t="s">
        <v>1153</v>
      </c>
      <c r="H191" s="27" t="s">
        <v>972</v>
      </c>
      <c r="I191" s="12" t="s">
        <v>972</v>
      </c>
      <c r="J191" s="12" t="s">
        <v>972</v>
      </c>
      <c r="K191" s="12" t="s">
        <v>972</v>
      </c>
      <c r="L191" s="6">
        <v>10</v>
      </c>
      <c r="M191" s="6">
        <f t="shared" si="187"/>
        <v>50</v>
      </c>
      <c r="N191" s="6">
        <v>5</v>
      </c>
      <c r="O191" s="22" t="s">
        <v>1154</v>
      </c>
      <c r="P191" s="7">
        <v>3.99</v>
      </c>
      <c r="Q191" s="7">
        <f t="shared" si="188"/>
        <v>19.950000000000003</v>
      </c>
      <c r="R191" s="6"/>
    </row>
    <row r="192" spans="1:18" ht="19.5" thickBo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30" t="s">
        <v>1</v>
      </c>
      <c r="O192" s="31"/>
      <c r="P192" s="31"/>
      <c r="Q192" s="10">
        <f>SUM(Q3:Q191)</f>
        <v>504.16750000000025</v>
      </c>
      <c r="R192" s="1"/>
    </row>
    <row r="193" spans="1:18" ht="19.5" thickBo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30" t="s">
        <v>2</v>
      </c>
      <c r="O193" s="31"/>
      <c r="P193" s="31"/>
      <c r="Q193" s="11">
        <f>Q192/5</f>
        <v>100.83350000000004</v>
      </c>
      <c r="R193" s="1"/>
    </row>
    <row r="205" spans="1:18">
      <c r="M205" s="16"/>
    </row>
  </sheetData>
  <mergeCells count="3">
    <mergeCell ref="K1:R1"/>
    <mergeCell ref="N192:P192"/>
    <mergeCell ref="N193:P193"/>
  </mergeCells>
  <hyperlinks>
    <hyperlink ref="O4" r:id="rId1"/>
    <hyperlink ref="O5" r:id="rId2"/>
    <hyperlink ref="O6" r:id="rId3"/>
    <hyperlink ref="O7" r:id="rId4"/>
    <hyperlink ref="O8" r:id="rId5"/>
    <hyperlink ref="O9" r:id="rId6"/>
    <hyperlink ref="O10" r:id="rId7"/>
    <hyperlink ref="O11" r:id="rId8"/>
    <hyperlink ref="O12" r:id="rId9"/>
    <hyperlink ref="O13" r:id="rId10"/>
    <hyperlink ref="O14" r:id="rId11"/>
    <hyperlink ref="O15" r:id="rId12"/>
    <hyperlink ref="O16" r:id="rId13"/>
    <hyperlink ref="O17" r:id="rId14"/>
    <hyperlink ref="O18" r:id="rId15"/>
    <hyperlink ref="O19" r:id="rId16"/>
    <hyperlink ref="O20" r:id="rId17"/>
    <hyperlink ref="O21" r:id="rId18"/>
    <hyperlink ref="O22" r:id="rId19"/>
    <hyperlink ref="O23" r:id="rId20"/>
    <hyperlink ref="O24" r:id="rId21"/>
    <hyperlink ref="O25" r:id="rId22"/>
    <hyperlink ref="O26" r:id="rId23"/>
    <hyperlink ref="O27" r:id="rId24"/>
    <hyperlink ref="O28" r:id="rId25"/>
    <hyperlink ref="O29" r:id="rId26"/>
    <hyperlink ref="O31" r:id="rId27"/>
    <hyperlink ref="O32" r:id="rId28"/>
    <hyperlink ref="O33" r:id="rId29"/>
    <hyperlink ref="O34" r:id="rId30"/>
    <hyperlink ref="O35" r:id="rId31"/>
    <hyperlink ref="O36" r:id="rId32"/>
    <hyperlink ref="O37" r:id="rId33"/>
    <hyperlink ref="O38" r:id="rId34"/>
    <hyperlink ref="O39" r:id="rId35"/>
    <hyperlink ref="O40" r:id="rId36"/>
    <hyperlink ref="O41" r:id="rId37"/>
    <hyperlink ref="O42" r:id="rId38"/>
    <hyperlink ref="O43" r:id="rId39"/>
    <hyperlink ref="O44" r:id="rId40"/>
    <hyperlink ref="O45" r:id="rId41"/>
    <hyperlink ref="O46" r:id="rId42"/>
    <hyperlink ref="O47" r:id="rId43"/>
    <hyperlink ref="O48" r:id="rId44"/>
    <hyperlink ref="O49" r:id="rId45"/>
    <hyperlink ref="O50" r:id="rId46"/>
    <hyperlink ref="O51" r:id="rId47"/>
    <hyperlink ref="O52" r:id="rId48"/>
    <hyperlink ref="O53" r:id="rId49"/>
    <hyperlink ref="O54" r:id="rId50"/>
    <hyperlink ref="O55" r:id="rId51"/>
    <hyperlink ref="O56" r:id="rId52"/>
    <hyperlink ref="O57" r:id="rId53"/>
    <hyperlink ref="O58" r:id="rId54"/>
    <hyperlink ref="O60" r:id="rId55"/>
    <hyperlink ref="O62" r:id="rId56"/>
    <hyperlink ref="O63" r:id="rId57"/>
    <hyperlink ref="O64" r:id="rId58"/>
    <hyperlink ref="O65" r:id="rId59"/>
    <hyperlink ref="O66" r:id="rId60"/>
    <hyperlink ref="O67" r:id="rId61"/>
    <hyperlink ref="O68" r:id="rId62"/>
    <hyperlink ref="O69" r:id="rId63"/>
    <hyperlink ref="O70" r:id="rId64"/>
    <hyperlink ref="O71" r:id="rId65"/>
    <hyperlink ref="O72" r:id="rId66"/>
    <hyperlink ref="O73" r:id="rId67"/>
    <hyperlink ref="O74" r:id="rId68"/>
    <hyperlink ref="O75" r:id="rId69"/>
    <hyperlink ref="O76" r:id="rId70"/>
    <hyperlink ref="O77" r:id="rId71"/>
    <hyperlink ref="O78" r:id="rId72"/>
    <hyperlink ref="O79" r:id="rId73"/>
    <hyperlink ref="O80" r:id="rId74"/>
    <hyperlink ref="O81" r:id="rId75"/>
    <hyperlink ref="O82" r:id="rId76"/>
    <hyperlink ref="O83" r:id="rId77"/>
    <hyperlink ref="O85" r:id="rId78"/>
    <hyperlink ref="O86" r:id="rId79"/>
    <hyperlink ref="O87" r:id="rId80"/>
    <hyperlink ref="O88" r:id="rId81"/>
    <hyperlink ref="O89" r:id="rId82"/>
    <hyperlink ref="O90" r:id="rId83"/>
    <hyperlink ref="O91" r:id="rId84"/>
    <hyperlink ref="O92" r:id="rId85"/>
    <hyperlink ref="O94" r:id="rId86"/>
    <hyperlink ref="O95" r:id="rId87"/>
    <hyperlink ref="O96" r:id="rId88"/>
    <hyperlink ref="O97" r:id="rId89"/>
    <hyperlink ref="O98" r:id="rId90"/>
    <hyperlink ref="O99" r:id="rId91"/>
    <hyperlink ref="O100" r:id="rId92"/>
    <hyperlink ref="O101" r:id="rId93"/>
    <hyperlink ref="O102" r:id="rId94"/>
    <hyperlink ref="O103" r:id="rId95"/>
    <hyperlink ref="O104" r:id="rId96"/>
    <hyperlink ref="O105" r:id="rId97"/>
    <hyperlink ref="O106" r:id="rId98"/>
    <hyperlink ref="O107" r:id="rId99"/>
    <hyperlink ref="O108" r:id="rId100"/>
    <hyperlink ref="O109" r:id="rId101"/>
    <hyperlink ref="O110" r:id="rId102"/>
    <hyperlink ref="O111" r:id="rId103"/>
    <hyperlink ref="O112" r:id="rId104"/>
    <hyperlink ref="O113" r:id="rId105"/>
    <hyperlink ref="O114" r:id="rId106"/>
    <hyperlink ref="O115" r:id="rId107"/>
    <hyperlink ref="O116" r:id="rId108"/>
    <hyperlink ref="O117" r:id="rId109"/>
    <hyperlink ref="O118" r:id="rId110"/>
    <hyperlink ref="O119" r:id="rId111"/>
    <hyperlink ref="O120" r:id="rId112"/>
    <hyperlink ref="O121" r:id="rId113"/>
    <hyperlink ref="O122" r:id="rId114"/>
    <hyperlink ref="O123" r:id="rId115"/>
    <hyperlink ref="O124" r:id="rId116"/>
    <hyperlink ref="O125" r:id="rId117"/>
    <hyperlink ref="O126" r:id="rId118"/>
    <hyperlink ref="O127" r:id="rId119"/>
    <hyperlink ref="O128" r:id="rId120"/>
    <hyperlink ref="O129" r:id="rId121"/>
    <hyperlink ref="O130" r:id="rId122"/>
    <hyperlink ref="O131" r:id="rId123"/>
    <hyperlink ref="O132" r:id="rId124"/>
    <hyperlink ref="O133" r:id="rId125"/>
    <hyperlink ref="O134" r:id="rId126"/>
    <hyperlink ref="O135" r:id="rId127"/>
    <hyperlink ref="O136" r:id="rId128"/>
    <hyperlink ref="O137" r:id="rId129"/>
    <hyperlink ref="O138" r:id="rId130"/>
    <hyperlink ref="O139" r:id="rId131"/>
    <hyperlink ref="O140" r:id="rId132"/>
    <hyperlink ref="O141" r:id="rId133"/>
    <hyperlink ref="O142" r:id="rId134"/>
    <hyperlink ref="O143" r:id="rId135"/>
    <hyperlink ref="O144" r:id="rId136"/>
    <hyperlink ref="O145" r:id="rId137"/>
    <hyperlink ref="O146" r:id="rId138"/>
    <hyperlink ref="O147" r:id="rId139"/>
    <hyperlink ref="O148" r:id="rId140"/>
    <hyperlink ref="O149" r:id="rId141"/>
    <hyperlink ref="O150" r:id="rId142"/>
    <hyperlink ref="O151" r:id="rId143"/>
    <hyperlink ref="O152" r:id="rId144"/>
    <hyperlink ref="O153" r:id="rId145"/>
    <hyperlink ref="O154" r:id="rId146"/>
    <hyperlink ref="O155" r:id="rId147"/>
    <hyperlink ref="O156" r:id="rId148"/>
    <hyperlink ref="O157" r:id="rId149"/>
    <hyperlink ref="O158" r:id="rId150"/>
    <hyperlink ref="O159" r:id="rId151"/>
    <hyperlink ref="O160" r:id="rId152"/>
    <hyperlink ref="O161" r:id="rId153"/>
    <hyperlink ref="O162" r:id="rId154"/>
    <hyperlink ref="O163" r:id="rId155"/>
    <hyperlink ref="O164" r:id="rId156"/>
    <hyperlink ref="O165" r:id="rId157"/>
    <hyperlink ref="O166" r:id="rId158"/>
    <hyperlink ref="O167" r:id="rId159"/>
    <hyperlink ref="O168" r:id="rId160"/>
    <hyperlink ref="O169" r:id="rId161"/>
    <hyperlink ref="O170" r:id="rId162"/>
    <hyperlink ref="O171" r:id="rId163"/>
    <hyperlink ref="O172" r:id="rId164"/>
    <hyperlink ref="O173" r:id="rId165"/>
    <hyperlink ref="O174" r:id="rId166"/>
    <hyperlink ref="O175" r:id="rId167"/>
    <hyperlink ref="O176" r:id="rId168"/>
    <hyperlink ref="O177" r:id="rId169"/>
    <hyperlink ref="O178" r:id="rId170"/>
    <hyperlink ref="O3" r:id="rId171"/>
    <hyperlink ref="O30" r:id="rId172"/>
    <hyperlink ref="O59" r:id="rId173"/>
    <hyperlink ref="O61" r:id="rId174"/>
    <hyperlink ref="O190" r:id="rId175"/>
    <hyperlink ref="O191" r:id="rId176"/>
    <hyperlink ref="O179" r:id="rId177"/>
    <hyperlink ref="O84" r:id="rId178"/>
  </hyperlinks>
  <pageMargins left="0.7" right="0.7" top="0.75" bottom="0.75" header="0.3" footer="0.3"/>
  <pageSetup paperSize="9" orientation="portrait" r:id="rId1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2025-07-16T15:00:59Z</dcterms:modified>
</cp:coreProperties>
</file>