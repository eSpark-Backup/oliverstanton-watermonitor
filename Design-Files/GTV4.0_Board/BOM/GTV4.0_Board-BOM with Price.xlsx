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GTV4.0_Board\BOM\"/>
    </mc:Choice>
  </mc:AlternateContent>
  <bookViews>
    <workbookView xWindow="0" yWindow="0" windowWidth="20490" windowHeight="7500" activeTab="4"/>
  </bookViews>
  <sheets>
    <sheet name="5 Boards" sheetId="1" r:id="rId1"/>
    <sheet name="10 Boards" sheetId="3" r:id="rId2"/>
    <sheet name="100 Boards" sheetId="2" r:id="rId3"/>
    <sheet name="200 Boards" sheetId="4" r:id="rId4"/>
    <sheet name="500 Boards" sheetId="6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4" i="6" l="1"/>
  <c r="M4" i="6" l="1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3" i="6"/>
  <c r="Q196" i="6"/>
  <c r="O196" i="6"/>
  <c r="B196" i="6"/>
  <c r="Q195" i="6"/>
  <c r="O195" i="6"/>
  <c r="B195" i="6"/>
  <c r="O194" i="6"/>
  <c r="B194" i="6"/>
  <c r="Q193" i="6"/>
  <c r="O193" i="6"/>
  <c r="B193" i="6"/>
  <c r="Q192" i="6"/>
  <c r="O192" i="6"/>
  <c r="B192" i="6"/>
  <c r="Q191" i="6"/>
  <c r="O191" i="6"/>
  <c r="B191" i="6"/>
  <c r="Q190" i="6"/>
  <c r="O190" i="6"/>
  <c r="B190" i="6"/>
  <c r="Q189" i="6"/>
  <c r="O189" i="6"/>
  <c r="B189" i="6"/>
  <c r="Q188" i="6"/>
  <c r="O188" i="6"/>
  <c r="B188" i="6"/>
  <c r="Q187" i="6"/>
  <c r="O187" i="6"/>
  <c r="B187" i="6"/>
  <c r="Q186" i="6"/>
  <c r="B186" i="6"/>
  <c r="Q185" i="6"/>
  <c r="B185" i="6"/>
  <c r="Q184" i="6"/>
  <c r="B184" i="6"/>
  <c r="Q183" i="6"/>
  <c r="B183" i="6"/>
  <c r="Q182" i="6"/>
  <c r="B182" i="6"/>
  <c r="Q181" i="6"/>
  <c r="B181" i="6"/>
  <c r="Q180" i="6"/>
  <c r="B180" i="6"/>
  <c r="Q179" i="6"/>
  <c r="B179" i="6"/>
  <c r="Q178" i="6"/>
  <c r="B178" i="6"/>
  <c r="Q177" i="6"/>
  <c r="B177" i="6"/>
  <c r="Q176" i="6"/>
  <c r="B176" i="6"/>
  <c r="Q175" i="6"/>
  <c r="B175" i="6"/>
  <c r="Q174" i="6"/>
  <c r="B174" i="6"/>
  <c r="Q173" i="6"/>
  <c r="B173" i="6"/>
  <c r="Q172" i="6"/>
  <c r="B172" i="6"/>
  <c r="Q171" i="6"/>
  <c r="B171" i="6"/>
  <c r="Q170" i="6"/>
  <c r="B170" i="6"/>
  <c r="Q169" i="6"/>
  <c r="B169" i="6"/>
  <c r="Q168" i="6"/>
  <c r="B168" i="6"/>
  <c r="Q167" i="6"/>
  <c r="B167" i="6"/>
  <c r="Q166" i="6"/>
  <c r="B166" i="6"/>
  <c r="Q165" i="6"/>
  <c r="B165" i="6"/>
  <c r="Q164" i="6"/>
  <c r="B164" i="6"/>
  <c r="Q163" i="6"/>
  <c r="B163" i="6"/>
  <c r="Q162" i="6"/>
  <c r="B162" i="6"/>
  <c r="Q161" i="6"/>
  <c r="B161" i="6"/>
  <c r="Q160" i="6"/>
  <c r="B160" i="6"/>
  <c r="Q159" i="6"/>
  <c r="B159" i="6"/>
  <c r="Q158" i="6"/>
  <c r="B158" i="6"/>
  <c r="Q157" i="6"/>
  <c r="B157" i="6"/>
  <c r="Q156" i="6"/>
  <c r="B156" i="6"/>
  <c r="Q155" i="6"/>
  <c r="B155" i="6"/>
  <c r="Q154" i="6"/>
  <c r="B154" i="6"/>
  <c r="Q153" i="6"/>
  <c r="B153" i="6"/>
  <c r="Q152" i="6"/>
  <c r="B152" i="6"/>
  <c r="B151" i="6"/>
  <c r="Q150" i="6"/>
  <c r="B150" i="6"/>
  <c r="Q149" i="6"/>
  <c r="B149" i="6"/>
  <c r="Q148" i="6"/>
  <c r="B148" i="6"/>
  <c r="Q147" i="6"/>
  <c r="B147" i="6"/>
  <c r="Q146" i="6"/>
  <c r="B146" i="6"/>
  <c r="Q145" i="6"/>
  <c r="B145" i="6"/>
  <c r="B144" i="6"/>
  <c r="Q143" i="6"/>
  <c r="B143" i="6"/>
  <c r="Q142" i="6"/>
  <c r="B142" i="6"/>
  <c r="Q141" i="6"/>
  <c r="B141" i="6"/>
  <c r="Q140" i="6"/>
  <c r="B140" i="6"/>
  <c r="Q139" i="6"/>
  <c r="B139" i="6"/>
  <c r="Q138" i="6"/>
  <c r="B138" i="6"/>
  <c r="Q137" i="6"/>
  <c r="B137" i="6"/>
  <c r="Q136" i="6"/>
  <c r="B136" i="6"/>
  <c r="Q135" i="6"/>
  <c r="B135" i="6"/>
  <c r="Q134" i="6"/>
  <c r="B134" i="6"/>
  <c r="Q133" i="6"/>
  <c r="B133" i="6"/>
  <c r="Q132" i="6"/>
  <c r="B132" i="6"/>
  <c r="Q131" i="6"/>
  <c r="B131" i="6"/>
  <c r="Q130" i="6"/>
  <c r="B130" i="6"/>
  <c r="Q129" i="6"/>
  <c r="B129" i="6"/>
  <c r="Q128" i="6"/>
  <c r="B128" i="6"/>
  <c r="Q127" i="6"/>
  <c r="B127" i="6"/>
  <c r="Q126" i="6"/>
  <c r="B126" i="6"/>
  <c r="Q125" i="6"/>
  <c r="B125" i="6"/>
  <c r="Q124" i="6"/>
  <c r="B124" i="6"/>
  <c r="Q123" i="6"/>
  <c r="B123" i="6"/>
  <c r="Q122" i="6"/>
  <c r="B122" i="6"/>
  <c r="Q121" i="6"/>
  <c r="B121" i="6"/>
  <c r="Q120" i="6"/>
  <c r="B120" i="6"/>
  <c r="Q119" i="6"/>
  <c r="B119" i="6"/>
  <c r="Q118" i="6"/>
  <c r="B118" i="6"/>
  <c r="Q117" i="6"/>
  <c r="B117" i="6"/>
  <c r="B116" i="6"/>
  <c r="B115" i="6"/>
  <c r="Q114" i="6"/>
  <c r="B114" i="6"/>
  <c r="Q113" i="6"/>
  <c r="B113" i="6"/>
  <c r="Q112" i="6"/>
  <c r="B112" i="6"/>
  <c r="Q111" i="6"/>
  <c r="B111" i="6"/>
  <c r="Q110" i="6"/>
  <c r="B110" i="6"/>
  <c r="Q109" i="6"/>
  <c r="B109" i="6"/>
  <c r="Q108" i="6"/>
  <c r="B108" i="6"/>
  <c r="Q107" i="6"/>
  <c r="B107" i="6"/>
  <c r="Q106" i="6"/>
  <c r="B106" i="6"/>
  <c r="Q105" i="6"/>
  <c r="B105" i="6"/>
  <c r="Q104" i="6"/>
  <c r="B104" i="6"/>
  <c r="Q103" i="6"/>
  <c r="B103" i="6"/>
  <c r="Q102" i="6"/>
  <c r="B102" i="6"/>
  <c r="Q101" i="6"/>
  <c r="B101" i="6"/>
  <c r="Q100" i="6"/>
  <c r="B100" i="6"/>
  <c r="Q99" i="6"/>
  <c r="B99" i="6"/>
  <c r="Q98" i="6"/>
  <c r="B98" i="6"/>
  <c r="Q97" i="6"/>
  <c r="B97" i="6"/>
  <c r="Q96" i="6"/>
  <c r="B96" i="6"/>
  <c r="Q95" i="6"/>
  <c r="B95" i="6"/>
  <c r="Q94" i="6"/>
  <c r="B94" i="6"/>
  <c r="Q93" i="6"/>
  <c r="B93" i="6"/>
  <c r="Q92" i="6"/>
  <c r="B92" i="6"/>
  <c r="Q91" i="6"/>
  <c r="B91" i="6"/>
  <c r="Q90" i="6"/>
  <c r="B90" i="6"/>
  <c r="Q89" i="6"/>
  <c r="B89" i="6"/>
  <c r="Q88" i="6"/>
  <c r="B88" i="6"/>
  <c r="B87" i="6"/>
  <c r="Q86" i="6"/>
  <c r="B86" i="6"/>
  <c r="Q85" i="6"/>
  <c r="B85" i="6"/>
  <c r="Q84" i="6"/>
  <c r="B84" i="6"/>
  <c r="Q83" i="6"/>
  <c r="B83" i="6"/>
  <c r="Q82" i="6"/>
  <c r="B82" i="6"/>
  <c r="Q81" i="6"/>
  <c r="B81" i="6"/>
  <c r="Q80" i="6"/>
  <c r="B80" i="6"/>
  <c r="Q79" i="6"/>
  <c r="B79" i="6"/>
  <c r="Q78" i="6"/>
  <c r="B78" i="6"/>
  <c r="Q77" i="6"/>
  <c r="B77" i="6"/>
  <c r="Q76" i="6"/>
  <c r="B76" i="6"/>
  <c r="Q75" i="6"/>
  <c r="B75" i="6"/>
  <c r="Q74" i="6"/>
  <c r="B74" i="6"/>
  <c r="Q73" i="6"/>
  <c r="B73" i="6"/>
  <c r="Q72" i="6"/>
  <c r="B72" i="6"/>
  <c r="Q71" i="6"/>
  <c r="B71" i="6"/>
  <c r="Q70" i="6"/>
  <c r="B70" i="6"/>
  <c r="Q69" i="6"/>
  <c r="B69" i="6"/>
  <c r="Q68" i="6"/>
  <c r="B68" i="6"/>
  <c r="Q67" i="6"/>
  <c r="B67" i="6"/>
  <c r="Q66" i="6"/>
  <c r="B66" i="6"/>
  <c r="Q65" i="6"/>
  <c r="B65" i="6"/>
  <c r="Q64" i="6"/>
  <c r="B64" i="6"/>
  <c r="Q63" i="6"/>
  <c r="B63" i="6"/>
  <c r="Q62" i="6"/>
  <c r="B62" i="6"/>
  <c r="Q61" i="6"/>
  <c r="B61" i="6"/>
  <c r="Q60" i="6"/>
  <c r="B60" i="6"/>
  <c r="Q59" i="6"/>
  <c r="B59" i="6"/>
  <c r="Q58" i="6"/>
  <c r="B58" i="6"/>
  <c r="Q57" i="6"/>
  <c r="B57" i="6"/>
  <c r="Q56" i="6"/>
  <c r="B56" i="6"/>
  <c r="Q55" i="6"/>
  <c r="B55" i="6"/>
  <c r="Q54" i="6"/>
  <c r="B54" i="6"/>
  <c r="Q53" i="6"/>
  <c r="B53" i="6"/>
  <c r="Q52" i="6"/>
  <c r="B52" i="6"/>
  <c r="Q51" i="6"/>
  <c r="B51" i="6"/>
  <c r="Q50" i="6"/>
  <c r="B50" i="6"/>
  <c r="Q49" i="6"/>
  <c r="B49" i="6"/>
  <c r="Q48" i="6"/>
  <c r="B48" i="6"/>
  <c r="Q47" i="6"/>
  <c r="B47" i="6"/>
  <c r="Q46" i="6"/>
  <c r="B46" i="6"/>
  <c r="Q45" i="6"/>
  <c r="B45" i="6"/>
  <c r="Q44" i="6"/>
  <c r="B44" i="6"/>
  <c r="Q43" i="6"/>
  <c r="B43" i="6"/>
  <c r="Q42" i="6"/>
  <c r="B42" i="6"/>
  <c r="Q41" i="6"/>
  <c r="B41" i="6"/>
  <c r="Q40" i="6"/>
  <c r="B40" i="6"/>
  <c r="Q39" i="6"/>
  <c r="B39" i="6"/>
  <c r="Q38" i="6"/>
  <c r="B38" i="6"/>
  <c r="Q37" i="6"/>
  <c r="B37" i="6"/>
  <c r="Q36" i="6"/>
  <c r="B36" i="6"/>
  <c r="Q35" i="6"/>
  <c r="B35" i="6"/>
  <c r="Q34" i="6"/>
  <c r="B34" i="6"/>
  <c r="Q33" i="6"/>
  <c r="B33" i="6"/>
  <c r="Q32" i="6"/>
  <c r="B32" i="6"/>
  <c r="Q31" i="6"/>
  <c r="B31" i="6"/>
  <c r="Q30" i="6"/>
  <c r="B30" i="6"/>
  <c r="Q29" i="6"/>
  <c r="B29" i="6"/>
  <c r="Q28" i="6"/>
  <c r="B28" i="6"/>
  <c r="Q27" i="6"/>
  <c r="B27" i="6"/>
  <c r="Q26" i="6"/>
  <c r="B26" i="6"/>
  <c r="Q25" i="6"/>
  <c r="B25" i="6"/>
  <c r="Q24" i="6"/>
  <c r="B24" i="6"/>
  <c r="Q23" i="6"/>
  <c r="B23" i="6"/>
  <c r="Q22" i="6"/>
  <c r="B22" i="6"/>
  <c r="Q21" i="6"/>
  <c r="B21" i="6"/>
  <c r="Q20" i="6"/>
  <c r="B20" i="6"/>
  <c r="Q19" i="6"/>
  <c r="B19" i="6"/>
  <c r="Q18" i="6"/>
  <c r="B18" i="6"/>
  <c r="Q17" i="6"/>
  <c r="B17" i="6"/>
  <c r="Q16" i="6"/>
  <c r="B16" i="6"/>
  <c r="Q15" i="6"/>
  <c r="B15" i="6"/>
  <c r="Q14" i="6"/>
  <c r="B14" i="6"/>
  <c r="Q13" i="6"/>
  <c r="B13" i="6"/>
  <c r="Q12" i="6"/>
  <c r="B12" i="6"/>
  <c r="Q11" i="6"/>
  <c r="B11" i="6"/>
  <c r="Q10" i="6"/>
  <c r="B10" i="6"/>
  <c r="Q9" i="6"/>
  <c r="B9" i="6"/>
  <c r="Q8" i="6"/>
  <c r="B8" i="6"/>
  <c r="Q7" i="6"/>
  <c r="B7" i="6"/>
  <c r="Q6" i="6"/>
  <c r="B6" i="6"/>
  <c r="Q5" i="6"/>
  <c r="B5" i="6"/>
  <c r="Q4" i="6"/>
  <c r="B4" i="6"/>
  <c r="Q3" i="6"/>
  <c r="B3" i="6"/>
  <c r="Q197" i="6" l="1"/>
  <c r="Q198" i="6" s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3" i="4"/>
  <c r="Q196" i="4"/>
  <c r="O196" i="4"/>
  <c r="B196" i="4"/>
  <c r="Q195" i="4"/>
  <c r="O195" i="4"/>
  <c r="B195" i="4"/>
  <c r="Q194" i="4"/>
  <c r="O194" i="4"/>
  <c r="B194" i="4"/>
  <c r="Q193" i="4"/>
  <c r="O193" i="4"/>
  <c r="B193" i="4"/>
  <c r="Q192" i="4"/>
  <c r="O192" i="4"/>
  <c r="B192" i="4"/>
  <c r="Q191" i="4"/>
  <c r="O191" i="4"/>
  <c r="B191" i="4"/>
  <c r="Q190" i="4"/>
  <c r="O190" i="4"/>
  <c r="B190" i="4"/>
  <c r="Q189" i="4"/>
  <c r="O189" i="4"/>
  <c r="B189" i="4"/>
  <c r="Q188" i="4"/>
  <c r="O188" i="4"/>
  <c r="B188" i="4"/>
  <c r="Q187" i="4"/>
  <c r="O187" i="4"/>
  <c r="B187" i="4"/>
  <c r="Q186" i="4"/>
  <c r="B186" i="4"/>
  <c r="Q185" i="4"/>
  <c r="B185" i="4"/>
  <c r="Q184" i="4"/>
  <c r="B184" i="4"/>
  <c r="Q183" i="4"/>
  <c r="B183" i="4"/>
  <c r="Q182" i="4"/>
  <c r="B182" i="4"/>
  <c r="Q181" i="4"/>
  <c r="B181" i="4"/>
  <c r="Q180" i="4"/>
  <c r="B180" i="4"/>
  <c r="Q179" i="4"/>
  <c r="B179" i="4"/>
  <c r="Q178" i="4"/>
  <c r="B178" i="4"/>
  <c r="Q177" i="4"/>
  <c r="B177" i="4"/>
  <c r="Q176" i="4"/>
  <c r="B176" i="4"/>
  <c r="Q175" i="4"/>
  <c r="B175" i="4"/>
  <c r="Q174" i="4"/>
  <c r="B174" i="4"/>
  <c r="Q173" i="4"/>
  <c r="B173" i="4"/>
  <c r="Q172" i="4"/>
  <c r="B172" i="4"/>
  <c r="Q171" i="4"/>
  <c r="B171" i="4"/>
  <c r="Q170" i="4"/>
  <c r="B170" i="4"/>
  <c r="Q169" i="4"/>
  <c r="B169" i="4"/>
  <c r="Q168" i="4"/>
  <c r="B168" i="4"/>
  <c r="Q167" i="4"/>
  <c r="B167" i="4"/>
  <c r="Q166" i="4"/>
  <c r="B166" i="4"/>
  <c r="Q165" i="4"/>
  <c r="B165" i="4"/>
  <c r="Q164" i="4"/>
  <c r="B164" i="4"/>
  <c r="Q163" i="4"/>
  <c r="B163" i="4"/>
  <c r="Q162" i="4"/>
  <c r="B162" i="4"/>
  <c r="Q161" i="4"/>
  <c r="B161" i="4"/>
  <c r="Q160" i="4"/>
  <c r="B160" i="4"/>
  <c r="Q159" i="4"/>
  <c r="B159" i="4"/>
  <c r="Q158" i="4"/>
  <c r="B158" i="4"/>
  <c r="Q157" i="4"/>
  <c r="B157" i="4"/>
  <c r="Q156" i="4"/>
  <c r="B156" i="4"/>
  <c r="Q155" i="4"/>
  <c r="B155" i="4"/>
  <c r="Q154" i="4"/>
  <c r="B154" i="4"/>
  <c r="Q153" i="4"/>
  <c r="B153" i="4"/>
  <c r="Q152" i="4"/>
  <c r="B152" i="4"/>
  <c r="B151" i="4"/>
  <c r="Q150" i="4"/>
  <c r="B150" i="4"/>
  <c r="Q149" i="4"/>
  <c r="B149" i="4"/>
  <c r="Q148" i="4"/>
  <c r="B148" i="4"/>
  <c r="Q147" i="4"/>
  <c r="B147" i="4"/>
  <c r="Q146" i="4"/>
  <c r="B146" i="4"/>
  <c r="Q145" i="4"/>
  <c r="B145" i="4"/>
  <c r="B144" i="4"/>
  <c r="Q143" i="4"/>
  <c r="B143" i="4"/>
  <c r="Q142" i="4"/>
  <c r="B142" i="4"/>
  <c r="Q141" i="4"/>
  <c r="B141" i="4"/>
  <c r="Q140" i="4"/>
  <c r="B140" i="4"/>
  <c r="Q139" i="4"/>
  <c r="B139" i="4"/>
  <c r="Q138" i="4"/>
  <c r="B138" i="4"/>
  <c r="Q137" i="4"/>
  <c r="B137" i="4"/>
  <c r="Q136" i="4"/>
  <c r="B136" i="4"/>
  <c r="Q135" i="4"/>
  <c r="B135" i="4"/>
  <c r="Q134" i="4"/>
  <c r="B134" i="4"/>
  <c r="Q133" i="4"/>
  <c r="B133" i="4"/>
  <c r="Q132" i="4"/>
  <c r="B132" i="4"/>
  <c r="Q131" i="4"/>
  <c r="B131" i="4"/>
  <c r="Q130" i="4"/>
  <c r="B130" i="4"/>
  <c r="Q129" i="4"/>
  <c r="B129" i="4"/>
  <c r="Q128" i="4"/>
  <c r="B128" i="4"/>
  <c r="Q127" i="4"/>
  <c r="B127" i="4"/>
  <c r="Q126" i="4"/>
  <c r="B126" i="4"/>
  <c r="Q125" i="4"/>
  <c r="B125" i="4"/>
  <c r="Q124" i="4"/>
  <c r="B124" i="4"/>
  <c r="Q123" i="4"/>
  <c r="B123" i="4"/>
  <c r="Q122" i="4"/>
  <c r="B122" i="4"/>
  <c r="Q121" i="4"/>
  <c r="B121" i="4"/>
  <c r="Q120" i="4"/>
  <c r="B120" i="4"/>
  <c r="Q119" i="4"/>
  <c r="B119" i="4"/>
  <c r="Q118" i="4"/>
  <c r="B118" i="4"/>
  <c r="Q117" i="4"/>
  <c r="B117" i="4"/>
  <c r="B116" i="4"/>
  <c r="B115" i="4"/>
  <c r="Q114" i="4"/>
  <c r="B114" i="4"/>
  <c r="Q113" i="4"/>
  <c r="B113" i="4"/>
  <c r="Q112" i="4"/>
  <c r="B112" i="4"/>
  <c r="Q111" i="4"/>
  <c r="B111" i="4"/>
  <c r="Q110" i="4"/>
  <c r="B110" i="4"/>
  <c r="Q109" i="4"/>
  <c r="B109" i="4"/>
  <c r="Q108" i="4"/>
  <c r="B108" i="4"/>
  <c r="Q107" i="4"/>
  <c r="B107" i="4"/>
  <c r="Q106" i="4"/>
  <c r="B106" i="4"/>
  <c r="Q105" i="4"/>
  <c r="B105" i="4"/>
  <c r="Q104" i="4"/>
  <c r="B104" i="4"/>
  <c r="Q103" i="4"/>
  <c r="B103" i="4"/>
  <c r="Q102" i="4"/>
  <c r="B102" i="4"/>
  <c r="Q101" i="4"/>
  <c r="B101" i="4"/>
  <c r="Q100" i="4"/>
  <c r="B100" i="4"/>
  <c r="Q99" i="4"/>
  <c r="B99" i="4"/>
  <c r="Q98" i="4"/>
  <c r="B98" i="4"/>
  <c r="Q97" i="4"/>
  <c r="B97" i="4"/>
  <c r="Q96" i="4"/>
  <c r="B96" i="4"/>
  <c r="Q95" i="4"/>
  <c r="B95" i="4"/>
  <c r="Q94" i="4"/>
  <c r="B94" i="4"/>
  <c r="Q93" i="4"/>
  <c r="B93" i="4"/>
  <c r="Q92" i="4"/>
  <c r="B92" i="4"/>
  <c r="Q91" i="4"/>
  <c r="B91" i="4"/>
  <c r="Q90" i="4"/>
  <c r="B90" i="4"/>
  <c r="Q89" i="4"/>
  <c r="B89" i="4"/>
  <c r="Q88" i="4"/>
  <c r="B88" i="4"/>
  <c r="B87" i="4"/>
  <c r="Q86" i="4"/>
  <c r="B86" i="4"/>
  <c r="Q85" i="4"/>
  <c r="B85" i="4"/>
  <c r="Q84" i="4"/>
  <c r="B84" i="4"/>
  <c r="Q83" i="4"/>
  <c r="B83" i="4"/>
  <c r="Q82" i="4"/>
  <c r="B82" i="4"/>
  <c r="Q81" i="4"/>
  <c r="B81" i="4"/>
  <c r="Q80" i="4"/>
  <c r="B80" i="4"/>
  <c r="Q79" i="4"/>
  <c r="B79" i="4"/>
  <c r="Q78" i="4"/>
  <c r="B78" i="4"/>
  <c r="Q77" i="4"/>
  <c r="B77" i="4"/>
  <c r="Q76" i="4"/>
  <c r="B76" i="4"/>
  <c r="Q75" i="4"/>
  <c r="B75" i="4"/>
  <c r="Q74" i="4"/>
  <c r="B74" i="4"/>
  <c r="Q73" i="4"/>
  <c r="B73" i="4"/>
  <c r="Q72" i="4"/>
  <c r="B72" i="4"/>
  <c r="Q71" i="4"/>
  <c r="B71" i="4"/>
  <c r="Q70" i="4"/>
  <c r="B70" i="4"/>
  <c r="Q69" i="4"/>
  <c r="B69" i="4"/>
  <c r="Q68" i="4"/>
  <c r="B68" i="4"/>
  <c r="Q67" i="4"/>
  <c r="B67" i="4"/>
  <c r="Q66" i="4"/>
  <c r="B66" i="4"/>
  <c r="Q65" i="4"/>
  <c r="B65" i="4"/>
  <c r="Q64" i="4"/>
  <c r="B64" i="4"/>
  <c r="Q63" i="4"/>
  <c r="B63" i="4"/>
  <c r="Q62" i="4"/>
  <c r="B62" i="4"/>
  <c r="Q61" i="4"/>
  <c r="B61" i="4"/>
  <c r="Q60" i="4"/>
  <c r="B60" i="4"/>
  <c r="Q59" i="4"/>
  <c r="B59" i="4"/>
  <c r="Q58" i="4"/>
  <c r="B58" i="4"/>
  <c r="Q57" i="4"/>
  <c r="B57" i="4"/>
  <c r="Q56" i="4"/>
  <c r="B56" i="4"/>
  <c r="Q55" i="4"/>
  <c r="B55" i="4"/>
  <c r="Q54" i="4"/>
  <c r="B54" i="4"/>
  <c r="Q53" i="4"/>
  <c r="B53" i="4"/>
  <c r="Q52" i="4"/>
  <c r="B52" i="4"/>
  <c r="Q51" i="4"/>
  <c r="B51" i="4"/>
  <c r="Q50" i="4"/>
  <c r="B50" i="4"/>
  <c r="Q49" i="4"/>
  <c r="B49" i="4"/>
  <c r="Q48" i="4"/>
  <c r="B48" i="4"/>
  <c r="Q47" i="4"/>
  <c r="B47" i="4"/>
  <c r="Q46" i="4"/>
  <c r="B46" i="4"/>
  <c r="Q45" i="4"/>
  <c r="B45" i="4"/>
  <c r="Q44" i="4"/>
  <c r="B44" i="4"/>
  <c r="Q43" i="4"/>
  <c r="B43" i="4"/>
  <c r="Q42" i="4"/>
  <c r="B42" i="4"/>
  <c r="Q41" i="4"/>
  <c r="B41" i="4"/>
  <c r="Q40" i="4"/>
  <c r="B40" i="4"/>
  <c r="Q39" i="4"/>
  <c r="B39" i="4"/>
  <c r="Q38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Q31" i="4"/>
  <c r="B31" i="4"/>
  <c r="Q30" i="4"/>
  <c r="B30" i="4"/>
  <c r="Q29" i="4"/>
  <c r="B29" i="4"/>
  <c r="Q28" i="4"/>
  <c r="B28" i="4"/>
  <c r="Q27" i="4"/>
  <c r="B27" i="4"/>
  <c r="Q26" i="4"/>
  <c r="B26" i="4"/>
  <c r="Q25" i="4"/>
  <c r="B25" i="4"/>
  <c r="Q24" i="4"/>
  <c r="B24" i="4"/>
  <c r="Q23" i="4"/>
  <c r="B23" i="4"/>
  <c r="Q22" i="4"/>
  <c r="B22" i="4"/>
  <c r="Q21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9" i="4"/>
  <c r="B9" i="4"/>
  <c r="Q8" i="4"/>
  <c r="B8" i="4"/>
  <c r="Q7" i="4"/>
  <c r="B7" i="4"/>
  <c r="Q6" i="4"/>
  <c r="B6" i="4"/>
  <c r="Q5" i="4"/>
  <c r="B5" i="4"/>
  <c r="Q4" i="4"/>
  <c r="B4" i="4"/>
  <c r="Q3" i="4"/>
  <c r="B3" i="4"/>
  <c r="Q198" i="2"/>
  <c r="Q197" i="2"/>
  <c r="Q196" i="2"/>
  <c r="O196" i="2"/>
  <c r="M196" i="2"/>
  <c r="B196" i="2"/>
  <c r="Q195" i="2"/>
  <c r="O195" i="2"/>
  <c r="M195" i="2"/>
  <c r="B195" i="2"/>
  <c r="Q194" i="2"/>
  <c r="O194" i="2"/>
  <c r="M194" i="2"/>
  <c r="B194" i="2"/>
  <c r="Q193" i="2"/>
  <c r="O193" i="2"/>
  <c r="M193" i="2"/>
  <c r="B193" i="2"/>
  <c r="Q192" i="2"/>
  <c r="O192" i="2"/>
  <c r="M192" i="2"/>
  <c r="B192" i="2"/>
  <c r="Q191" i="2"/>
  <c r="O191" i="2"/>
  <c r="M191" i="2"/>
  <c r="B191" i="2"/>
  <c r="Q190" i="2"/>
  <c r="O190" i="2"/>
  <c r="M190" i="2"/>
  <c r="B190" i="2"/>
  <c r="Q189" i="2"/>
  <c r="O189" i="2"/>
  <c r="M189" i="2"/>
  <c r="B189" i="2"/>
  <c r="Q188" i="2"/>
  <c r="O188" i="2"/>
  <c r="M188" i="2"/>
  <c r="B188" i="2"/>
  <c r="Q187" i="2"/>
  <c r="O187" i="2"/>
  <c r="M187" i="2"/>
  <c r="B187" i="2"/>
  <c r="Q186" i="2"/>
  <c r="M186" i="2"/>
  <c r="B186" i="2"/>
  <c r="Q185" i="2"/>
  <c r="M185" i="2"/>
  <c r="B185" i="2"/>
  <c r="Q184" i="2"/>
  <c r="M184" i="2"/>
  <c r="B184" i="2"/>
  <c r="Q183" i="2"/>
  <c r="M183" i="2"/>
  <c r="B183" i="2"/>
  <c r="Q182" i="2"/>
  <c r="M182" i="2"/>
  <c r="B182" i="2"/>
  <c r="Q181" i="2"/>
  <c r="M181" i="2"/>
  <c r="B181" i="2"/>
  <c r="Q180" i="2"/>
  <c r="M180" i="2"/>
  <c r="B180" i="2"/>
  <c r="Q179" i="2"/>
  <c r="M179" i="2"/>
  <c r="B179" i="2"/>
  <c r="Q178" i="2"/>
  <c r="M178" i="2"/>
  <c r="B178" i="2"/>
  <c r="Q177" i="2"/>
  <c r="M177" i="2"/>
  <c r="B177" i="2"/>
  <c r="Q176" i="2"/>
  <c r="M176" i="2"/>
  <c r="B176" i="2"/>
  <c r="Q175" i="2"/>
  <c r="M175" i="2"/>
  <c r="B175" i="2"/>
  <c r="Q174" i="2"/>
  <c r="M174" i="2"/>
  <c r="B174" i="2"/>
  <c r="Q173" i="2"/>
  <c r="M173" i="2"/>
  <c r="B173" i="2"/>
  <c r="Q172" i="2"/>
  <c r="M172" i="2"/>
  <c r="B172" i="2"/>
  <c r="Q171" i="2"/>
  <c r="M171" i="2"/>
  <c r="B171" i="2"/>
  <c r="Q170" i="2"/>
  <c r="M170" i="2"/>
  <c r="B170" i="2"/>
  <c r="Q169" i="2"/>
  <c r="M169" i="2"/>
  <c r="B169" i="2"/>
  <c r="Q168" i="2"/>
  <c r="M168" i="2"/>
  <c r="B168" i="2"/>
  <c r="Q167" i="2"/>
  <c r="M167" i="2"/>
  <c r="B167" i="2"/>
  <c r="Q166" i="2"/>
  <c r="M166" i="2"/>
  <c r="B166" i="2"/>
  <c r="Q165" i="2"/>
  <c r="M165" i="2"/>
  <c r="B165" i="2"/>
  <c r="Q164" i="2"/>
  <c r="M164" i="2"/>
  <c r="B164" i="2"/>
  <c r="Q163" i="2"/>
  <c r="M163" i="2"/>
  <c r="B163" i="2"/>
  <c r="Q162" i="2"/>
  <c r="M162" i="2"/>
  <c r="B162" i="2"/>
  <c r="Q161" i="2"/>
  <c r="M161" i="2"/>
  <c r="B161" i="2"/>
  <c r="Q160" i="2"/>
  <c r="M160" i="2"/>
  <c r="B160" i="2"/>
  <c r="Q159" i="2"/>
  <c r="M159" i="2"/>
  <c r="B159" i="2"/>
  <c r="Q158" i="2"/>
  <c r="M158" i="2"/>
  <c r="B158" i="2"/>
  <c r="Q157" i="2"/>
  <c r="M157" i="2"/>
  <c r="B157" i="2"/>
  <c r="Q156" i="2"/>
  <c r="M156" i="2"/>
  <c r="B156" i="2"/>
  <c r="Q155" i="2"/>
  <c r="M155" i="2"/>
  <c r="B155" i="2"/>
  <c r="Q154" i="2"/>
  <c r="M154" i="2"/>
  <c r="B154" i="2"/>
  <c r="Q153" i="2"/>
  <c r="M153" i="2"/>
  <c r="B153" i="2"/>
  <c r="Q152" i="2"/>
  <c r="M152" i="2"/>
  <c r="B152" i="2"/>
  <c r="M151" i="2"/>
  <c r="B151" i="2"/>
  <c r="Q150" i="2"/>
  <c r="M150" i="2"/>
  <c r="B150" i="2"/>
  <c r="Q149" i="2"/>
  <c r="M149" i="2"/>
  <c r="B149" i="2"/>
  <c r="Q148" i="2"/>
  <c r="M148" i="2"/>
  <c r="B148" i="2"/>
  <c r="Q147" i="2"/>
  <c r="M147" i="2"/>
  <c r="B147" i="2"/>
  <c r="Q146" i="2"/>
  <c r="M146" i="2"/>
  <c r="B146" i="2"/>
  <c r="Q145" i="2"/>
  <c r="M145" i="2"/>
  <c r="B145" i="2"/>
  <c r="M144" i="2"/>
  <c r="B144" i="2"/>
  <c r="Q143" i="2"/>
  <c r="M143" i="2"/>
  <c r="B143" i="2"/>
  <c r="Q142" i="2"/>
  <c r="M142" i="2"/>
  <c r="B142" i="2"/>
  <c r="Q141" i="2"/>
  <c r="M141" i="2"/>
  <c r="B141" i="2"/>
  <c r="Q140" i="2"/>
  <c r="M140" i="2"/>
  <c r="B140" i="2"/>
  <c r="Q139" i="2"/>
  <c r="M139" i="2"/>
  <c r="B139" i="2"/>
  <c r="Q138" i="2"/>
  <c r="M138" i="2"/>
  <c r="B138" i="2"/>
  <c r="Q137" i="2"/>
  <c r="M137" i="2"/>
  <c r="B137" i="2"/>
  <c r="Q136" i="2"/>
  <c r="M136" i="2"/>
  <c r="B136" i="2"/>
  <c r="Q135" i="2"/>
  <c r="M135" i="2"/>
  <c r="B135" i="2"/>
  <c r="Q134" i="2"/>
  <c r="M134" i="2"/>
  <c r="B134" i="2"/>
  <c r="Q133" i="2"/>
  <c r="M133" i="2"/>
  <c r="B133" i="2"/>
  <c r="Q132" i="2"/>
  <c r="M132" i="2"/>
  <c r="B132" i="2"/>
  <c r="Q131" i="2"/>
  <c r="M131" i="2"/>
  <c r="B131" i="2"/>
  <c r="Q130" i="2"/>
  <c r="M130" i="2"/>
  <c r="B130" i="2"/>
  <c r="Q129" i="2"/>
  <c r="M129" i="2"/>
  <c r="B129" i="2"/>
  <c r="Q128" i="2"/>
  <c r="M128" i="2"/>
  <c r="B128" i="2"/>
  <c r="Q127" i="2"/>
  <c r="M127" i="2"/>
  <c r="B127" i="2"/>
  <c r="Q126" i="2"/>
  <c r="M126" i="2"/>
  <c r="B126" i="2"/>
  <c r="Q125" i="2"/>
  <c r="M125" i="2"/>
  <c r="B125" i="2"/>
  <c r="Q124" i="2"/>
  <c r="M124" i="2"/>
  <c r="B124" i="2"/>
  <c r="Q123" i="2"/>
  <c r="M123" i="2"/>
  <c r="B123" i="2"/>
  <c r="Q122" i="2"/>
  <c r="M122" i="2"/>
  <c r="B122" i="2"/>
  <c r="Q121" i="2"/>
  <c r="M121" i="2"/>
  <c r="B121" i="2"/>
  <c r="Q120" i="2"/>
  <c r="M120" i="2"/>
  <c r="B120" i="2"/>
  <c r="Q119" i="2"/>
  <c r="M119" i="2"/>
  <c r="B119" i="2"/>
  <c r="Q118" i="2"/>
  <c r="M118" i="2"/>
  <c r="B118" i="2"/>
  <c r="Q117" i="2"/>
  <c r="M117" i="2"/>
  <c r="B117" i="2"/>
  <c r="M116" i="2"/>
  <c r="B116" i="2"/>
  <c r="M115" i="2"/>
  <c r="B115" i="2"/>
  <c r="Q114" i="2"/>
  <c r="M114" i="2"/>
  <c r="B114" i="2"/>
  <c r="Q113" i="2"/>
  <c r="M113" i="2"/>
  <c r="B113" i="2"/>
  <c r="Q112" i="2"/>
  <c r="M112" i="2"/>
  <c r="B112" i="2"/>
  <c r="Q111" i="2"/>
  <c r="M111" i="2"/>
  <c r="B111" i="2"/>
  <c r="Q110" i="2"/>
  <c r="M110" i="2"/>
  <c r="B110" i="2"/>
  <c r="Q109" i="2"/>
  <c r="M109" i="2"/>
  <c r="B109" i="2"/>
  <c r="Q108" i="2"/>
  <c r="M108" i="2"/>
  <c r="B108" i="2"/>
  <c r="Q107" i="2"/>
  <c r="M107" i="2"/>
  <c r="B107" i="2"/>
  <c r="Q106" i="2"/>
  <c r="M106" i="2"/>
  <c r="B106" i="2"/>
  <c r="Q105" i="2"/>
  <c r="M105" i="2"/>
  <c r="B105" i="2"/>
  <c r="Q104" i="2"/>
  <c r="M104" i="2"/>
  <c r="B104" i="2"/>
  <c r="Q103" i="2"/>
  <c r="M103" i="2"/>
  <c r="B103" i="2"/>
  <c r="Q102" i="2"/>
  <c r="M102" i="2"/>
  <c r="B102" i="2"/>
  <c r="Q101" i="2"/>
  <c r="M101" i="2"/>
  <c r="B101" i="2"/>
  <c r="Q100" i="2"/>
  <c r="M100" i="2"/>
  <c r="B100" i="2"/>
  <c r="Q99" i="2"/>
  <c r="M99" i="2"/>
  <c r="B99" i="2"/>
  <c r="Q98" i="2"/>
  <c r="M98" i="2"/>
  <c r="B98" i="2"/>
  <c r="Q97" i="2"/>
  <c r="M97" i="2"/>
  <c r="B97" i="2"/>
  <c r="Q96" i="2"/>
  <c r="M96" i="2"/>
  <c r="B96" i="2"/>
  <c r="Q95" i="2"/>
  <c r="M95" i="2"/>
  <c r="B95" i="2"/>
  <c r="Q94" i="2"/>
  <c r="M94" i="2"/>
  <c r="B94" i="2"/>
  <c r="Q93" i="2"/>
  <c r="M93" i="2"/>
  <c r="B93" i="2"/>
  <c r="Q92" i="2"/>
  <c r="M92" i="2"/>
  <c r="B92" i="2"/>
  <c r="Q91" i="2"/>
  <c r="M91" i="2"/>
  <c r="B91" i="2"/>
  <c r="Q90" i="2"/>
  <c r="M90" i="2"/>
  <c r="B90" i="2"/>
  <c r="Q89" i="2"/>
  <c r="M89" i="2"/>
  <c r="B89" i="2"/>
  <c r="Q88" i="2"/>
  <c r="M88" i="2"/>
  <c r="B88" i="2"/>
  <c r="M87" i="2"/>
  <c r="B87" i="2"/>
  <c r="Q86" i="2"/>
  <c r="M86" i="2"/>
  <c r="B86" i="2"/>
  <c r="Q85" i="2"/>
  <c r="M85" i="2"/>
  <c r="B85" i="2"/>
  <c r="Q84" i="2"/>
  <c r="M84" i="2"/>
  <c r="B84" i="2"/>
  <c r="Q83" i="2"/>
  <c r="M83" i="2"/>
  <c r="B83" i="2"/>
  <c r="Q82" i="2"/>
  <c r="M82" i="2"/>
  <c r="B82" i="2"/>
  <c r="Q81" i="2"/>
  <c r="M81" i="2"/>
  <c r="B81" i="2"/>
  <c r="Q80" i="2"/>
  <c r="M80" i="2"/>
  <c r="B80" i="2"/>
  <c r="Q79" i="2"/>
  <c r="M79" i="2"/>
  <c r="B79" i="2"/>
  <c r="Q78" i="2"/>
  <c r="M78" i="2"/>
  <c r="B78" i="2"/>
  <c r="Q77" i="2"/>
  <c r="M77" i="2"/>
  <c r="B77" i="2"/>
  <c r="Q76" i="2"/>
  <c r="M76" i="2"/>
  <c r="B76" i="2"/>
  <c r="Q75" i="2"/>
  <c r="M75" i="2"/>
  <c r="B75" i="2"/>
  <c r="Q74" i="2"/>
  <c r="M74" i="2"/>
  <c r="B74" i="2"/>
  <c r="Q73" i="2"/>
  <c r="M73" i="2"/>
  <c r="B73" i="2"/>
  <c r="Q72" i="2"/>
  <c r="M72" i="2"/>
  <c r="B72" i="2"/>
  <c r="Q71" i="2"/>
  <c r="M71" i="2"/>
  <c r="B71" i="2"/>
  <c r="Q70" i="2"/>
  <c r="M70" i="2"/>
  <c r="B70" i="2"/>
  <c r="Q69" i="2"/>
  <c r="M69" i="2"/>
  <c r="B69" i="2"/>
  <c r="Q68" i="2"/>
  <c r="M68" i="2"/>
  <c r="B68" i="2"/>
  <c r="Q67" i="2"/>
  <c r="M67" i="2"/>
  <c r="B67" i="2"/>
  <c r="Q66" i="2"/>
  <c r="M66" i="2"/>
  <c r="B66" i="2"/>
  <c r="Q65" i="2"/>
  <c r="M65" i="2"/>
  <c r="B65" i="2"/>
  <c r="Q64" i="2"/>
  <c r="M64" i="2"/>
  <c r="B64" i="2"/>
  <c r="Q63" i="2"/>
  <c r="M63" i="2"/>
  <c r="B63" i="2"/>
  <c r="Q62" i="2"/>
  <c r="M62" i="2"/>
  <c r="B62" i="2"/>
  <c r="Q61" i="2"/>
  <c r="M61" i="2"/>
  <c r="B61" i="2"/>
  <c r="Q60" i="2"/>
  <c r="M60" i="2"/>
  <c r="B60" i="2"/>
  <c r="Q59" i="2"/>
  <c r="M59" i="2"/>
  <c r="B59" i="2"/>
  <c r="Q58" i="2"/>
  <c r="M58" i="2"/>
  <c r="B58" i="2"/>
  <c r="Q57" i="2"/>
  <c r="M57" i="2"/>
  <c r="B57" i="2"/>
  <c r="Q56" i="2"/>
  <c r="M56" i="2"/>
  <c r="B56" i="2"/>
  <c r="Q55" i="2"/>
  <c r="M55" i="2"/>
  <c r="B55" i="2"/>
  <c r="Q54" i="2"/>
  <c r="M54" i="2"/>
  <c r="B54" i="2"/>
  <c r="Q53" i="2"/>
  <c r="M53" i="2"/>
  <c r="B53" i="2"/>
  <c r="Q52" i="2"/>
  <c r="M52" i="2"/>
  <c r="B52" i="2"/>
  <c r="Q51" i="2"/>
  <c r="M51" i="2"/>
  <c r="B51" i="2"/>
  <c r="Q50" i="2"/>
  <c r="M50" i="2"/>
  <c r="B50" i="2"/>
  <c r="Q49" i="2"/>
  <c r="M49" i="2"/>
  <c r="B49" i="2"/>
  <c r="Q48" i="2"/>
  <c r="M48" i="2"/>
  <c r="B48" i="2"/>
  <c r="Q47" i="2"/>
  <c r="M47" i="2"/>
  <c r="B47" i="2"/>
  <c r="Q46" i="2"/>
  <c r="M46" i="2"/>
  <c r="B46" i="2"/>
  <c r="Q45" i="2"/>
  <c r="M45" i="2"/>
  <c r="B45" i="2"/>
  <c r="Q44" i="2"/>
  <c r="M44" i="2"/>
  <c r="B44" i="2"/>
  <c r="Q43" i="2"/>
  <c r="M43" i="2"/>
  <c r="B43" i="2"/>
  <c r="Q42" i="2"/>
  <c r="M42" i="2"/>
  <c r="B42" i="2"/>
  <c r="Q41" i="2"/>
  <c r="M41" i="2"/>
  <c r="B41" i="2"/>
  <c r="Q40" i="2"/>
  <c r="M40" i="2"/>
  <c r="B40" i="2"/>
  <c r="Q39" i="2"/>
  <c r="M39" i="2"/>
  <c r="B39" i="2"/>
  <c r="Q38" i="2"/>
  <c r="M38" i="2"/>
  <c r="B38" i="2"/>
  <c r="Q37" i="2"/>
  <c r="M37" i="2"/>
  <c r="B37" i="2"/>
  <c r="Q36" i="2"/>
  <c r="M36" i="2"/>
  <c r="B36" i="2"/>
  <c r="Q35" i="2"/>
  <c r="M35" i="2"/>
  <c r="B35" i="2"/>
  <c r="Q34" i="2"/>
  <c r="M34" i="2"/>
  <c r="B34" i="2"/>
  <c r="Q33" i="2"/>
  <c r="M33" i="2"/>
  <c r="B33" i="2"/>
  <c r="Q32" i="2"/>
  <c r="M32" i="2"/>
  <c r="B32" i="2"/>
  <c r="Q31" i="2"/>
  <c r="M31" i="2"/>
  <c r="B31" i="2"/>
  <c r="Q30" i="2"/>
  <c r="M30" i="2"/>
  <c r="B30" i="2"/>
  <c r="Q29" i="2"/>
  <c r="M29" i="2"/>
  <c r="B29" i="2"/>
  <c r="Q28" i="2"/>
  <c r="M28" i="2"/>
  <c r="B28" i="2"/>
  <c r="Q27" i="2"/>
  <c r="M27" i="2"/>
  <c r="B27" i="2"/>
  <c r="Q26" i="2"/>
  <c r="M26" i="2"/>
  <c r="B26" i="2"/>
  <c r="Q25" i="2"/>
  <c r="M25" i="2"/>
  <c r="B25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5" i="2"/>
  <c r="M15" i="2"/>
  <c r="B15" i="2"/>
  <c r="Q14" i="2"/>
  <c r="M14" i="2"/>
  <c r="B14" i="2"/>
  <c r="Q13" i="2"/>
  <c r="M13" i="2"/>
  <c r="B13" i="2"/>
  <c r="Q12" i="2"/>
  <c r="M12" i="2"/>
  <c r="B12" i="2"/>
  <c r="Q11" i="2"/>
  <c r="M11" i="2"/>
  <c r="B11" i="2"/>
  <c r="Q10" i="2"/>
  <c r="M10" i="2"/>
  <c r="B10" i="2"/>
  <c r="Q9" i="2"/>
  <c r="M9" i="2"/>
  <c r="B9" i="2"/>
  <c r="Q8" i="2"/>
  <c r="M8" i="2"/>
  <c r="B8" i="2"/>
  <c r="Q7" i="2"/>
  <c r="M7" i="2"/>
  <c r="B7" i="2"/>
  <c r="Q6" i="2"/>
  <c r="M6" i="2"/>
  <c r="B6" i="2"/>
  <c r="Q5" i="2"/>
  <c r="M5" i="2"/>
  <c r="B5" i="2"/>
  <c r="Q4" i="2"/>
  <c r="M4" i="2"/>
  <c r="B4" i="2"/>
  <c r="Q3" i="2"/>
  <c r="M3" i="2"/>
  <c r="B3" i="2"/>
  <c r="Q198" i="3"/>
  <c r="Q197" i="3"/>
  <c r="Q196" i="3"/>
  <c r="O196" i="3"/>
  <c r="M196" i="3"/>
  <c r="B196" i="3"/>
  <c r="Q195" i="3"/>
  <c r="O195" i="3"/>
  <c r="M195" i="3"/>
  <c r="B195" i="3"/>
  <c r="Q194" i="3"/>
  <c r="O194" i="3"/>
  <c r="M194" i="3"/>
  <c r="B194" i="3"/>
  <c r="Q193" i="3"/>
  <c r="O193" i="3"/>
  <c r="M193" i="3"/>
  <c r="B193" i="3"/>
  <c r="Q192" i="3"/>
  <c r="O192" i="3"/>
  <c r="M192" i="3"/>
  <c r="B192" i="3"/>
  <c r="Q191" i="3"/>
  <c r="O191" i="3"/>
  <c r="M191" i="3"/>
  <c r="B191" i="3"/>
  <c r="Q190" i="3"/>
  <c r="O190" i="3"/>
  <c r="M190" i="3"/>
  <c r="B190" i="3"/>
  <c r="Q189" i="3"/>
  <c r="O189" i="3"/>
  <c r="M189" i="3"/>
  <c r="B189" i="3"/>
  <c r="Q188" i="3"/>
  <c r="O188" i="3"/>
  <c r="M188" i="3"/>
  <c r="B188" i="3"/>
  <c r="Q187" i="3"/>
  <c r="O187" i="3"/>
  <c r="M187" i="3"/>
  <c r="B187" i="3"/>
  <c r="Q186" i="3"/>
  <c r="M186" i="3"/>
  <c r="B186" i="3"/>
  <c r="Q185" i="3"/>
  <c r="M185" i="3"/>
  <c r="B185" i="3"/>
  <c r="Q184" i="3"/>
  <c r="M184" i="3"/>
  <c r="B184" i="3"/>
  <c r="Q183" i="3"/>
  <c r="M183" i="3"/>
  <c r="B183" i="3"/>
  <c r="Q182" i="3"/>
  <c r="M182" i="3"/>
  <c r="B182" i="3"/>
  <c r="Q181" i="3"/>
  <c r="M181" i="3"/>
  <c r="B181" i="3"/>
  <c r="Q180" i="3"/>
  <c r="M180" i="3"/>
  <c r="B180" i="3"/>
  <c r="Q179" i="3"/>
  <c r="M179" i="3"/>
  <c r="B179" i="3"/>
  <c r="Q178" i="3"/>
  <c r="M178" i="3"/>
  <c r="B178" i="3"/>
  <c r="Q177" i="3"/>
  <c r="M177" i="3"/>
  <c r="B177" i="3"/>
  <c r="Q176" i="3"/>
  <c r="M176" i="3"/>
  <c r="B176" i="3"/>
  <c r="Q175" i="3"/>
  <c r="M175" i="3"/>
  <c r="B175" i="3"/>
  <c r="Q174" i="3"/>
  <c r="M174" i="3"/>
  <c r="B174" i="3"/>
  <c r="Q173" i="3"/>
  <c r="M173" i="3"/>
  <c r="B173" i="3"/>
  <c r="Q172" i="3"/>
  <c r="M172" i="3"/>
  <c r="B172" i="3"/>
  <c r="Q171" i="3"/>
  <c r="M171" i="3"/>
  <c r="B171" i="3"/>
  <c r="Q170" i="3"/>
  <c r="M170" i="3"/>
  <c r="B170" i="3"/>
  <c r="Q169" i="3"/>
  <c r="M169" i="3"/>
  <c r="B169" i="3"/>
  <c r="Q168" i="3"/>
  <c r="M168" i="3"/>
  <c r="B168" i="3"/>
  <c r="Q167" i="3"/>
  <c r="M167" i="3"/>
  <c r="B167" i="3"/>
  <c r="Q166" i="3"/>
  <c r="M166" i="3"/>
  <c r="B166" i="3"/>
  <c r="Q165" i="3"/>
  <c r="M165" i="3"/>
  <c r="B165" i="3"/>
  <c r="Q164" i="3"/>
  <c r="M164" i="3"/>
  <c r="B164" i="3"/>
  <c r="Q163" i="3"/>
  <c r="M163" i="3"/>
  <c r="B163" i="3"/>
  <c r="Q162" i="3"/>
  <c r="M162" i="3"/>
  <c r="B162" i="3"/>
  <c r="Q161" i="3"/>
  <c r="M161" i="3"/>
  <c r="B161" i="3"/>
  <c r="Q160" i="3"/>
  <c r="M160" i="3"/>
  <c r="B160" i="3"/>
  <c r="Q159" i="3"/>
  <c r="M159" i="3"/>
  <c r="B159" i="3"/>
  <c r="Q158" i="3"/>
  <c r="M158" i="3"/>
  <c r="B158" i="3"/>
  <c r="Q157" i="3"/>
  <c r="M157" i="3"/>
  <c r="B157" i="3"/>
  <c r="Q156" i="3"/>
  <c r="M156" i="3"/>
  <c r="B156" i="3"/>
  <c r="Q155" i="3"/>
  <c r="M155" i="3"/>
  <c r="B155" i="3"/>
  <c r="Q154" i="3"/>
  <c r="M154" i="3"/>
  <c r="B154" i="3"/>
  <c r="Q153" i="3"/>
  <c r="M153" i="3"/>
  <c r="B153" i="3"/>
  <c r="Q152" i="3"/>
  <c r="M152" i="3"/>
  <c r="B152" i="3"/>
  <c r="M151" i="3"/>
  <c r="B151" i="3"/>
  <c r="Q150" i="3"/>
  <c r="M150" i="3"/>
  <c r="B150" i="3"/>
  <c r="Q149" i="3"/>
  <c r="M149" i="3"/>
  <c r="B149" i="3"/>
  <c r="Q148" i="3"/>
  <c r="M148" i="3"/>
  <c r="B148" i="3"/>
  <c r="Q147" i="3"/>
  <c r="M147" i="3"/>
  <c r="B147" i="3"/>
  <c r="Q146" i="3"/>
  <c r="M146" i="3"/>
  <c r="B146" i="3"/>
  <c r="Q145" i="3"/>
  <c r="M145" i="3"/>
  <c r="B145" i="3"/>
  <c r="M144" i="3"/>
  <c r="B144" i="3"/>
  <c r="Q143" i="3"/>
  <c r="M143" i="3"/>
  <c r="B143" i="3"/>
  <c r="Q142" i="3"/>
  <c r="M142" i="3"/>
  <c r="B142" i="3"/>
  <c r="Q141" i="3"/>
  <c r="M141" i="3"/>
  <c r="B141" i="3"/>
  <c r="Q140" i="3"/>
  <c r="M140" i="3"/>
  <c r="B140" i="3"/>
  <c r="Q139" i="3"/>
  <c r="M139" i="3"/>
  <c r="B139" i="3"/>
  <c r="Q138" i="3"/>
  <c r="M138" i="3"/>
  <c r="B138" i="3"/>
  <c r="Q137" i="3"/>
  <c r="M137" i="3"/>
  <c r="B137" i="3"/>
  <c r="Q136" i="3"/>
  <c r="M136" i="3"/>
  <c r="B136" i="3"/>
  <c r="Q135" i="3"/>
  <c r="M135" i="3"/>
  <c r="B135" i="3"/>
  <c r="Q134" i="3"/>
  <c r="M134" i="3"/>
  <c r="B134" i="3"/>
  <c r="Q133" i="3"/>
  <c r="M133" i="3"/>
  <c r="B133" i="3"/>
  <c r="Q132" i="3"/>
  <c r="M132" i="3"/>
  <c r="B132" i="3"/>
  <c r="Q131" i="3"/>
  <c r="M131" i="3"/>
  <c r="B131" i="3"/>
  <c r="Q130" i="3"/>
  <c r="M130" i="3"/>
  <c r="B130" i="3"/>
  <c r="Q129" i="3"/>
  <c r="M129" i="3"/>
  <c r="B129" i="3"/>
  <c r="Q128" i="3"/>
  <c r="M128" i="3"/>
  <c r="B128" i="3"/>
  <c r="Q127" i="3"/>
  <c r="M127" i="3"/>
  <c r="B127" i="3"/>
  <c r="Q126" i="3"/>
  <c r="M126" i="3"/>
  <c r="B126" i="3"/>
  <c r="Q125" i="3"/>
  <c r="M125" i="3"/>
  <c r="B125" i="3"/>
  <c r="Q124" i="3"/>
  <c r="M124" i="3"/>
  <c r="B124" i="3"/>
  <c r="Q123" i="3"/>
  <c r="M123" i="3"/>
  <c r="B123" i="3"/>
  <c r="Q122" i="3"/>
  <c r="M122" i="3"/>
  <c r="B122" i="3"/>
  <c r="Q121" i="3"/>
  <c r="M121" i="3"/>
  <c r="B121" i="3"/>
  <c r="Q120" i="3"/>
  <c r="M120" i="3"/>
  <c r="B120" i="3"/>
  <c r="Q119" i="3"/>
  <c r="M119" i="3"/>
  <c r="B119" i="3"/>
  <c r="Q118" i="3"/>
  <c r="M118" i="3"/>
  <c r="B118" i="3"/>
  <c r="Q117" i="3"/>
  <c r="M117" i="3"/>
  <c r="B117" i="3"/>
  <c r="M116" i="3"/>
  <c r="B116" i="3"/>
  <c r="M115" i="3"/>
  <c r="B115" i="3"/>
  <c r="Q114" i="3"/>
  <c r="M114" i="3"/>
  <c r="B114" i="3"/>
  <c r="Q113" i="3"/>
  <c r="M113" i="3"/>
  <c r="B113" i="3"/>
  <c r="Q112" i="3"/>
  <c r="M112" i="3"/>
  <c r="B112" i="3"/>
  <c r="Q111" i="3"/>
  <c r="M111" i="3"/>
  <c r="B111" i="3"/>
  <c r="Q110" i="3"/>
  <c r="M110" i="3"/>
  <c r="B110" i="3"/>
  <c r="Q109" i="3"/>
  <c r="M109" i="3"/>
  <c r="B109" i="3"/>
  <c r="Q108" i="3"/>
  <c r="M108" i="3"/>
  <c r="B108" i="3"/>
  <c r="Q107" i="3"/>
  <c r="M107" i="3"/>
  <c r="B107" i="3"/>
  <c r="Q106" i="3"/>
  <c r="M106" i="3"/>
  <c r="B106" i="3"/>
  <c r="Q105" i="3"/>
  <c r="M105" i="3"/>
  <c r="B105" i="3"/>
  <c r="Q104" i="3"/>
  <c r="M104" i="3"/>
  <c r="B104" i="3"/>
  <c r="Q103" i="3"/>
  <c r="M103" i="3"/>
  <c r="B103" i="3"/>
  <c r="Q102" i="3"/>
  <c r="M102" i="3"/>
  <c r="B102" i="3"/>
  <c r="Q101" i="3"/>
  <c r="M101" i="3"/>
  <c r="B101" i="3"/>
  <c r="Q100" i="3"/>
  <c r="M100" i="3"/>
  <c r="B100" i="3"/>
  <c r="Q99" i="3"/>
  <c r="M99" i="3"/>
  <c r="B99" i="3"/>
  <c r="Q98" i="3"/>
  <c r="M98" i="3"/>
  <c r="B98" i="3"/>
  <c r="Q97" i="3"/>
  <c r="M97" i="3"/>
  <c r="B97" i="3"/>
  <c r="Q96" i="3"/>
  <c r="M96" i="3"/>
  <c r="B96" i="3"/>
  <c r="Q95" i="3"/>
  <c r="M95" i="3"/>
  <c r="B95" i="3"/>
  <c r="Q94" i="3"/>
  <c r="M94" i="3"/>
  <c r="B94" i="3"/>
  <c r="Q93" i="3"/>
  <c r="M93" i="3"/>
  <c r="B93" i="3"/>
  <c r="Q92" i="3"/>
  <c r="M92" i="3"/>
  <c r="B92" i="3"/>
  <c r="Q91" i="3"/>
  <c r="M91" i="3"/>
  <c r="B91" i="3"/>
  <c r="Q90" i="3"/>
  <c r="M90" i="3"/>
  <c r="B90" i="3"/>
  <c r="Q89" i="3"/>
  <c r="M89" i="3"/>
  <c r="B89" i="3"/>
  <c r="Q88" i="3"/>
  <c r="M88" i="3"/>
  <c r="B88" i="3"/>
  <c r="M87" i="3"/>
  <c r="B87" i="3"/>
  <c r="Q86" i="3"/>
  <c r="M86" i="3"/>
  <c r="B86" i="3"/>
  <c r="Q85" i="3"/>
  <c r="M85" i="3"/>
  <c r="B85" i="3"/>
  <c r="Q84" i="3"/>
  <c r="M84" i="3"/>
  <c r="B84" i="3"/>
  <c r="Q83" i="3"/>
  <c r="M83" i="3"/>
  <c r="B83" i="3"/>
  <c r="Q82" i="3"/>
  <c r="M82" i="3"/>
  <c r="B82" i="3"/>
  <c r="Q81" i="3"/>
  <c r="M81" i="3"/>
  <c r="B81" i="3"/>
  <c r="Q80" i="3"/>
  <c r="M80" i="3"/>
  <c r="B80" i="3"/>
  <c r="Q79" i="3"/>
  <c r="M79" i="3"/>
  <c r="B79" i="3"/>
  <c r="Q78" i="3"/>
  <c r="M78" i="3"/>
  <c r="B78" i="3"/>
  <c r="Q77" i="3"/>
  <c r="M77" i="3"/>
  <c r="B77" i="3"/>
  <c r="Q76" i="3"/>
  <c r="M76" i="3"/>
  <c r="B76" i="3"/>
  <c r="Q75" i="3"/>
  <c r="M75" i="3"/>
  <c r="B75" i="3"/>
  <c r="Q74" i="3"/>
  <c r="M74" i="3"/>
  <c r="B74" i="3"/>
  <c r="Q73" i="3"/>
  <c r="M73" i="3"/>
  <c r="B73" i="3"/>
  <c r="Q72" i="3"/>
  <c r="M72" i="3"/>
  <c r="B72" i="3"/>
  <c r="Q71" i="3"/>
  <c r="M71" i="3"/>
  <c r="B71" i="3"/>
  <c r="Q70" i="3"/>
  <c r="M70" i="3"/>
  <c r="B70" i="3"/>
  <c r="Q69" i="3"/>
  <c r="M69" i="3"/>
  <c r="B69" i="3"/>
  <c r="Q68" i="3"/>
  <c r="M68" i="3"/>
  <c r="B68" i="3"/>
  <c r="Q67" i="3"/>
  <c r="M67" i="3"/>
  <c r="B67" i="3"/>
  <c r="Q66" i="3"/>
  <c r="M66" i="3"/>
  <c r="B66" i="3"/>
  <c r="Q65" i="3"/>
  <c r="M65" i="3"/>
  <c r="B65" i="3"/>
  <c r="Q64" i="3"/>
  <c r="M64" i="3"/>
  <c r="B64" i="3"/>
  <c r="Q63" i="3"/>
  <c r="M63" i="3"/>
  <c r="B63" i="3"/>
  <c r="Q62" i="3"/>
  <c r="M62" i="3"/>
  <c r="B62" i="3"/>
  <c r="Q61" i="3"/>
  <c r="M61" i="3"/>
  <c r="B61" i="3"/>
  <c r="Q60" i="3"/>
  <c r="M60" i="3"/>
  <c r="B60" i="3"/>
  <c r="Q59" i="3"/>
  <c r="M59" i="3"/>
  <c r="B59" i="3"/>
  <c r="Q58" i="3"/>
  <c r="M58" i="3"/>
  <c r="B58" i="3"/>
  <c r="Q57" i="3"/>
  <c r="M57" i="3"/>
  <c r="B57" i="3"/>
  <c r="Q56" i="3"/>
  <c r="M56" i="3"/>
  <c r="B56" i="3"/>
  <c r="Q55" i="3"/>
  <c r="M55" i="3"/>
  <c r="B55" i="3"/>
  <c r="Q54" i="3"/>
  <c r="M54" i="3"/>
  <c r="B54" i="3"/>
  <c r="Q53" i="3"/>
  <c r="M53" i="3"/>
  <c r="B53" i="3"/>
  <c r="Q52" i="3"/>
  <c r="M52" i="3"/>
  <c r="B52" i="3"/>
  <c r="Q51" i="3"/>
  <c r="M51" i="3"/>
  <c r="B51" i="3"/>
  <c r="Q50" i="3"/>
  <c r="M50" i="3"/>
  <c r="B50" i="3"/>
  <c r="Q49" i="3"/>
  <c r="M49" i="3"/>
  <c r="B49" i="3"/>
  <c r="Q48" i="3"/>
  <c r="M48" i="3"/>
  <c r="B48" i="3"/>
  <c r="Q47" i="3"/>
  <c r="M47" i="3"/>
  <c r="B47" i="3"/>
  <c r="Q46" i="3"/>
  <c r="M46" i="3"/>
  <c r="B46" i="3"/>
  <c r="Q45" i="3"/>
  <c r="M45" i="3"/>
  <c r="B45" i="3"/>
  <c r="Q44" i="3"/>
  <c r="M44" i="3"/>
  <c r="B44" i="3"/>
  <c r="Q43" i="3"/>
  <c r="M43" i="3"/>
  <c r="B43" i="3"/>
  <c r="Q42" i="3"/>
  <c r="M42" i="3"/>
  <c r="B42" i="3"/>
  <c r="Q41" i="3"/>
  <c r="M41" i="3"/>
  <c r="B41" i="3"/>
  <c r="Q40" i="3"/>
  <c r="M40" i="3"/>
  <c r="B40" i="3"/>
  <c r="Q39" i="3"/>
  <c r="M39" i="3"/>
  <c r="B39" i="3"/>
  <c r="Q38" i="3"/>
  <c r="M38" i="3"/>
  <c r="B38" i="3"/>
  <c r="Q37" i="3"/>
  <c r="M37" i="3"/>
  <c r="B37" i="3"/>
  <c r="Q36" i="3"/>
  <c r="M36" i="3"/>
  <c r="B36" i="3"/>
  <c r="Q35" i="3"/>
  <c r="M35" i="3"/>
  <c r="B35" i="3"/>
  <c r="Q34" i="3"/>
  <c r="M34" i="3"/>
  <c r="B34" i="3"/>
  <c r="Q33" i="3"/>
  <c r="M33" i="3"/>
  <c r="B33" i="3"/>
  <c r="Q32" i="3"/>
  <c r="M32" i="3"/>
  <c r="B32" i="3"/>
  <c r="Q31" i="3"/>
  <c r="M31" i="3"/>
  <c r="B31" i="3"/>
  <c r="Q30" i="3"/>
  <c r="M30" i="3"/>
  <c r="B30" i="3"/>
  <c r="Q29" i="3"/>
  <c r="M29" i="3"/>
  <c r="B29" i="3"/>
  <c r="Q28" i="3"/>
  <c r="M28" i="3"/>
  <c r="B28" i="3"/>
  <c r="Q27" i="3"/>
  <c r="M27" i="3"/>
  <c r="B27" i="3"/>
  <c r="Q26" i="3"/>
  <c r="M26" i="3"/>
  <c r="B26" i="3"/>
  <c r="Q25" i="3"/>
  <c r="M25" i="3"/>
  <c r="B25" i="3"/>
  <c r="Q24" i="3"/>
  <c r="M24" i="3"/>
  <c r="B24" i="3"/>
  <c r="Q23" i="3"/>
  <c r="M23" i="3"/>
  <c r="B23" i="3"/>
  <c r="Q22" i="3"/>
  <c r="M22" i="3"/>
  <c r="B22" i="3"/>
  <c r="Q21" i="3"/>
  <c r="M21" i="3"/>
  <c r="B21" i="3"/>
  <c r="Q20" i="3"/>
  <c r="M20" i="3"/>
  <c r="B20" i="3"/>
  <c r="Q19" i="3"/>
  <c r="M19" i="3"/>
  <c r="B19" i="3"/>
  <c r="Q18" i="3"/>
  <c r="M18" i="3"/>
  <c r="B18" i="3"/>
  <c r="Q17" i="3"/>
  <c r="M17" i="3"/>
  <c r="B17" i="3"/>
  <c r="Q16" i="3"/>
  <c r="M16" i="3"/>
  <c r="B16" i="3"/>
  <c r="Q15" i="3"/>
  <c r="M15" i="3"/>
  <c r="B15" i="3"/>
  <c r="Q14" i="3"/>
  <c r="M14" i="3"/>
  <c r="B14" i="3"/>
  <c r="Q13" i="3"/>
  <c r="M13" i="3"/>
  <c r="B13" i="3"/>
  <c r="Q12" i="3"/>
  <c r="M12" i="3"/>
  <c r="B12" i="3"/>
  <c r="Q11" i="3"/>
  <c r="M11" i="3"/>
  <c r="B11" i="3"/>
  <c r="Q10" i="3"/>
  <c r="M10" i="3"/>
  <c r="B10" i="3"/>
  <c r="Q9" i="3"/>
  <c r="M9" i="3"/>
  <c r="B9" i="3"/>
  <c r="Q8" i="3"/>
  <c r="M8" i="3"/>
  <c r="B8" i="3"/>
  <c r="Q7" i="3"/>
  <c r="M7" i="3"/>
  <c r="B7" i="3"/>
  <c r="Q6" i="3"/>
  <c r="M6" i="3"/>
  <c r="B6" i="3"/>
  <c r="Q5" i="3"/>
  <c r="M5" i="3"/>
  <c r="B5" i="3"/>
  <c r="Q4" i="3"/>
  <c r="M4" i="3"/>
  <c r="B4" i="3"/>
  <c r="Q3" i="3"/>
  <c r="M3" i="3"/>
  <c r="B3" i="3"/>
  <c r="Q198" i="1"/>
  <c r="Q197" i="1"/>
  <c r="Q196" i="1"/>
  <c r="O196" i="1"/>
  <c r="M196" i="1"/>
  <c r="B196" i="1"/>
  <c r="Q195" i="1"/>
  <c r="O195" i="1"/>
  <c r="M195" i="1"/>
  <c r="B195" i="1"/>
  <c r="Q194" i="1"/>
  <c r="O194" i="1"/>
  <c r="M194" i="1"/>
  <c r="B194" i="1"/>
  <c r="Q193" i="1"/>
  <c r="O193" i="1"/>
  <c r="M193" i="1"/>
  <c r="B193" i="1"/>
  <c r="Q192" i="1"/>
  <c r="O192" i="1"/>
  <c r="M192" i="1"/>
  <c r="B192" i="1"/>
  <c r="Q191" i="1"/>
  <c r="O191" i="1"/>
  <c r="M191" i="1"/>
  <c r="B191" i="1"/>
  <c r="Q190" i="1"/>
  <c r="O190" i="1"/>
  <c r="M190" i="1"/>
  <c r="B190" i="1"/>
  <c r="Q189" i="1"/>
  <c r="O189" i="1"/>
  <c r="M189" i="1"/>
  <c r="B189" i="1"/>
  <c r="Q188" i="1"/>
  <c r="O188" i="1"/>
  <c r="M188" i="1"/>
  <c r="B188" i="1"/>
  <c r="Q187" i="1"/>
  <c r="O187" i="1"/>
  <c r="M187" i="1"/>
  <c r="B187" i="1"/>
  <c r="Q186" i="1"/>
  <c r="M186" i="1"/>
  <c r="B186" i="1"/>
  <c r="Q185" i="1"/>
  <c r="M185" i="1"/>
  <c r="B185" i="1"/>
  <c r="Q184" i="1"/>
  <c r="M184" i="1"/>
  <c r="B184" i="1"/>
  <c r="Q183" i="1"/>
  <c r="M183" i="1"/>
  <c r="B183" i="1"/>
  <c r="Q182" i="1"/>
  <c r="M182" i="1"/>
  <c r="B182" i="1"/>
  <c r="Q181" i="1"/>
  <c r="M181" i="1"/>
  <c r="B181" i="1"/>
  <c r="Q180" i="1"/>
  <c r="M180" i="1"/>
  <c r="B180" i="1"/>
  <c r="Q179" i="1"/>
  <c r="M179" i="1"/>
  <c r="B179" i="1"/>
  <c r="Q178" i="1"/>
  <c r="M178" i="1"/>
  <c r="B178" i="1"/>
  <c r="Q177" i="1"/>
  <c r="M177" i="1"/>
  <c r="B177" i="1"/>
  <c r="Q176" i="1"/>
  <c r="M176" i="1"/>
  <c r="B176" i="1"/>
  <c r="Q175" i="1"/>
  <c r="M175" i="1"/>
  <c r="B175" i="1"/>
  <c r="Q174" i="1"/>
  <c r="M174" i="1"/>
  <c r="B174" i="1"/>
  <c r="Q173" i="1"/>
  <c r="M173" i="1"/>
  <c r="B173" i="1"/>
  <c r="Q172" i="1"/>
  <c r="M172" i="1"/>
  <c r="B172" i="1"/>
  <c r="Q171" i="1"/>
  <c r="M171" i="1"/>
  <c r="B171" i="1"/>
  <c r="Q170" i="1"/>
  <c r="M170" i="1"/>
  <c r="B170" i="1"/>
  <c r="Q169" i="1"/>
  <c r="M169" i="1"/>
  <c r="B169" i="1"/>
  <c r="Q168" i="1"/>
  <c r="M168" i="1"/>
  <c r="B168" i="1"/>
  <c r="Q167" i="1"/>
  <c r="M167" i="1"/>
  <c r="B167" i="1"/>
  <c r="Q166" i="1"/>
  <c r="M166" i="1"/>
  <c r="B166" i="1"/>
  <c r="Q165" i="1"/>
  <c r="M165" i="1"/>
  <c r="B165" i="1"/>
  <c r="Q164" i="1"/>
  <c r="M164" i="1"/>
  <c r="B164" i="1"/>
  <c r="Q163" i="1"/>
  <c r="M163" i="1"/>
  <c r="B163" i="1"/>
  <c r="Q162" i="1"/>
  <c r="M162" i="1"/>
  <c r="B162" i="1"/>
  <c r="Q161" i="1"/>
  <c r="M161" i="1"/>
  <c r="B161" i="1"/>
  <c r="Q160" i="1"/>
  <c r="M160" i="1"/>
  <c r="B160" i="1"/>
  <c r="Q159" i="1"/>
  <c r="M159" i="1"/>
  <c r="B159" i="1"/>
  <c r="Q158" i="1"/>
  <c r="M158" i="1"/>
  <c r="B158" i="1"/>
  <c r="Q157" i="1"/>
  <c r="M157" i="1"/>
  <c r="B157" i="1"/>
  <c r="Q156" i="1"/>
  <c r="M156" i="1"/>
  <c r="B156" i="1"/>
  <c r="Q155" i="1"/>
  <c r="M155" i="1"/>
  <c r="B155" i="1"/>
  <c r="Q154" i="1"/>
  <c r="M154" i="1"/>
  <c r="B154" i="1"/>
  <c r="Q153" i="1"/>
  <c r="M153" i="1"/>
  <c r="B153" i="1"/>
  <c r="Q152" i="1"/>
  <c r="M152" i="1"/>
  <c r="B152" i="1"/>
  <c r="M151" i="1"/>
  <c r="B151" i="1"/>
  <c r="Q150" i="1"/>
  <c r="M150" i="1"/>
  <c r="B150" i="1"/>
  <c r="Q149" i="1"/>
  <c r="M149" i="1"/>
  <c r="B149" i="1"/>
  <c r="Q148" i="1"/>
  <c r="M148" i="1"/>
  <c r="B148" i="1"/>
  <c r="Q147" i="1"/>
  <c r="M147" i="1"/>
  <c r="B147" i="1"/>
  <c r="Q146" i="1"/>
  <c r="M146" i="1"/>
  <c r="B146" i="1"/>
  <c r="Q145" i="1"/>
  <c r="M145" i="1"/>
  <c r="B145" i="1"/>
  <c r="M144" i="1"/>
  <c r="B144" i="1"/>
  <c r="Q143" i="1"/>
  <c r="M143" i="1"/>
  <c r="B143" i="1"/>
  <c r="Q142" i="1"/>
  <c r="M142" i="1"/>
  <c r="B142" i="1"/>
  <c r="Q141" i="1"/>
  <c r="M141" i="1"/>
  <c r="B141" i="1"/>
  <c r="Q140" i="1"/>
  <c r="M140" i="1"/>
  <c r="B140" i="1"/>
  <c r="Q139" i="1"/>
  <c r="M139" i="1"/>
  <c r="B139" i="1"/>
  <c r="Q138" i="1"/>
  <c r="M138" i="1"/>
  <c r="B138" i="1"/>
  <c r="Q137" i="1"/>
  <c r="M137" i="1"/>
  <c r="B137" i="1"/>
  <c r="Q136" i="1"/>
  <c r="M136" i="1"/>
  <c r="B136" i="1"/>
  <c r="Q135" i="1"/>
  <c r="M135" i="1"/>
  <c r="B135" i="1"/>
  <c r="Q134" i="1"/>
  <c r="M134" i="1"/>
  <c r="B134" i="1"/>
  <c r="Q133" i="1"/>
  <c r="M133" i="1"/>
  <c r="B133" i="1"/>
  <c r="Q132" i="1"/>
  <c r="M132" i="1"/>
  <c r="B132" i="1"/>
  <c r="Q131" i="1"/>
  <c r="M131" i="1"/>
  <c r="B131" i="1"/>
  <c r="Q130" i="1"/>
  <c r="M130" i="1"/>
  <c r="B130" i="1"/>
  <c r="Q129" i="1"/>
  <c r="M129" i="1"/>
  <c r="B129" i="1"/>
  <c r="Q128" i="1"/>
  <c r="M128" i="1"/>
  <c r="B128" i="1"/>
  <c r="Q127" i="1"/>
  <c r="M127" i="1"/>
  <c r="B127" i="1"/>
  <c r="Q126" i="1"/>
  <c r="M126" i="1"/>
  <c r="B126" i="1"/>
  <c r="Q125" i="1"/>
  <c r="M125" i="1"/>
  <c r="B125" i="1"/>
  <c r="Q124" i="1"/>
  <c r="M124" i="1"/>
  <c r="B124" i="1"/>
  <c r="Q123" i="1"/>
  <c r="M123" i="1"/>
  <c r="B123" i="1"/>
  <c r="Q122" i="1"/>
  <c r="M122" i="1"/>
  <c r="B122" i="1"/>
  <c r="Q121" i="1"/>
  <c r="M121" i="1"/>
  <c r="B121" i="1"/>
  <c r="Q120" i="1"/>
  <c r="M120" i="1"/>
  <c r="B120" i="1"/>
  <c r="Q119" i="1"/>
  <c r="M119" i="1"/>
  <c r="B119" i="1"/>
  <c r="Q118" i="1"/>
  <c r="M118" i="1"/>
  <c r="B118" i="1"/>
  <c r="Q117" i="1"/>
  <c r="M117" i="1"/>
  <c r="B117" i="1"/>
  <c r="M116" i="1"/>
  <c r="B116" i="1"/>
  <c r="M115" i="1"/>
  <c r="B115" i="1"/>
  <c r="Q114" i="1"/>
  <c r="M114" i="1"/>
  <c r="B114" i="1"/>
  <c r="Q113" i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/>
  <c r="M9" i="1"/>
  <c r="B9" i="1"/>
  <c r="Q8" i="1"/>
  <c r="M8" i="1"/>
  <c r="B8" i="1"/>
  <c r="Q7" i="1"/>
  <c r="M7" i="1"/>
  <c r="B7" i="1"/>
  <c r="Q6" i="1"/>
  <c r="M6" i="1"/>
  <c r="B6" i="1"/>
  <c r="Q5" i="1"/>
  <c r="M5" i="1"/>
  <c r="B5" i="1"/>
  <c r="Q4" i="1"/>
  <c r="M4" i="1"/>
  <c r="B4" i="1"/>
  <c r="Q3" i="1"/>
  <c r="M3" i="1"/>
  <c r="B3" i="1"/>
  <c r="Q197" i="4" l="1"/>
  <c r="Q198" i="4" s="1"/>
</calcChain>
</file>

<file path=xl/sharedStrings.xml><?xml version="1.0" encoding="utf-8"?>
<sst xmlns="http://schemas.openxmlformats.org/spreadsheetml/2006/main" count="10882" uniqueCount="1293">
  <si>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</si>
  <si>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</si>
  <si>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</si>
  <si>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</si>
  <si>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</si>
  <si>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</si>
  <si>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</si>
  <si>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</si>
  <si>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</si>
  <si>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</si>
  <si>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</si>
  <si>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</si>
  <si>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 xml:space="preserve"> MOQ (5 Boards)</t>
  </si>
  <si>
    <t>Links</t>
  </si>
  <si>
    <t>Unit Cost (5 Boards)</t>
  </si>
  <si>
    <t>Total Cost (5 Boards)</t>
  </si>
  <si>
    <t>Remarks</t>
  </si>
  <si>
    <t>Capacitor</t>
  </si>
  <si>
    <t>C1, C4, C16, C21, C23, C24, C40, C42, C43, C44, C45, C65, C68, C76</t>
  </si>
  <si>
    <t>CAP ALUM 10uF 25V SMD</t>
  </si>
  <si>
    <t>Custom</t>
  </si>
  <si>
    <t>RVT1E100M0405</t>
  </si>
  <si>
    <t>ROQANG</t>
  </si>
  <si>
    <t>-</t>
  </si>
  <si>
    <t>C970655</t>
  </si>
  <si>
    <t>10uF</t>
  </si>
  <si>
    <t>LCSC</t>
  </si>
  <si>
    <t>C2</t>
  </si>
  <si>
    <t>CAP CER 0.1UF 100V X7R 1206</t>
  </si>
  <si>
    <t>Cap-1206</t>
  </si>
  <si>
    <t>CC1206KKX7R0BB104</t>
  </si>
  <si>
    <t>Yageo</t>
  </si>
  <si>
    <t>C107181</t>
  </si>
  <si>
    <t>0.1uF</t>
  </si>
  <si>
    <t>50</t>
  </si>
  <si>
    <t>0.0129</t>
  </si>
  <si>
    <t>C3, C15, C25, C27, C37, C117</t>
  </si>
  <si>
    <t>CAP CER 1UF 25V X5R 0603</t>
  </si>
  <si>
    <t>Cap-0603</t>
  </si>
  <si>
    <t>CC0603KRX5R8BB105</t>
  </si>
  <si>
    <t>C14664</t>
  </si>
  <si>
    <t>1uF</t>
  </si>
  <si>
    <t>100</t>
  </si>
  <si>
    <t>0.0054</t>
  </si>
  <si>
    <t>C5, C8</t>
  </si>
  <si>
    <t>CAP CER 30PF 50V C0G/NPO 0402</t>
  </si>
  <si>
    <t>Cap-0402</t>
  </si>
  <si>
    <t>CC0402GRNPO9BN300</t>
  </si>
  <si>
    <t>C277479</t>
  </si>
  <si>
    <t>30pF</t>
  </si>
  <si>
    <t>0.0022</t>
  </si>
  <si>
    <t>C6, C10, C13, C14, C17, C22, C26, C28, C38, C46, C47, C48, C49, C51, C52, C53, C59, C63, C66, C67, C69</t>
  </si>
  <si>
    <t>CAP CER 0.1UF 50V Y5V 0603</t>
  </si>
  <si>
    <t>CC0603ZRY5V9BB104</t>
  </si>
  <si>
    <t>C106221</t>
  </si>
  <si>
    <t>0.0031</t>
  </si>
  <si>
    <t>C7, C71, C136, C139</t>
  </si>
  <si>
    <t>CAP CER 1UF 16V X5R 0402</t>
  </si>
  <si>
    <t>CC0402KRX5R7BB105</t>
  </si>
  <si>
    <t>C325464</t>
  </si>
  <si>
    <t>0.0041</t>
  </si>
  <si>
    <t>C9</t>
  </si>
  <si>
    <t>CAP ALUM 100UF 20% 25V SMD</t>
  </si>
  <si>
    <t>UWX1E101MCL1GB</t>
  </si>
  <si>
    <t>Nichicon</t>
  </si>
  <si>
    <t>UUR1E101MCL6GS</t>
  </si>
  <si>
    <t>100uF</t>
  </si>
  <si>
    <t>Digikey</t>
  </si>
  <si>
    <t>C11, C19</t>
  </si>
  <si>
    <t>CAP CER 1000PF 25V C0G 0402</t>
  </si>
  <si>
    <t>C1005C0G1E102JT000F</t>
  </si>
  <si>
    <t>TDK</t>
  </si>
  <si>
    <t>C343059</t>
  </si>
  <si>
    <t>1nF</t>
  </si>
  <si>
    <t>0.0092</t>
  </si>
  <si>
    <t>C12, C29, C30, C31, C32, C33, C36, C73, C93, C95, C109, C110, C111, C113, C114</t>
  </si>
  <si>
    <t>CAP CER 0.1UF 50V X5R 0402</t>
  </si>
  <si>
    <t>C1005X5R1H104K050BB</t>
  </si>
  <si>
    <t>C2181865</t>
  </si>
  <si>
    <t>75</t>
  </si>
  <si>
    <t>0.0795</t>
  </si>
  <si>
    <t>C18</t>
  </si>
  <si>
    <t>470uF 50V ±20% SMD,D12.5xL13.5mm Aluminum Electrolytic Capacitors - SMD ROHS</t>
  </si>
  <si>
    <t>VT1H471MI135000CE0</t>
  </si>
  <si>
    <t>Changzhou Huawei Elec</t>
  </si>
  <si>
    <t>C191227</t>
  </si>
  <si>
    <t>470uF</t>
  </si>
  <si>
    <t>5</t>
  </si>
  <si>
    <t>0.3796</t>
  </si>
  <si>
    <t>C20</t>
  </si>
  <si>
    <t>CAP CER 470pF 10% X7R 50V 0603 SMD</t>
  </si>
  <si>
    <t>CC0603KRX7R9BB471</t>
  </si>
  <si>
    <t>C107092</t>
  </si>
  <si>
    <t>470pF</t>
  </si>
  <si>
    <t>0.0026</t>
  </si>
  <si>
    <t>C34, C35, C133, C134</t>
  </si>
  <si>
    <t>CAP CER 15PF 50V C0G/NPO 0201</t>
  </si>
  <si>
    <t>Cap-0201</t>
  </si>
  <si>
    <t>CC0201JRNPO9BN150</t>
  </si>
  <si>
    <t>C277480</t>
  </si>
  <si>
    <t>15pF</t>
  </si>
  <si>
    <t>0.0010</t>
  </si>
  <si>
    <t>C39, C41, C55, C58, C60</t>
  </si>
  <si>
    <t>CAP CER 1UF 50V X7R 0603</t>
  </si>
  <si>
    <t>CC0603KRX7R9BB105</t>
  </si>
  <si>
    <t>C559769</t>
  </si>
  <si>
    <t>40</t>
  </si>
  <si>
    <t>0.0242</t>
  </si>
  <si>
    <t>C50</t>
  </si>
  <si>
    <t>CAP CER 0.047UF 100V X7R 1206</t>
  </si>
  <si>
    <t>CC1206JRX7R0BB473</t>
  </si>
  <si>
    <t>C577197</t>
  </si>
  <si>
    <t>0.047uF</t>
  </si>
  <si>
    <t>20</t>
  </si>
  <si>
    <t>0.0284</t>
  </si>
  <si>
    <t>C54, C74</t>
  </si>
  <si>
    <t>CAP CER 0.1UF 16V X5R 0402</t>
  </si>
  <si>
    <t>CC0402KRX5R7BB104</t>
  </si>
  <si>
    <t>C106204</t>
  </si>
  <si>
    <t>100nF</t>
  </si>
  <si>
    <t>0.0011</t>
  </si>
  <si>
    <t>C56, C64, C137, C138, C142, C144</t>
  </si>
  <si>
    <t>CAP CER 0.1UF 16V X7R 0402</t>
  </si>
  <si>
    <t>CC0402JRX7R7BB104</t>
  </si>
  <si>
    <t>C541464</t>
  </si>
  <si>
    <t>0.0018</t>
  </si>
  <si>
    <t>C57</t>
  </si>
  <si>
    <t>10uF 35V X5R 20% Pad SMD 0603</t>
  </si>
  <si>
    <t>GRM188R6YA106MA73D</t>
  </si>
  <si>
    <t>Murata</t>
  </si>
  <si>
    <t>C194427</t>
  </si>
  <si>
    <t>10</t>
  </si>
  <si>
    <t>0.0372</t>
  </si>
  <si>
    <t>C61, C62, C116, C118, C119</t>
  </si>
  <si>
    <t>CAP CER 22UF 35V X5R 0805</t>
  </si>
  <si>
    <t>Cap-0805</t>
  </si>
  <si>
    <t>C2012X5R1V226MT000E</t>
  </si>
  <si>
    <t>TDK Corporation</t>
  </si>
  <si>
    <t>C338080</t>
  </si>
  <si>
    <t>22uF</t>
  </si>
  <si>
    <t>25</t>
  </si>
  <si>
    <t>0.1504</t>
  </si>
  <si>
    <t>C70</t>
  </si>
  <si>
    <t>CAP ALUM 1000UF 20% 10V SMD</t>
  </si>
  <si>
    <t>UUD1A102MNL1GS</t>
  </si>
  <si>
    <t>C445277</t>
  </si>
  <si>
    <t>1000uF</t>
  </si>
  <si>
    <t>0.4101</t>
  </si>
  <si>
    <t>C72</t>
  </si>
  <si>
    <t>CAP CER 10UF 16V X5R 0603</t>
  </si>
  <si>
    <t>CC0603KRX5R7BB106</t>
  </si>
  <si>
    <t>C2936601</t>
  </si>
  <si>
    <t>0.1436</t>
  </si>
  <si>
    <t>C75</t>
  </si>
  <si>
    <t>CAP CER 0.1UF 50V X7R 0402</t>
  </si>
  <si>
    <t>CL05B104KB54PNC</t>
  </si>
  <si>
    <t>Samsung</t>
  </si>
  <si>
    <t>C307331</t>
  </si>
  <si>
    <t>0.0046</t>
  </si>
  <si>
    <t>C77</t>
  </si>
  <si>
    <t>CAP CER 10UF 25V X5R 0603</t>
  </si>
  <si>
    <t>C1608X5R1E106M080AC</t>
  </si>
  <si>
    <t>C2168289</t>
  </si>
  <si>
    <t>0.8438</t>
  </si>
  <si>
    <t>C88, C90</t>
  </si>
  <si>
    <t>CAP CER 0.1UF 100V X5R 0402</t>
  </si>
  <si>
    <t>GRM155R62A104KE14D</t>
  </si>
  <si>
    <t>C162178</t>
  </si>
  <si>
    <t>0.0096</t>
  </si>
  <si>
    <t>C89</t>
  </si>
  <si>
    <t>CAP TANT 330UF 20% 16V 2917</t>
  </si>
  <si>
    <t>Case-E</t>
  </si>
  <si>
    <t>TAJE337M016RNJ</t>
  </si>
  <si>
    <t>Kyocera AVX</t>
  </si>
  <si>
    <t>C51599</t>
  </si>
  <si>
    <t>330uF</t>
  </si>
  <si>
    <t>1.7005</t>
  </si>
  <si>
    <t>C91</t>
  </si>
  <si>
    <t>CAP TANT 100UF 20% 10V 1411</t>
  </si>
  <si>
    <t>Case-B</t>
  </si>
  <si>
    <t>TAJB107M010RNJ</t>
  </si>
  <si>
    <t>C7196</t>
  </si>
  <si>
    <t>0.2618</t>
  </si>
  <si>
    <t>C107, C112</t>
  </si>
  <si>
    <t>CAP CER 10UF 10V X5R 0402</t>
  </si>
  <si>
    <t>CC0402MRX5R6BB106</t>
  </si>
  <si>
    <t>C962143</t>
  </si>
  <si>
    <t>0.0254</t>
  </si>
  <si>
    <t>C108</t>
  </si>
  <si>
    <t>CAP CER 0.1UF 25V X6S 0201</t>
  </si>
  <si>
    <t>CAP-0201</t>
  </si>
  <si>
    <t>GRM033C81E104KE14D</t>
  </si>
  <si>
    <t>C181047</t>
  </si>
  <si>
    <t>0.0089</t>
  </si>
  <si>
    <t>Supercapacitor</t>
  </si>
  <si>
    <t>C115</t>
  </si>
  <si>
    <t>CAP 25F -10% +30% 2.7V T/H</t>
  </si>
  <si>
    <t>SCCU25B256SRB</t>
  </si>
  <si>
    <t>25F</t>
  </si>
  <si>
    <t>C120, C121</t>
  </si>
  <si>
    <t>CAP CER 47UF 25V X5R 1206</t>
  </si>
  <si>
    <t>C3216X5R1E476M160AC</t>
  </si>
  <si>
    <t>C2167787</t>
  </si>
  <si>
    <t>47uF</t>
  </si>
  <si>
    <t>1.7441</t>
  </si>
  <si>
    <t>C122</t>
  </si>
  <si>
    <t>CAP CER 0.47UF 50V X5R 0603</t>
  </si>
  <si>
    <t>CC0603KRX5R9BB474</t>
  </si>
  <si>
    <t>C513651</t>
  </si>
  <si>
    <t>0.47uF</t>
  </si>
  <si>
    <t>C123</t>
  </si>
  <si>
    <t>CAP CER 2200PF 50V X7R 0603</t>
  </si>
  <si>
    <t>CC0603KRX7R9BB222</t>
  </si>
  <si>
    <t>C107082</t>
  </si>
  <si>
    <t>2.2nF</t>
  </si>
  <si>
    <t>C128, C129</t>
  </si>
  <si>
    <t>CAP CER 22UF 10V X5R 0603</t>
  </si>
  <si>
    <t>CC0603MRX5R6BB226</t>
  </si>
  <si>
    <t>C109447</t>
  </si>
  <si>
    <t>0.0393</t>
  </si>
  <si>
    <t>C131, C132</t>
  </si>
  <si>
    <t>CAP CER 2.2UF 25V X5R 0402</t>
  </si>
  <si>
    <t>GRM155R61E225KE11D</t>
  </si>
  <si>
    <t>C385032</t>
  </si>
  <si>
    <t>2.2uF</t>
  </si>
  <si>
    <t>0.0179</t>
  </si>
  <si>
    <t>C135</t>
  </si>
  <si>
    <t>CAP CER 0.1UF 50V X5R 0603</t>
  </si>
  <si>
    <t>CC0603KRX5R9BB104</t>
  </si>
  <si>
    <t>C110022</t>
  </si>
  <si>
    <t>0.0034</t>
  </si>
  <si>
    <t>C140, C148, C150</t>
  </si>
  <si>
    <t>CAP CER 0.1UF 25V X7R 0402</t>
  </si>
  <si>
    <t>CC0402KRX7R8BB104</t>
  </si>
  <si>
    <t>C105883</t>
  </si>
  <si>
    <t>0.0015</t>
  </si>
  <si>
    <t>C146</t>
  </si>
  <si>
    <t>CAP CER 10UF 16V X7R 0805</t>
  </si>
  <si>
    <t>EMK212BB7106MG-T</t>
  </si>
  <si>
    <t>Taiyo Yuden</t>
  </si>
  <si>
    <t>C141287</t>
  </si>
  <si>
    <t>0.0535</t>
  </si>
  <si>
    <t>C147</t>
  </si>
  <si>
    <t>CAP CER 1UF 25V X5R 0402</t>
  </si>
  <si>
    <t>CC0402KRX5R8BB105</t>
  </si>
  <si>
    <t>C326568</t>
  </si>
  <si>
    <t>0.0074</t>
  </si>
  <si>
    <t>C149</t>
  </si>
  <si>
    <t>CAP CER 10UF 25V X5R 0805</t>
  </si>
  <si>
    <t>CC0805KKX5R8BB106</t>
  </si>
  <si>
    <t>C89831</t>
  </si>
  <si>
    <t>0.0296</t>
  </si>
  <si>
    <t>Diode</t>
  </si>
  <si>
    <t>D1</t>
  </si>
  <si>
    <t>40V 500mV@2A 2A SMA(DO-214AC) Schottky Barrier Diodes (SBD) ROHS</t>
  </si>
  <si>
    <t>SMA</t>
  </si>
  <si>
    <t>SS24A</t>
  </si>
  <si>
    <t>Guangdong Hottech</t>
  </si>
  <si>
    <t>C2886579</t>
  </si>
  <si>
    <t>0.0210</t>
  </si>
  <si>
    <t>Zener diode</t>
  </si>
  <si>
    <t>D2</t>
  </si>
  <si>
    <t>DIODE ZENER 16V 1.5W SMA</t>
  </si>
  <si>
    <t>1SMA5930BT3G</t>
  </si>
  <si>
    <t>onsemi</t>
  </si>
  <si>
    <t>C128848</t>
  </si>
  <si>
    <t>0.1711</t>
  </si>
  <si>
    <t>D3, D8</t>
  </si>
  <si>
    <t>TVS DIODE 5VWM 9.2VC SMA</t>
  </si>
  <si>
    <t>SMA Bi Directional</t>
  </si>
  <si>
    <t>SMAJ5.0CA</t>
  </si>
  <si>
    <t>FTR</t>
  </si>
  <si>
    <t>C693487</t>
  </si>
  <si>
    <t>0.0387</t>
  </si>
  <si>
    <t>D4</t>
  </si>
  <si>
    <t>16A 20V 7V 5V@Max Unidirectional SOT-23 TVS ROHS</t>
  </si>
  <si>
    <t>Sot-23</t>
  </si>
  <si>
    <t>ESD5302F-3/TR</t>
  </si>
  <si>
    <t>WILLSEMI</t>
  </si>
  <si>
    <t>C239643</t>
  </si>
  <si>
    <t>0.0820</t>
  </si>
  <si>
    <t>D5, D70</t>
  </si>
  <si>
    <t>DIODE ZENER 3.3V 200MW SOD323F</t>
  </si>
  <si>
    <t>SOD323F</t>
  </si>
  <si>
    <t>MM3Z3V3B</t>
  </si>
  <si>
    <t>ON Semiconductor / Fairchild</t>
  </si>
  <si>
    <t>C2978865</t>
  </si>
  <si>
    <t>0.0448</t>
  </si>
  <si>
    <t>D6</t>
  </si>
  <si>
    <t>5.3A 600W 113V 77.8V 70V SMB(DO-214AA) ESD and Surge Protection (TVS/ESD) ROHS</t>
  </si>
  <si>
    <t>SMB_</t>
  </si>
  <si>
    <t>SMBJ70A/TR13</t>
  </si>
  <si>
    <t>Brightking</t>
  </si>
  <si>
    <t>C309982</t>
  </si>
  <si>
    <t>0.0587</t>
  </si>
  <si>
    <t>D7</t>
  </si>
  <si>
    <t>SCHOTTKY DIODE SMB 100V 5A</t>
  </si>
  <si>
    <t>SS510B</t>
  </si>
  <si>
    <t>MDD</t>
  </si>
  <si>
    <t>C3011128</t>
  </si>
  <si>
    <t>0.0362</t>
  </si>
  <si>
    <t>D9, D10</t>
  </si>
  <si>
    <t>DIODE GEN PURP 100V 300MA SOD123</t>
  </si>
  <si>
    <t>SOD-123</t>
  </si>
  <si>
    <t>1N4148W-7-F</t>
  </si>
  <si>
    <t>Diodes</t>
  </si>
  <si>
    <t>C83528</t>
  </si>
  <si>
    <t>0.0161</t>
  </si>
  <si>
    <t>D11</t>
  </si>
  <si>
    <t>40V 650mV@10A 10A SMC(DO-214AB) Schottky Barrier Diodes (SBD) ROHS</t>
  </si>
  <si>
    <t>SMC</t>
  </si>
  <si>
    <t>SK104C</t>
  </si>
  <si>
    <t>C59500</t>
  </si>
  <si>
    <t>0.1579</t>
  </si>
  <si>
    <t>D12, D13</t>
  </si>
  <si>
    <t>DIODE SCHOTTKY 150V 20A TO2773</t>
  </si>
  <si>
    <t>TO-277A</t>
  </si>
  <si>
    <t>FSV20150V</t>
  </si>
  <si>
    <t>C606024</t>
  </si>
  <si>
    <t>0.9182</t>
  </si>
  <si>
    <t>D14</t>
  </si>
  <si>
    <t>DIODE SCHOTTKY 40V 380MA SOD523</t>
  </si>
  <si>
    <t>SOD-523</t>
  </si>
  <si>
    <t>ZLLS350TA</t>
  </si>
  <si>
    <t>Diodes Zetex</t>
  </si>
  <si>
    <t>C139441</t>
  </si>
  <si>
    <t>0.0857</t>
  </si>
  <si>
    <t>Protection Device</t>
  </si>
  <si>
    <t>D17, D18, D19, D20, D21, D22, D23, D24, D25, D26, D27, D32, D33, D36, D38, D43, D44, D45, D46, D47, D48, D49, D50, D51, D52, D53, D54, D55, D56, D57, D58, D59, D60, D61, D62, D63, D64, D65, D66, D67, D68, D69</t>
  </si>
  <si>
    <t>5V 10V 3.3V Bi-Directional SOD-882 ESD Protection Devices ROHS</t>
  </si>
  <si>
    <t>SOD-882 Bi Directional</t>
  </si>
  <si>
    <t>LESD8D3.3CAT5G</t>
  </si>
  <si>
    <t>LRC</t>
  </si>
  <si>
    <t>C172409</t>
  </si>
  <si>
    <t>250</t>
  </si>
  <si>
    <t>0.0088</t>
  </si>
  <si>
    <t>D31</t>
  </si>
  <si>
    <t>1A Single 1kV 1.1V@1A SMA(DO-214AC) Diodes - General Purpose ROHS</t>
  </si>
  <si>
    <t>SMA(DO-214AC)</t>
  </si>
  <si>
    <t>1N4007</t>
  </si>
  <si>
    <t>TWGMC</t>
  </si>
  <si>
    <t>C727081</t>
  </si>
  <si>
    <t>0.0087</t>
  </si>
  <si>
    <t>D34, D37</t>
  </si>
  <si>
    <t>SOT-23 TVS ROHS</t>
  </si>
  <si>
    <t>SOT-23</t>
  </si>
  <si>
    <t>SM712</t>
  </si>
  <si>
    <t>TECH PUBLIC</t>
  </si>
  <si>
    <t>C521963</t>
  </si>
  <si>
    <t>0.0397</t>
  </si>
  <si>
    <t>TVS Diodes</t>
  </si>
  <si>
    <t>D35</t>
  </si>
  <si>
    <t>TVS DIODE 12VWM 19.9VC DO214AA</t>
  </si>
  <si>
    <t>SMBJ12A</t>
  </si>
  <si>
    <t>Littelfuse</t>
  </si>
  <si>
    <t>C151251</t>
  </si>
  <si>
    <t>0.0950</t>
  </si>
  <si>
    <t>D39</t>
  </si>
  <si>
    <t>DIODE SCHOTTKY 40V 1A SOD123</t>
  </si>
  <si>
    <t>1N5819HW-7-F</t>
  </si>
  <si>
    <t>C82544</t>
  </si>
  <si>
    <t>0.0270</t>
  </si>
  <si>
    <t>(TVS/ESD)</t>
  </si>
  <si>
    <t>D40, D41, D42</t>
  </si>
  <si>
    <t>5A 60W 12V 3.6V 3.3V SOD-523 ESD and Surge Protection (TVS/ESD) ROHS</t>
  </si>
  <si>
    <t>SOD-523 (Bi-Directional)</t>
  </si>
  <si>
    <t>ESD5Z3.3C</t>
  </si>
  <si>
    <t>MDD(Microdiode Semiconductor)</t>
  </si>
  <si>
    <t>C502551</t>
  </si>
  <si>
    <t>0.0229</t>
  </si>
  <si>
    <t>D71</t>
  </si>
  <si>
    <t>DIODE ZENER 12V 200MW SOD323</t>
  </si>
  <si>
    <t>SOD-323</t>
  </si>
  <si>
    <t>MMSZ5242BS-7-F</t>
  </si>
  <si>
    <t>C151457</t>
  </si>
  <si>
    <t>0.0347</t>
  </si>
  <si>
    <t>Jtag Male Header</t>
  </si>
  <si>
    <t>J1</t>
  </si>
  <si>
    <t>CONN HEADER SMD 10POS 1.27MM</t>
  </si>
  <si>
    <t>20021121-00010C4LF</t>
  </si>
  <si>
    <t>Amphenol FCI</t>
  </si>
  <si>
    <t>C150517</t>
  </si>
  <si>
    <t>0.6876</t>
  </si>
  <si>
    <t>Terminal Block</t>
  </si>
  <si>
    <t>J2</t>
  </si>
  <si>
    <t>52A 1x2P -40℃~+105℃ 300V Green Through Hole 10.16mm 1 2 P=10.16mm Screw Terminal Blocks ROHS</t>
  </si>
  <si>
    <t>DB135-10.16-2P-GN-P</t>
  </si>
  <si>
    <t>DORABO</t>
  </si>
  <si>
    <t>C2981775</t>
  </si>
  <si>
    <t>0.6712</t>
  </si>
  <si>
    <t>Terminal Blocks</t>
  </si>
  <si>
    <t>J3, J4, J5, J6, J11, J12, J21, J24, J25</t>
  </si>
  <si>
    <t>TERMINAL BLOCK, SCREW TYPE, 5.08</t>
  </si>
  <si>
    <t>TB008A-508-02BE</t>
  </si>
  <si>
    <t>Same Sky</t>
  </si>
  <si>
    <t>Mouser</t>
  </si>
  <si>
    <t>USB B Connector</t>
  </si>
  <si>
    <t>J7</t>
  </si>
  <si>
    <t>CONN RCPT USB2.0 MICRO B SMD R/A</t>
  </si>
  <si>
    <t>10118194-0001LF</t>
  </si>
  <si>
    <t>C132563</t>
  </si>
  <si>
    <t>0.2148</t>
  </si>
  <si>
    <t>J8</t>
  </si>
  <si>
    <t>TERMINAL BLOCK, PLUGGABLE, 5.08,</t>
  </si>
  <si>
    <t>TBP01R1-508-04BE</t>
  </si>
  <si>
    <t>CUI Devices</t>
  </si>
  <si>
    <t>Headers, Male Pins</t>
  </si>
  <si>
    <t>J9</t>
  </si>
  <si>
    <t>CONN HEADER VERT 3POS 2.54MM</t>
  </si>
  <si>
    <t>Molex</t>
  </si>
  <si>
    <t>C505163</t>
  </si>
  <si>
    <t>0.3274</t>
  </si>
  <si>
    <t>J10</t>
  </si>
  <si>
    <t>CONN HEADER VERT 2POS 2.54MM</t>
  </si>
  <si>
    <t>C505162</t>
  </si>
  <si>
    <t>0.2439</t>
  </si>
  <si>
    <t>Wire To Board Connector</t>
  </si>
  <si>
    <t>J13, J17, J19</t>
  </si>
  <si>
    <t>1x12P 12P PicoBlade(MX 1.25) Tin 12 -25℃~+85℃ 2A 1 1.25mm Brass Surface Mount,Vertical SMD,P=1.25mm Wire To Board Connector ROHS</t>
  </si>
  <si>
    <t>HC-1.25-12PLT</t>
  </si>
  <si>
    <t>HCTL</t>
  </si>
  <si>
    <t>C2937190</t>
  </si>
  <si>
    <t>15</t>
  </si>
  <si>
    <t>0.1706</t>
  </si>
  <si>
    <t>Male</t>
  </si>
  <si>
    <t>J14, J16</t>
  </si>
  <si>
    <t>3A Direct Insert Policy 1.7mm 2P 3mm -55℃~+105℃ 2.5mm 1.27mm Single Row Black Brass 1x2P Plugin,P=1.27mm Pin Headers ROHS</t>
  </si>
  <si>
    <t>HDR 1x2 Male 1.27mm</t>
  </si>
  <si>
    <t>1.27-1*2P</t>
  </si>
  <si>
    <t>BOOMELE(BOOM Precision Elec)</t>
  </si>
  <si>
    <t>C703015</t>
  </si>
  <si>
    <t>0.0167</t>
  </si>
  <si>
    <t>J15</t>
  </si>
  <si>
    <t>1 Inner bore SMA Board Edge Bend -55℃~+155℃ 50Ω Plugin RF Connectors / Coaxial Connectors ROHS</t>
  </si>
  <si>
    <t>HJ-SMA508</t>
  </si>
  <si>
    <t>HJ Tech</t>
  </si>
  <si>
    <t>C1509209</t>
  </si>
  <si>
    <t>0.9854</t>
  </si>
  <si>
    <t>J18</t>
  </si>
  <si>
    <t>TB008A-508-03BE</t>
  </si>
  <si>
    <t>Connector</t>
  </si>
  <si>
    <t>J20, J23</t>
  </si>
  <si>
    <t>1x6P 6P PicoBlade(MX 1.25) Tin 6 -25℃~+85℃ 2A 1 1.25mm Brass Surface Mount,Vertical SMD,P=1.25mm Wire To Board Connector ROHS</t>
  </si>
  <si>
    <t>HC-1.25-6PLT</t>
  </si>
  <si>
    <t>C2845392</t>
  </si>
  <si>
    <t>0.1088</t>
  </si>
  <si>
    <t>J22</t>
  </si>
  <si>
    <t>1x16P PicoBlade(MX 1.25) 16P Tin 16 -25℃~+85℃ 2A 1 1.25mm Brass Surface Mount,Vertical SMD,P=1.25mm Wire To Board Connector ROHS</t>
  </si>
  <si>
    <t>HC-1.25-16PLT</t>
  </si>
  <si>
    <t>C3012301</t>
  </si>
  <si>
    <t>0.1995</t>
  </si>
  <si>
    <t>SD Card Connector</t>
  </si>
  <si>
    <t>J30</t>
  </si>
  <si>
    <t>CONN MICRO SD CARD PUSH-PUSH R/A</t>
  </si>
  <si>
    <t>DM3BT-DSF-PEJS</t>
  </si>
  <si>
    <t>Hirose</t>
  </si>
  <si>
    <t>C597972</t>
  </si>
  <si>
    <t>2.2282</t>
  </si>
  <si>
    <t>J34, J38</t>
  </si>
  <si>
    <t>TB008A-508-04BE</t>
  </si>
  <si>
    <t>Male Header</t>
  </si>
  <si>
    <t>J36, J40</t>
  </si>
  <si>
    <t>Gold 250V 3A Straight Square Pins 2.5mm 2P 260℃ 6mm -40℃~+105℃ 3mm 2.54mm Plugin Black Brass 1x2P Plugin,P=2.54mm Pin Headers ROHS</t>
  </si>
  <si>
    <t>HDR1X2_</t>
  </si>
  <si>
    <t>X6511WV-02H-C60D30</t>
  </si>
  <si>
    <t>XKB</t>
  </si>
  <si>
    <t>C706874</t>
  </si>
  <si>
    <t>0.0308</t>
  </si>
  <si>
    <t>Inductor</t>
  </si>
  <si>
    <t>L1</t>
  </si>
  <si>
    <t>IND SMD 10uH 500mA 0805</t>
  </si>
  <si>
    <t>Ind-0805</t>
  </si>
  <si>
    <t>MGFL2012F100MT-LF</t>
  </si>
  <si>
    <t>microgate</t>
  </si>
  <si>
    <t>C281113</t>
  </si>
  <si>
    <t>10uH</t>
  </si>
  <si>
    <t>0.0394</t>
  </si>
  <si>
    <t>L2</t>
  </si>
  <si>
    <t>Inductor Power Shielded Wirewound 220uH 20% 1KHz Ferrite 1.3A 310mOhm DCR Blister</t>
  </si>
  <si>
    <t>SLF12575T-221M1R3-PF</t>
  </si>
  <si>
    <t>C93225</t>
  </si>
  <si>
    <t>220uH</t>
  </si>
  <si>
    <t>0.4315</t>
  </si>
  <si>
    <t>L3</t>
  </si>
  <si>
    <t>3.7A 4.7uH ±20% SMD,7.3x7.3mm Power Inductors ROHS</t>
  </si>
  <si>
    <t>YPRH0704-4R7M</t>
  </si>
  <si>
    <t>YJYCOIN</t>
  </si>
  <si>
    <t>C514806</t>
  </si>
  <si>
    <t>4.7uH</t>
  </si>
  <si>
    <t>0.2291</t>
  </si>
  <si>
    <t>L4</t>
  </si>
  <si>
    <t>590mA 22uH ±20% SMD,4x4x1.8mm Power Inductors ROHS</t>
  </si>
  <si>
    <t>YNR4018-220M</t>
  </si>
  <si>
    <t>C340373</t>
  </si>
  <si>
    <t>22uH</t>
  </si>
  <si>
    <t>0.0595</t>
  </si>
  <si>
    <t>L5</t>
  </si>
  <si>
    <t>IND SMD 3.3UH 20A</t>
  </si>
  <si>
    <t>SRP1245CC-3R3M</t>
  </si>
  <si>
    <t>Bourns</t>
  </si>
  <si>
    <t>3.3uH</t>
  </si>
  <si>
    <t>0.3358</t>
  </si>
  <si>
    <t>L7</t>
  </si>
  <si>
    <t>FIXED IND 470NH 4.9A 0.023OHM SM</t>
  </si>
  <si>
    <t>Inductor 1008</t>
  </si>
  <si>
    <t>DFE252012F-R47M=P2</t>
  </si>
  <si>
    <t>C703140</t>
  </si>
  <si>
    <t>470nH</t>
  </si>
  <si>
    <t>0.1344</t>
  </si>
  <si>
    <t>LED</t>
  </si>
  <si>
    <t>LED1, LED2, LED3</t>
  </si>
  <si>
    <t>LED RED CLEAR CHIP SMD</t>
  </si>
  <si>
    <t>LED-0402</t>
  </si>
  <si>
    <t>XZMDK68W-2</t>
  </si>
  <si>
    <t>SunLED</t>
  </si>
  <si>
    <t>Photo Sensor</t>
  </si>
  <si>
    <t>LED4</t>
  </si>
  <si>
    <t>SENSOR PHOTO 630NM 2SMD</t>
  </si>
  <si>
    <t>ALS-PT19-315C/L177/TR8</t>
  </si>
  <si>
    <t>Everlight</t>
  </si>
  <si>
    <t>C146233</t>
  </si>
  <si>
    <t>0.0997</t>
  </si>
  <si>
    <t>LED5</t>
  </si>
  <si>
    <t>RED LED 0603 Light Emitting Diodes</t>
  </si>
  <si>
    <t>LED-0603</t>
  </si>
  <si>
    <t>NCD0603R3</t>
  </si>
  <si>
    <t>Foshan NationStar Optoelectronics</t>
  </si>
  <si>
    <t>C3151730</t>
  </si>
  <si>
    <t>0.0253</t>
  </si>
  <si>
    <t>LED6</t>
  </si>
  <si>
    <t>Green 520~535nm 0402 Light Emitting Diodes (LED) RoHS</t>
  </si>
  <si>
    <t>16-213/GHC-YR1S1/3T</t>
  </si>
  <si>
    <t>Everlight Elec</t>
  </si>
  <si>
    <t>C74338</t>
  </si>
  <si>
    <t>0.0550</t>
  </si>
  <si>
    <t>LED11</t>
  </si>
  <si>
    <t>Red 632nm LED Indication - Discrete 2.05V 0603 (1608 Metric)</t>
  </si>
  <si>
    <t>19-21/R7C-AK1L2BY/3T</t>
  </si>
  <si>
    <t>C1322287</t>
  </si>
  <si>
    <t>Buzzer</t>
  </si>
  <si>
    <t>LS1</t>
  </si>
  <si>
    <t>Externally Driven 85dB@3V,10cm 3V 2700Hz SMD,D=9mm Buzzers ROHS</t>
  </si>
  <si>
    <t>YS-SBZ9032C03R16</t>
  </si>
  <si>
    <t>Fengming</t>
  </si>
  <si>
    <t>C409828</t>
  </si>
  <si>
    <t>0.3271</t>
  </si>
  <si>
    <t>Test Point</t>
  </si>
  <si>
    <t>P1, P7, P9, P10, P11, P16</t>
  </si>
  <si>
    <t>Test Point ON</t>
  </si>
  <si>
    <t>Test-point - 0.5mm</t>
  </si>
  <si>
    <t>DO NOT PLACE</t>
  </si>
  <si>
    <t>Mosfet</t>
  </si>
  <si>
    <t>Q1, Q11</t>
  </si>
  <si>
    <t>Single N-Channel, 20V, 4.7A, Power MOSFET</t>
  </si>
  <si>
    <t>sot-23</t>
  </si>
  <si>
    <t>WNM2016A-3/TR</t>
  </si>
  <si>
    <t>C601105</t>
  </si>
  <si>
    <t>0.0637</t>
  </si>
  <si>
    <t>Transister</t>
  </si>
  <si>
    <t>Q2, Q3, Q9</t>
  </si>
  <si>
    <t>TRANS NPN 160V 0.6A SOT-23</t>
  </si>
  <si>
    <t>MMBT5551LT1G</t>
  </si>
  <si>
    <t>ON Semiconductor</t>
  </si>
  <si>
    <t>C909756</t>
  </si>
  <si>
    <t>Q4</t>
  </si>
  <si>
    <t>MOSFET N-CH 130V 1A SOT23</t>
  </si>
  <si>
    <t>DMN13H750S-7</t>
  </si>
  <si>
    <t>Diodes Incorporated</t>
  </si>
  <si>
    <t>C156273</t>
  </si>
  <si>
    <t>0.1960</t>
  </si>
  <si>
    <t>Q5, Q6</t>
  </si>
  <si>
    <t>MOSFET N-CH 55V 110A D2PAK</t>
  </si>
  <si>
    <t>D2Pak.</t>
  </si>
  <si>
    <t>IRF3205STRLPBF</t>
  </si>
  <si>
    <t>Infineon Technologies</t>
  </si>
  <si>
    <t>C2613</t>
  </si>
  <si>
    <t>0.6278</t>
  </si>
  <si>
    <t>Q7</t>
  </si>
  <si>
    <t>MOSFET P-CH 20V 3.7A SOT23</t>
  </si>
  <si>
    <t>IRLML6402TRPBF</t>
  </si>
  <si>
    <t>International Rectifier</t>
  </si>
  <si>
    <t>C5182043</t>
  </si>
  <si>
    <t>0.0828</t>
  </si>
  <si>
    <t>Q8</t>
  </si>
  <si>
    <t>TRANS NPN 40V 0.6A SMD SOT23-3</t>
  </si>
  <si>
    <t>MMBT2222A-7-F</t>
  </si>
  <si>
    <t>C94515</t>
  </si>
  <si>
    <t>0.0275</t>
  </si>
  <si>
    <t>MOSFETs</t>
  </si>
  <si>
    <t>Q10</t>
  </si>
  <si>
    <t>MOSFET N-CH 60V 23A/100A TDSON</t>
  </si>
  <si>
    <t>PG-TDSON-8-7</t>
  </si>
  <si>
    <t>BSC028N06NSATMA1</t>
  </si>
  <si>
    <t>Infineon</t>
  </si>
  <si>
    <t>C6135384</t>
  </si>
  <si>
    <t>Q26</t>
  </si>
  <si>
    <t>N-CHANNEL 20-V (D-S) MOSFET</t>
  </si>
  <si>
    <t>SI2302CDS</t>
  </si>
  <si>
    <t>C5310968</t>
  </si>
  <si>
    <t>Q32</t>
  </si>
  <si>
    <t>30V 4.1A 60mΩ@10V,4.1A 350mW 3V@250uA P Channel SOT-23 MOSFETs ROHS</t>
  </si>
  <si>
    <t>AO3407</t>
  </si>
  <si>
    <t>C181093</t>
  </si>
  <si>
    <t>0.0274</t>
  </si>
  <si>
    <t>Q39</t>
  </si>
  <si>
    <t>MOSFET N-CH 60V 115MA SOT23-3</t>
  </si>
  <si>
    <t>2N7002-7-F</t>
  </si>
  <si>
    <t>C85049</t>
  </si>
  <si>
    <t>0.0231</t>
  </si>
  <si>
    <t>Resistor</t>
  </si>
  <si>
    <t>R1</t>
  </si>
  <si>
    <t>100mW Thick Film Resistor 75V ±100ppm/℃ ±1% 3.6kΩ 0603 Chip Resistor - Surface Mount ROHS</t>
  </si>
  <si>
    <t>Res-0603</t>
  </si>
  <si>
    <t>0603WAF3601T5E</t>
  </si>
  <si>
    <t>UNI-ROYAL(Uniroyal Elec)</t>
  </si>
  <si>
    <t>C22980</t>
  </si>
  <si>
    <t>3.6K</t>
  </si>
  <si>
    <t>0.0012</t>
  </si>
  <si>
    <t>R2</t>
  </si>
  <si>
    <t>±1% 1/10W Thick Film Resistors 75V ±600ppm/℃ -55℃~+155℃ 0.33Ω 0603 Chip Resistor - Surface Mount ROHS</t>
  </si>
  <si>
    <t>RTT03R330FTP</t>
  </si>
  <si>
    <t>RALEC</t>
  </si>
  <si>
    <t>C103893</t>
  </si>
  <si>
    <t>0.33R</t>
  </si>
  <si>
    <t>R3</t>
  </si>
  <si>
    <t>RES SMD 1.2K OHM 1% 1/10W 0603</t>
  </si>
  <si>
    <t>RC0603FR-071K2L</t>
  </si>
  <si>
    <t>C114605</t>
  </si>
  <si>
    <t>1.2K</t>
  </si>
  <si>
    <t>R4, R6</t>
  </si>
  <si>
    <t>RES SMD 4.7K OHM 1% 1/10W 0603</t>
  </si>
  <si>
    <t>RC0603FR-074K7L</t>
  </si>
  <si>
    <t>C99782</t>
  </si>
  <si>
    <t>4.7K</t>
  </si>
  <si>
    <t>R5, R8</t>
  </si>
  <si>
    <t>RES SMD 4.7K OHM 0.1% 1/10W 0603</t>
  </si>
  <si>
    <t>RT0603BRD074K7L</t>
  </si>
  <si>
    <t>C513565</t>
  </si>
  <si>
    <t>0.0233</t>
  </si>
  <si>
    <t>R7, R10</t>
  </si>
  <si>
    <t>RES SMD 6.8K OHM 0.1% 1/10W 0603</t>
  </si>
  <si>
    <t>RT0603BRE076K8L</t>
  </si>
  <si>
    <t>C705876</t>
  </si>
  <si>
    <t>6.8K</t>
  </si>
  <si>
    <t>0.0241</t>
  </si>
  <si>
    <t>R9, R163</t>
  </si>
  <si>
    <t>RES 20K OHM 1% 1/10W 0603</t>
  </si>
  <si>
    <t>RC0603FR-0720KL</t>
  </si>
  <si>
    <t>C105575</t>
  </si>
  <si>
    <t>20K</t>
  </si>
  <si>
    <t>R11</t>
  </si>
  <si>
    <t>100mW Thick Film Resistors 75V ±1% ±100ppm/℃ -55℃~+155℃ 2.21MΩ 0603 Chip Resistor - Surface Mount ROHS</t>
  </si>
  <si>
    <t>RES-0603</t>
  </si>
  <si>
    <t>0603WAF2214T5E</t>
  </si>
  <si>
    <t>C422956</t>
  </si>
  <si>
    <t>2.21M</t>
  </si>
  <si>
    <t>R12</t>
  </si>
  <si>
    <t>RES 15K OHM 1% 1/10W 0603</t>
  </si>
  <si>
    <t>RC0603FR-0715KL</t>
  </si>
  <si>
    <t>C114661</t>
  </si>
  <si>
    <t>15K</t>
  </si>
  <si>
    <t>R13, R38</t>
  </si>
  <si>
    <t>RES 3.3K OHM 0.5% 1/10W 0603</t>
  </si>
  <si>
    <t>RC0603DR-073K3L</t>
  </si>
  <si>
    <t>C723574</t>
  </si>
  <si>
    <t>3.3K</t>
  </si>
  <si>
    <t>0.0053</t>
  </si>
  <si>
    <t>R14, R15, R17</t>
  </si>
  <si>
    <t>RES SMD 680 OHM 1% 1/10W 0603</t>
  </si>
  <si>
    <t>RC0603FR-07680RL</t>
  </si>
  <si>
    <t>C112310</t>
  </si>
  <si>
    <t>680R</t>
  </si>
  <si>
    <t>R16, R18, R31, R138, R139, R140, R141, R142, R143, R144, R145, R146, R147, R148, R150, R176, R177</t>
  </si>
  <si>
    <t>RES 4.7K OHM 1% 1/16W 0402</t>
  </si>
  <si>
    <t>Res-0402</t>
  </si>
  <si>
    <t>RC0402FR-074K7L</t>
  </si>
  <si>
    <t>C105871</t>
  </si>
  <si>
    <t>0.0007</t>
  </si>
  <si>
    <t>R19, R20, R35, R43</t>
  </si>
  <si>
    <t>RES 10K OHM 1% 1/10W 0603</t>
  </si>
  <si>
    <t>RK73G1JTTD1002F</t>
  </si>
  <si>
    <t>KOA Speer Elec</t>
  </si>
  <si>
    <t>C362180</t>
  </si>
  <si>
    <t>10K</t>
  </si>
  <si>
    <t>0.0287</t>
  </si>
  <si>
    <t>R21</t>
  </si>
  <si>
    <t>RES 150 OHM 0.5% 1/10W 0603</t>
  </si>
  <si>
    <t>RC0603DR-07150RL</t>
  </si>
  <si>
    <t>C471801</t>
  </si>
  <si>
    <t>150R</t>
  </si>
  <si>
    <t>0.0082</t>
  </si>
  <si>
    <t>R22, R36, R42, R80</t>
  </si>
  <si>
    <t>RES 2.2K OHM 1% 1/10W 0603</t>
  </si>
  <si>
    <t>RC0603FR-072K2L</t>
  </si>
  <si>
    <t>C114662</t>
  </si>
  <si>
    <t>2.2K</t>
  </si>
  <si>
    <t>R23, R39, R44, R52, R53, R70, R168</t>
  </si>
  <si>
    <t>RES SMD 10K Ohm 1% 1/10W 0603</t>
  </si>
  <si>
    <t>RC0603FR-0710KL</t>
  </si>
  <si>
    <t>C98220</t>
  </si>
  <si>
    <t>R24, R25</t>
  </si>
  <si>
    <t>RES SMD 47OHM 0.1W 0603</t>
  </si>
  <si>
    <t>RC0603FR-0747RL</t>
  </si>
  <si>
    <t>C114623</t>
  </si>
  <si>
    <t>47R</t>
  </si>
  <si>
    <t>R26</t>
  </si>
  <si>
    <t>RES 1K OHM 5% 1/16W 0402</t>
  </si>
  <si>
    <t>RC0402JR-071KL</t>
  </si>
  <si>
    <t>C105637</t>
  </si>
  <si>
    <t>DNP</t>
  </si>
  <si>
    <t>R27, R29, R40, R93, R117, R129, R134</t>
  </si>
  <si>
    <t>RES 0 OHM JUMPER 1/10W 0603</t>
  </si>
  <si>
    <t>RC0603JR-070RL</t>
  </si>
  <si>
    <t>C95177</t>
  </si>
  <si>
    <t>R28, R33, R41, R66, R67, R71, R72, R76, R77, R78, R81, R82, R83, R84, R85, R86, R87, R88, R89, R90, R91, R92, R94, R95, R96, R97, R98, R99, R100, R101, R102, R103, R106, R107, R108, R110, R111, R112, R113, R114, R115, R116, R130, R135</t>
  </si>
  <si>
    <t>0R</t>
  </si>
  <si>
    <t>300</t>
  </si>
  <si>
    <t>R30</t>
  </si>
  <si>
    <t>RES SMD 20K OHM 0.1% 1/10W 0603</t>
  </si>
  <si>
    <t>RT0603BRD0720KL</t>
  </si>
  <si>
    <t>C723637</t>
  </si>
  <si>
    <t>0.0203</t>
  </si>
  <si>
    <t>R32</t>
  </si>
  <si>
    <t>RES 100K OHM 1% 1/8W 0805</t>
  </si>
  <si>
    <t>RES-0805</t>
  </si>
  <si>
    <t>RC0805FR-07100KL</t>
  </si>
  <si>
    <t>C96346</t>
  </si>
  <si>
    <t>100K</t>
  </si>
  <si>
    <t>R34, R48, R68, R75</t>
  </si>
  <si>
    <t>RES SMD 1K OHM 1% 1/10W 0603</t>
  </si>
  <si>
    <t>RC0603FR-071KL</t>
  </si>
  <si>
    <t>C22548</t>
  </si>
  <si>
    <t>1K</t>
  </si>
  <si>
    <t>R37</t>
  </si>
  <si>
    <t>RES SMD 7.5K OHM 0.1% 1/10W 0603</t>
  </si>
  <si>
    <t>RT0603BRD077K5L</t>
  </si>
  <si>
    <t>C728597</t>
  </si>
  <si>
    <t>7.5K</t>
  </si>
  <si>
    <t>0.0238</t>
  </si>
  <si>
    <t>R45, R122</t>
  </si>
  <si>
    <t>RES SMD 100 OHM 1% 1/4W 0603</t>
  </si>
  <si>
    <t>RCA0603100RFKEAHP</t>
  </si>
  <si>
    <t>Vishay Dale</t>
  </si>
  <si>
    <t>C2074203</t>
  </si>
  <si>
    <t>100R</t>
  </si>
  <si>
    <t>0.0972</t>
  </si>
  <si>
    <t>R46, R47</t>
  </si>
  <si>
    <t>RES SMD 200K OHM 1% 1/10W 0603</t>
  </si>
  <si>
    <t>RC0603FR-07200KL</t>
  </si>
  <si>
    <t>C105574</t>
  </si>
  <si>
    <t>200K</t>
  </si>
  <si>
    <t>R49</t>
  </si>
  <si>
    <t>RES 10 OHM 1% 1/8W 0805</t>
  </si>
  <si>
    <t>RC0805FR-0710RL</t>
  </si>
  <si>
    <t>C96347</t>
  </si>
  <si>
    <t>10R</t>
  </si>
  <si>
    <t>0.0049</t>
  </si>
  <si>
    <t>R50</t>
  </si>
  <si>
    <t>RES 499K OHM 0.1% 1/16W 0402</t>
  </si>
  <si>
    <t>RC0402BR-07499KL</t>
  </si>
  <si>
    <t>C851813</t>
  </si>
  <si>
    <t>499K</t>
  </si>
  <si>
    <t>0.0442</t>
  </si>
  <si>
    <t>R51</t>
  </si>
  <si>
    <t>RES SMD 36K OHM 0.1% 1/16W 0402</t>
  </si>
  <si>
    <t>RT0402BRD0736KL</t>
  </si>
  <si>
    <t>C852742</t>
  </si>
  <si>
    <t>36K</t>
  </si>
  <si>
    <t>0.0198</t>
  </si>
  <si>
    <t>R54</t>
  </si>
  <si>
    <t>RES SMD 13.7KOHM 0.1% 1/10W 0603</t>
  </si>
  <si>
    <t>AT0603BRD0713K7L</t>
  </si>
  <si>
    <t>C855608</t>
  </si>
  <si>
    <t>13.7K</t>
  </si>
  <si>
    <t>0.0659</t>
  </si>
  <si>
    <t>R55, R104, R192, R194, R204, R206, R216, R217, R218, R219</t>
  </si>
  <si>
    <t>RES 0 OHM JUMPER 1/16W 0402</t>
  </si>
  <si>
    <t>RC0402FR-070RL</t>
  </si>
  <si>
    <t>C106231</t>
  </si>
  <si>
    <t>0.0006</t>
  </si>
  <si>
    <t>R56</t>
  </si>
  <si>
    <t>RES 5.23K OHM 1% 1/8W 0805</t>
  </si>
  <si>
    <t>RC0805FR-075K23L</t>
  </si>
  <si>
    <t>C274009</t>
  </si>
  <si>
    <t>5.23K</t>
  </si>
  <si>
    <t>0.0027</t>
  </si>
  <si>
    <t>R57</t>
  </si>
  <si>
    <t>RES 30.1K OHM 1% 1/10W 0603</t>
  </si>
  <si>
    <t>RC0603FR-0730K1L</t>
  </si>
  <si>
    <t>C137745</t>
  </si>
  <si>
    <t>30.1K</t>
  </si>
  <si>
    <t>R58</t>
  </si>
  <si>
    <t>100mW Thin Film Resistor 75V ±25ppm/℃ ±0.1% 499kΩ 0603 Chip Resistor - Surface Mount ROHS</t>
  </si>
  <si>
    <t>TR0603B499KP0525Z</t>
  </si>
  <si>
    <t>Ever Ohms</t>
  </si>
  <si>
    <t>C149937</t>
  </si>
  <si>
    <t>0.0263</t>
  </si>
  <si>
    <t>R59</t>
  </si>
  <si>
    <t>RES SMD 86.6KOHM 0.1% 1/16W 0402</t>
  </si>
  <si>
    <t>RT0402BRD0786K6L</t>
  </si>
  <si>
    <t>C852935</t>
  </si>
  <si>
    <t>86.6K</t>
  </si>
  <si>
    <t>0.0201</t>
  </si>
  <si>
    <t>R60</t>
  </si>
  <si>
    <t>RES 0 OHM JUMPER 1W 2512</t>
  </si>
  <si>
    <t>RES-2512</t>
  </si>
  <si>
    <t>RC2512JK-070RL</t>
  </si>
  <si>
    <t>C189505</t>
  </si>
  <si>
    <t>0.0317</t>
  </si>
  <si>
    <t>R61</t>
  </si>
  <si>
    <t>RES 2.2 OHM 1% 1/16W 0402</t>
  </si>
  <si>
    <t>RC0402FR-072R2L</t>
  </si>
  <si>
    <t>C327251</t>
  </si>
  <si>
    <t>2.2R</t>
  </si>
  <si>
    <t>0.0016</t>
  </si>
  <si>
    <t>R62</t>
  </si>
  <si>
    <t>RES SMD 100K OHM 5% 1/20W 0201</t>
  </si>
  <si>
    <t>Res-0201</t>
  </si>
  <si>
    <t>RC0201JR-07100KL</t>
  </si>
  <si>
    <t>C106230</t>
  </si>
  <si>
    <t>0.0008</t>
  </si>
  <si>
    <t>R63</t>
  </si>
  <si>
    <t>RES 47K OHM 1% 1/16W 0402</t>
  </si>
  <si>
    <t>RC0402FR-0747KL</t>
  </si>
  <si>
    <t>C93943</t>
  </si>
  <si>
    <t>47K</t>
  </si>
  <si>
    <t>R64</t>
  </si>
  <si>
    <t>RES 1K OHM 1% 1/2W 1206</t>
  </si>
  <si>
    <t>Res-1206</t>
  </si>
  <si>
    <t>RC1206FR-7W1KL</t>
  </si>
  <si>
    <t>C859155</t>
  </si>
  <si>
    <t>0.0104</t>
  </si>
  <si>
    <t>R65</t>
  </si>
  <si>
    <t>RES SMD 63.4KOHM 0.1% 1/10W 0603</t>
  </si>
  <si>
    <t>RT0603BRE0763K4L</t>
  </si>
  <si>
    <t>C862245</t>
  </si>
  <si>
    <t>63.4K</t>
  </si>
  <si>
    <t>0.0248</t>
  </si>
  <si>
    <t>R69, R131</t>
  </si>
  <si>
    <t>RES 470 OHM 1% 1/10W 0603</t>
  </si>
  <si>
    <t>RC0603FR-07470RL</t>
  </si>
  <si>
    <t>C114669</t>
  </si>
  <si>
    <t>470R</t>
  </si>
  <si>
    <t>R73, R74, R105, R170, R188, R190, R198, R200, R201, R202, R210, R212, R213</t>
  </si>
  <si>
    <t>RES 10K OHM 1% 1/16W 0402</t>
  </si>
  <si>
    <t>RC0402FR-0710KL</t>
  </si>
  <si>
    <t>C60490</t>
  </si>
  <si>
    <t>R79</t>
  </si>
  <si>
    <t>RES SMD 3.3K OHM 1% 1/10W 0603</t>
  </si>
  <si>
    <t>RC0603FR-073K3L</t>
  </si>
  <si>
    <t>Yageo Phycomp</t>
  </si>
  <si>
    <t>C108078</t>
  </si>
  <si>
    <t>R109, R136</t>
  </si>
  <si>
    <t>RES SMD 1.82M OHM 1% 1/10W 0603</t>
  </si>
  <si>
    <t>CRCW06031M82FKEA</t>
  </si>
  <si>
    <t>Vishay</t>
  </si>
  <si>
    <t>C2076849</t>
  </si>
  <si>
    <t>1.82M</t>
  </si>
  <si>
    <t>0.0036</t>
  </si>
  <si>
    <t>R118, R123</t>
  </si>
  <si>
    <t>RES 1K OHM 1% 1/16W 0402</t>
  </si>
  <si>
    <t>RC0402FR-071KL</t>
  </si>
  <si>
    <t>C106235</t>
  </si>
  <si>
    <t>R119</t>
  </si>
  <si>
    <t>RES 0 OHM JUMPER 1/4W 1206</t>
  </si>
  <si>
    <t>RC1206JR-070RL</t>
  </si>
  <si>
    <t>R120</t>
  </si>
  <si>
    <t>3W 4mΩ Surface Mount Current Sense Resistor ±50ppm/℃ ±1% 2512 Current Sense Resistors / Shunt Resistors ROHS</t>
  </si>
  <si>
    <t>Res-2512</t>
  </si>
  <si>
    <t>HoLLR2512-3W-4mR-1%</t>
  </si>
  <si>
    <t>Milliohm</t>
  </si>
  <si>
    <t>C2994642</t>
  </si>
  <si>
    <t>4mR</t>
  </si>
  <si>
    <t>0.0571</t>
  </si>
  <si>
    <t>R121</t>
  </si>
  <si>
    <t>C108081</t>
  </si>
  <si>
    <t>R124</t>
  </si>
  <si>
    <t>RES SMD 100 OHM 1% 1/10W 0603</t>
  </si>
  <si>
    <t>RC0603FR-07100RL</t>
  </si>
  <si>
    <t>C105588</t>
  </si>
  <si>
    <t>R125, R127</t>
  </si>
  <si>
    <t>RES SMD 10K OHM 0.1% 1/10W 0603</t>
  </si>
  <si>
    <t>RT0603BRD0710KL</t>
  </si>
  <si>
    <t>C95204</t>
  </si>
  <si>
    <t>R126, R128</t>
  </si>
  <si>
    <t>RES SMD 3.3K OHM 0.1% 1/10W 0603</t>
  </si>
  <si>
    <t>RT0603BRD073K3L</t>
  </si>
  <si>
    <t>C309653</t>
  </si>
  <si>
    <t>3.3k</t>
  </si>
  <si>
    <t>R132</t>
  </si>
  <si>
    <t>RES 470 OHM 5% 1/20W 0201</t>
  </si>
  <si>
    <t>RC0201JR-07470RL</t>
  </si>
  <si>
    <t>C163491</t>
  </si>
  <si>
    <t>R133, R137</t>
  </si>
  <si>
    <t>R149</t>
  </si>
  <si>
    <t>1W Thick Film Resistor 200V ±5% ±800ppm/℃ 0Ω 2512 Chip Resistor - Surface Mount ROHS</t>
  </si>
  <si>
    <t>25121WJ0000T4E</t>
  </si>
  <si>
    <t>Royal Electronic Factory</t>
  </si>
  <si>
    <t>C25469</t>
  </si>
  <si>
    <t>R151</t>
  </si>
  <si>
    <t>KOA Speer</t>
  </si>
  <si>
    <t>R156, R157, R158, R159, R160</t>
  </si>
  <si>
    <t>RES SMD 10K OHM 1% 1/20W 0201</t>
  </si>
  <si>
    <t>RC0201FR-0710KL</t>
  </si>
  <si>
    <t>C106225</t>
  </si>
  <si>
    <t>R161, R162</t>
  </si>
  <si>
    <t>RES SMD 1M OHM 1% 1/10W 0603</t>
  </si>
  <si>
    <t>RC0603FR-071ML</t>
  </si>
  <si>
    <t>C105578</t>
  </si>
  <si>
    <t>1M</t>
  </si>
  <si>
    <t>R164</t>
  </si>
  <si>
    <t>RES SMD 402K OHM 1% 1/10W 0603</t>
  </si>
  <si>
    <t>CRCW0603402KFKEA</t>
  </si>
  <si>
    <t>C844562</t>
  </si>
  <si>
    <t>402K</t>
  </si>
  <si>
    <t>R165</t>
  </si>
  <si>
    <t>RES 845K OHM 1% 1/10W 0603</t>
  </si>
  <si>
    <t>RC0603FR-07845KL</t>
  </si>
  <si>
    <t>C246013</t>
  </si>
  <si>
    <t>845K</t>
  </si>
  <si>
    <t>R166</t>
  </si>
  <si>
    <t>RES 499K OHM 1% 1/10W 0603</t>
  </si>
  <si>
    <t>RC0603FR-07499KL</t>
  </si>
  <si>
    <t>C131054</t>
  </si>
  <si>
    <t>R167</t>
  </si>
  <si>
    <t>RES SMD 33K OHM 5% 1/10W 0603</t>
  </si>
  <si>
    <t>CRCW060333K0JNEA</t>
  </si>
  <si>
    <t>C4342762</t>
  </si>
  <si>
    <t>33K</t>
  </si>
  <si>
    <t>R169, R171, R173, R174</t>
  </si>
  <si>
    <t>RES SMD 100K OHM 0.1% 1/10W 0603</t>
  </si>
  <si>
    <t>RT0603BRD07100KL</t>
  </si>
  <si>
    <t>C122538</t>
  </si>
  <si>
    <t>R172</t>
  </si>
  <si>
    <t>RES SMD 120 OHM 0.1% 1/10W 0603</t>
  </si>
  <si>
    <t>RT0603BRB07120RL</t>
  </si>
  <si>
    <t>C860088</t>
  </si>
  <si>
    <t>120R</t>
  </si>
  <si>
    <t>R175</t>
  </si>
  <si>
    <t>RES 1M OHM 1% 1/16W 0402</t>
  </si>
  <si>
    <t>RC0402FR-071ML</t>
  </si>
  <si>
    <t>C138033</t>
  </si>
  <si>
    <t>R178, R179, R180, R187, R189</t>
  </si>
  <si>
    <t>RES 5.1K OHM 1% 1/16W 0402</t>
  </si>
  <si>
    <t>RC0402FR-075K1L</t>
  </si>
  <si>
    <t>C105872</t>
  </si>
  <si>
    <t>5.1K</t>
  </si>
  <si>
    <t>R196, R208</t>
  </si>
  <si>
    <t>RES 120 OHM 1% 1/10W 0603</t>
  </si>
  <si>
    <t>RC0603FR-07120RL</t>
  </si>
  <si>
    <t>C114640</t>
  </si>
  <si>
    <t>R214</t>
  </si>
  <si>
    <t>RES 51K OHM 0.1% 1/16W 0402</t>
  </si>
  <si>
    <t>AT0402BRD0751KL</t>
  </si>
  <si>
    <t>C5455493</t>
  </si>
  <si>
    <t>51K</t>
  </si>
  <si>
    <t>R215</t>
  </si>
  <si>
    <t>RES 2.7K OHM 1% 1/16W 0402</t>
  </si>
  <si>
    <t>C138017</t>
  </si>
  <si>
    <t>2.7K</t>
  </si>
  <si>
    <t>Tactile Switch</t>
  </si>
  <si>
    <t>SW3</t>
  </si>
  <si>
    <t>SWITCH TACTILE SPST-NO 0.05A 12V</t>
  </si>
  <si>
    <t>TL3300CF160Q</t>
  </si>
  <si>
    <t>E-Switch</t>
  </si>
  <si>
    <t>C273516</t>
  </si>
  <si>
    <t>0.8725</t>
  </si>
  <si>
    <t>Switch</t>
  </si>
  <si>
    <t>SW4</t>
  </si>
  <si>
    <t>Straight 1A SPDT 8.7mm 8.6mm 24V 4.5mm Black PCPin 10000 Rectangular columnar -25℃~+70℃ Plugin Slide Switches ROHS</t>
  </si>
  <si>
    <t>SS-12D02-G040</t>
  </si>
  <si>
    <t>G-Switch</t>
  </si>
  <si>
    <t>C2876023</t>
  </si>
  <si>
    <t>0.0940</t>
  </si>
  <si>
    <t>Current Sensor</t>
  </si>
  <si>
    <t>U1, U2</t>
  </si>
  <si>
    <t>SENSOR CURRENT HALL 20A DC</t>
  </si>
  <si>
    <t>SOP-8</t>
  </si>
  <si>
    <t>ACS723LLCTR-20AU-T</t>
  </si>
  <si>
    <t>Allegro MicroSystems, LLC</t>
  </si>
  <si>
    <t>C459324</t>
  </si>
  <si>
    <t>2.7630</t>
  </si>
  <si>
    <t>IC</t>
  </si>
  <si>
    <t>U3</t>
  </si>
  <si>
    <t>IC REG BUCK BST ADJ 1.5A 8SOIC</t>
  </si>
  <si>
    <t>SOIC-8</t>
  </si>
  <si>
    <t>MC34063ADR</t>
  </si>
  <si>
    <t>Texas Instruments</t>
  </si>
  <si>
    <t>C100023</t>
  </si>
  <si>
    <t>0.1765</t>
  </si>
  <si>
    <t>U4</t>
  </si>
  <si>
    <t>IC REG LINEAR 3.3V 1A SOT223</t>
  </si>
  <si>
    <t>SOT- 223</t>
  </si>
  <si>
    <t>LMS8117AMP-3.3/NOPB</t>
  </si>
  <si>
    <t>C201952</t>
  </si>
  <si>
    <t>0.9979</t>
  </si>
  <si>
    <t>U5</t>
  </si>
  <si>
    <t>IC REG BUCK-BOOST ADJ 3A 16TQFN</t>
  </si>
  <si>
    <t>16-QFN (3x3).</t>
  </si>
  <si>
    <t>MAX38889AATE+</t>
  </si>
  <si>
    <t>Analog Devices</t>
  </si>
  <si>
    <t>C5155969</t>
  </si>
  <si>
    <t>9.7237</t>
  </si>
  <si>
    <t>U6</t>
  </si>
  <si>
    <t>IC GATE DRVR LOW-SIDE 8SOIC</t>
  </si>
  <si>
    <t>NCP81071ADR2G</t>
  </si>
  <si>
    <t>C603796</t>
  </si>
  <si>
    <t>1.3443</t>
  </si>
  <si>
    <t>U7</t>
  </si>
  <si>
    <t>IC OR CTRLR N+1 8MSOP</t>
  </si>
  <si>
    <t>MSOP-8</t>
  </si>
  <si>
    <t>LTC4359CMS8#PBF</t>
  </si>
  <si>
    <t>Analog Devices / Linear Technology</t>
  </si>
  <si>
    <t>C190259</t>
  </si>
  <si>
    <t>5.5007</t>
  </si>
  <si>
    <t>U8, U10, U11</t>
  </si>
  <si>
    <t>IC BUF NON-INVERT 5.5V SOT23-5</t>
  </si>
  <si>
    <t>SOT-23-5</t>
  </si>
  <si>
    <t>SN74LV1T34DBVR</t>
  </si>
  <si>
    <t>C100024</t>
  </si>
  <si>
    <t>0.0888</t>
  </si>
  <si>
    <t>U9</t>
  </si>
  <si>
    <t>TransistorOptocouplers DC 1 2500Vrms SOP-4_P1.27 Optocouplers RoHS</t>
  </si>
  <si>
    <t>SOP-4_1.27</t>
  </si>
  <si>
    <t>PS2801C-1-F3-A</t>
  </si>
  <si>
    <t>RENESAS</t>
  </si>
  <si>
    <t>C67112</t>
  </si>
  <si>
    <t>0.2725</t>
  </si>
  <si>
    <t>U12</t>
  </si>
  <si>
    <t>IC BATT CHG MULTI-CHEM 16VQFN</t>
  </si>
  <si>
    <t>QFN-16-EP(3.6x3.6)</t>
  </si>
  <si>
    <t>BQ24650RVAR</t>
  </si>
  <si>
    <t>C53712</t>
  </si>
  <si>
    <t>2.3472</t>
  </si>
  <si>
    <t>U13</t>
  </si>
  <si>
    <t>IC COMPARATOR 2 WINDW SOT23-THIN</t>
  </si>
  <si>
    <t>SOT-23-6</t>
  </si>
  <si>
    <t>TPS3700DDCR</t>
  </si>
  <si>
    <t>C33002</t>
  </si>
  <si>
    <t>0.6186</t>
  </si>
  <si>
    <t>U14</t>
  </si>
  <si>
    <t>IC REG LDO ADJ 3A TO263-5</t>
  </si>
  <si>
    <t>TO-263-5 (D2PAK)</t>
  </si>
  <si>
    <t>MIC29302WU-TR</t>
  </si>
  <si>
    <t>Microchip</t>
  </si>
  <si>
    <t>C11149</t>
  </si>
  <si>
    <t>1.0560</t>
  </si>
  <si>
    <t>U15, U16</t>
  </si>
  <si>
    <t>IC GATE DRVR LOW-SIDE SOT23-5</t>
  </si>
  <si>
    <t>UCC27517DBVR</t>
  </si>
  <si>
    <t>C99395</t>
  </si>
  <si>
    <t>0.2074</t>
  </si>
  <si>
    <t>Sensor</t>
  </si>
  <si>
    <t>U17</t>
  </si>
  <si>
    <t>Plugin Human Body Sensing Sensor ROHS</t>
  </si>
  <si>
    <t>AS312</t>
  </si>
  <si>
    <t>Senba Sensing Tech</t>
  </si>
  <si>
    <t>C90465</t>
  </si>
  <si>
    <t>0.9333</t>
  </si>
  <si>
    <t>U18</t>
  </si>
  <si>
    <t>40V 20A 17mΩ@10V,10A 21W 1.6V@250uA 72pF@20V 2 N-Channel 1.05nF@20V 11nC@10V +150℃@(Tj) PDFN3x3</t>
  </si>
  <si>
    <t>DFN-8(3.2x3.2)</t>
  </si>
  <si>
    <t>AP4008QD</t>
  </si>
  <si>
    <t>ALLPOWER(ShenZhen Quan Li Semiconductor)</t>
  </si>
  <si>
    <t>C2828588</t>
  </si>
  <si>
    <t>0.1869</t>
  </si>
  <si>
    <t>U19, U22</t>
  </si>
  <si>
    <t>1.6-V TO 5.5-V, 20-M, 4-A LOW IQ</t>
  </si>
  <si>
    <t>SOT-583</t>
  </si>
  <si>
    <t>TPS2117DRLR</t>
  </si>
  <si>
    <t>U20</t>
  </si>
  <si>
    <t>IC REG LINEAR 3.3V 1A 8DFN</t>
  </si>
  <si>
    <t>DFN-8(1.2x1.6)</t>
  </si>
  <si>
    <t>LD56100DPU33R</t>
  </si>
  <si>
    <t>STMicroelectronics</t>
  </si>
  <si>
    <t>C2969937</t>
  </si>
  <si>
    <t>U21</t>
  </si>
  <si>
    <t>IC MCU 32BIT 1MB FLASH 144LQFP</t>
  </si>
  <si>
    <t>LQFP-144(20x20)</t>
  </si>
  <si>
    <t>STM32H723ZGT6</t>
  </si>
  <si>
    <t>C730146</t>
  </si>
  <si>
    <t>5.2318</t>
  </si>
  <si>
    <t>Module</t>
  </si>
  <si>
    <t>U28</t>
  </si>
  <si>
    <t>HC12 Si4463 433MHZ RF Wireless Serial Module</t>
  </si>
  <si>
    <t>HC-12 Module SMD</t>
  </si>
  <si>
    <t>HC-12</t>
  </si>
  <si>
    <t>Aliexpress</t>
  </si>
  <si>
    <t>U29</t>
  </si>
  <si>
    <t>SOT-23-5 Power Distribution Switches ROHS</t>
  </si>
  <si>
    <t>SY6280AAC</t>
  </si>
  <si>
    <t>Silergy</t>
  </si>
  <si>
    <t>C55136</t>
  </si>
  <si>
    <t>0.0875</t>
  </si>
  <si>
    <t>U30</t>
  </si>
  <si>
    <t>IC REG BUCK 5V 2A TSOT26</t>
  </si>
  <si>
    <t>TSOT-23-6</t>
  </si>
  <si>
    <t>AP63205WU-7</t>
  </si>
  <si>
    <t>C2071056</t>
  </si>
  <si>
    <t>OpAmp</t>
  </si>
  <si>
    <t>U31</t>
  </si>
  <si>
    <t>SOT-23-5 Precision OpAmps ROHS</t>
  </si>
  <si>
    <t>TP5591-TR</t>
  </si>
  <si>
    <t>3PEAK</t>
  </si>
  <si>
    <t>C248602</t>
  </si>
  <si>
    <t>0.9882</t>
  </si>
  <si>
    <t>U32</t>
  </si>
  <si>
    <t>WK2124 SPI Bus Interface Wide Operating Voltage 4-Channel 256-Level FIFO High-Speed UART</t>
  </si>
  <si>
    <t>SSOP-20-208mil</t>
  </si>
  <si>
    <t>WK2124-ISSG</t>
  </si>
  <si>
    <t>WEIKAI</t>
  </si>
  <si>
    <t>C86332</t>
  </si>
  <si>
    <t>3.4711</t>
  </si>
  <si>
    <t>U33, U35</t>
  </si>
  <si>
    <t>SOP-8 RS-485/RS-422 ICs ROHS</t>
  </si>
  <si>
    <t>SP3485EIM/TR</t>
  </si>
  <si>
    <t>HGSEMI</t>
  </si>
  <si>
    <t>C519086</t>
  </si>
  <si>
    <t>0.2423</t>
  </si>
  <si>
    <t>U37</t>
  </si>
  <si>
    <t>ESOP-8 Digital to Analog Converters (DAC) ROHS</t>
  </si>
  <si>
    <t>ESOP-8</t>
  </si>
  <si>
    <t>GP8211S-TC50-EW</t>
  </si>
  <si>
    <t>Guestgood</t>
  </si>
  <si>
    <t>C3152008</t>
  </si>
  <si>
    <t>1.8778</t>
  </si>
  <si>
    <t>U38</t>
  </si>
  <si>
    <t>boost converterType 1 Boost 28V 2V~24V 1.2MHz SOT-23-6 DC-DC Converters ROHS</t>
  </si>
  <si>
    <t>MT3608</t>
  </si>
  <si>
    <t>XI'AN Aerosemi Tech</t>
  </si>
  <si>
    <t>C84817</t>
  </si>
  <si>
    <t>0.0601</t>
  </si>
  <si>
    <t>Crystal</t>
  </si>
  <si>
    <t>X1</t>
  </si>
  <si>
    <t>CRYSTAL 25.0000MHZ 12PF SMD</t>
  </si>
  <si>
    <t>Q22FA12800090</t>
  </si>
  <si>
    <t>Seiko Epson</t>
  </si>
  <si>
    <t>C255883</t>
  </si>
  <si>
    <t>25MHz</t>
  </si>
  <si>
    <t>0.3248</t>
  </si>
  <si>
    <t>X2</t>
  </si>
  <si>
    <t>14.7456MHz Surface Mount Crystal 20pF ±10ppm ±30ppm SMD3225-4P Crystals ROHS</t>
  </si>
  <si>
    <t>SMD3225-4P</t>
  </si>
  <si>
    <t>SX3B14.7456F2010F30</t>
  </si>
  <si>
    <t>Shenzhen SCTF Elec</t>
  </si>
  <si>
    <t>C2901666</t>
  </si>
  <si>
    <t>14.7456MHz</t>
  </si>
  <si>
    <t>0.0842</t>
  </si>
  <si>
    <t>X3</t>
  </si>
  <si>
    <t>CRYSTAL 32.7680KHZ 12.5PF SMD</t>
  </si>
  <si>
    <t>NX3215SA-32.768K-STD-MUA-8</t>
  </si>
  <si>
    <t>NDK</t>
  </si>
  <si>
    <t>C156245</t>
  </si>
  <si>
    <t>32.7680KHZ</t>
  </si>
  <si>
    <t>0.2481</t>
  </si>
  <si>
    <t xml:space="preserve">Total Component Cost </t>
  </si>
  <si>
    <t>Single Board Cost</t>
  </si>
  <si>
    <t>Quantity (10 Boards)</t>
  </si>
  <si>
    <t xml:space="preserve"> MOQ (10 Boards)</t>
  </si>
  <si>
    <t>Unit Cost (10 Boards)</t>
  </si>
  <si>
    <t>Total Cost (10 Boards)</t>
  </si>
  <si>
    <t>Quantity (100 Boards)</t>
  </si>
  <si>
    <t>MOQ (100 Boards)</t>
  </si>
  <si>
    <t>Unit Cost (100 Boards)</t>
  </si>
  <si>
    <t>Total Cost (100 Boards)</t>
  </si>
  <si>
    <t xml:space="preserve"> Remarks</t>
  </si>
  <si>
    <t>1400</t>
  </si>
  <si>
    <t>0.0142</t>
  </si>
  <si>
    <t>600</t>
  </si>
  <si>
    <t>200</t>
  </si>
  <si>
    <t>2100</t>
  </si>
  <si>
    <t>0.0024</t>
  </si>
  <si>
    <t>400</t>
  </si>
  <si>
    <t>1500</t>
  </si>
  <si>
    <t>0.0628</t>
  </si>
  <si>
    <t>0.2620</t>
  </si>
  <si>
    <t>500</t>
  </si>
  <si>
    <t>0.0183</t>
  </si>
  <si>
    <t>0.0280</t>
  </si>
  <si>
    <t>0.0017</t>
  </si>
  <si>
    <t>0.0303</t>
  </si>
  <si>
    <t>0.0952</t>
  </si>
  <si>
    <t>0.2449</t>
  </si>
  <si>
    <t>0.1164</t>
  </si>
  <si>
    <t>0.8027</t>
  </si>
  <si>
    <t>1.1138</t>
  </si>
  <si>
    <t>0.1525</t>
  </si>
  <si>
    <t>1.5812</t>
  </si>
  <si>
    <t>0.0315</t>
  </si>
  <si>
    <t>0.0456</t>
  </si>
  <si>
    <t>0.1355</t>
  </si>
  <si>
    <t>0.0312</t>
  </si>
  <si>
    <t>0.0673</t>
  </si>
  <si>
    <t>0.0354</t>
  </si>
  <si>
    <t>0.0467</t>
  </si>
  <si>
    <t>0.1279</t>
  </si>
  <si>
    <t>0.6868</t>
  </si>
  <si>
    <t>0.0665</t>
  </si>
  <si>
    <t>4200</t>
  </si>
  <si>
    <t>0.0059</t>
  </si>
  <si>
    <t>0.0086</t>
  </si>
  <si>
    <t>0.0741</t>
  </si>
  <si>
    <t>0.0181</t>
  </si>
  <si>
    <t>0.5069</t>
  </si>
  <si>
    <t>0.4017</t>
  </si>
  <si>
    <t>0.1697</t>
  </si>
  <si>
    <t>0.1153</t>
  </si>
  <si>
    <t>0.6034</t>
  </si>
  <si>
    <t>0.0767</t>
  </si>
  <si>
    <t>0.1572</t>
  </si>
  <si>
    <t>1.3151</t>
  </si>
  <si>
    <t>0.0244</t>
  </si>
  <si>
    <t>0.0325</t>
  </si>
  <si>
    <t>0.2535</t>
  </si>
  <si>
    <t>0.1835</t>
  </si>
  <si>
    <t>0.0476</t>
  </si>
  <si>
    <t>0.5477</t>
  </si>
  <si>
    <t>0.1078</t>
  </si>
  <si>
    <t>0.0799</t>
  </si>
  <si>
    <t>0.0429</t>
  </si>
  <si>
    <t>19-21SURC/S530-A2/4T</t>
  </si>
  <si>
    <t>C2986009</t>
  </si>
  <si>
    <t>0.2548</t>
  </si>
  <si>
    <t>0.0523</t>
  </si>
  <si>
    <t>0.1537</t>
  </si>
  <si>
    <t>0.4944</t>
  </si>
  <si>
    <t>0.0644</t>
  </si>
  <si>
    <t>0.0276</t>
  </si>
  <si>
    <t>1.5448</t>
  </si>
  <si>
    <t>0.0230</t>
  </si>
  <si>
    <t>0.0184</t>
  </si>
  <si>
    <t>0.0192</t>
  </si>
  <si>
    <t>1700</t>
  </si>
  <si>
    <t>0.0005</t>
  </si>
  <si>
    <t>0.0220</t>
  </si>
  <si>
    <t>700</t>
  </si>
  <si>
    <t>4400</t>
  </si>
  <si>
    <t>0.0204</t>
  </si>
  <si>
    <t>0.0377</t>
  </si>
  <si>
    <t>0.0361</t>
  </si>
  <si>
    <t>0.0536</t>
  </si>
  <si>
    <t>1000</t>
  </si>
  <si>
    <t>0.0300</t>
  </si>
  <si>
    <t>0.0116</t>
  </si>
  <si>
    <t>1300</t>
  </si>
  <si>
    <t>0.0004</t>
  </si>
  <si>
    <t>0.0014</t>
  </si>
  <si>
    <t>0.0455</t>
  </si>
  <si>
    <t>0.0156</t>
  </si>
  <si>
    <t>0.0194</t>
  </si>
  <si>
    <t>0.0190</t>
  </si>
  <si>
    <t>0.0282</t>
  </si>
  <si>
    <t>0.0009</t>
  </si>
  <si>
    <t>0.0048</t>
  </si>
  <si>
    <t>0.0038</t>
  </si>
  <si>
    <t>0.0159</t>
  </si>
  <si>
    <t>0.1133</t>
  </si>
  <si>
    <t>0.5196</t>
  </si>
  <si>
    <t>0.0748</t>
  </si>
  <si>
    <t>2.1729</t>
  </si>
  <si>
    <t>0.7557</t>
  </si>
  <si>
    <t>6.8293</t>
  </si>
  <si>
    <t>0.7273</t>
  </si>
  <si>
    <t>3.4881</t>
  </si>
  <si>
    <t>0.0600</t>
  </si>
  <si>
    <t>0.2230</t>
  </si>
  <si>
    <t>1.2544</t>
  </si>
  <si>
    <t>0.3124</t>
  </si>
  <si>
    <t>0.7656</t>
  </si>
  <si>
    <t>0.1305</t>
  </si>
  <si>
    <t>0.5588</t>
  </si>
  <si>
    <t>0.5240</t>
  </si>
  <si>
    <t>3.7129</t>
  </si>
  <si>
    <t>0.0691</t>
  </si>
  <si>
    <t>0.2121</t>
  </si>
  <si>
    <t>0.7604</t>
  </si>
  <si>
    <t>2.3924</t>
  </si>
  <si>
    <t>0.1705</t>
  </si>
  <si>
    <t>1.1560</t>
  </si>
  <si>
    <t>0.0553</t>
  </si>
  <si>
    <t>0.2706</t>
  </si>
  <si>
    <t>0.0680</t>
  </si>
  <si>
    <t>0.1959</t>
  </si>
  <si>
    <t>Quantity (200 Boards)</t>
  </si>
  <si>
    <t>MOQ (200 Boards)</t>
  </si>
  <si>
    <t>Unit Cost (200 Boards)</t>
  </si>
  <si>
    <t>Total Cost (200 Boards)</t>
  </si>
  <si>
    <t>EEE-FK1E101AP</t>
  </si>
  <si>
    <t xml:space="preserve">Digikey </t>
  </si>
  <si>
    <t>Quantity (500 Boards)</t>
  </si>
  <si>
    <t>MOQ (500 Boards)</t>
  </si>
  <si>
    <t>Unit Cost (500 Boards)</t>
  </si>
  <si>
    <t>Total Cost (500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</si>
</sst>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4">
    <font>
      <sz val="11"/>
      <color theme="1"/>
      <name val="Calibri"/>
      <charset val="134"/>
      <scheme val="minor"/>
    </font>
    <font>
      <sz val="10"/>
      <color indexed="1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indexed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 wrapText="1"/>
    </xf>
    <xf numFmtId="165" fontId="11" fillId="4" borderId="10" xfId="0" applyNumberFormat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/>
    <xf numFmtId="0" fontId="1" fillId="2" borderId="1" xfId="0" applyFont="1" applyFill="1" applyBorder="1" applyAlignment="1">
      <alignment horizontal="center"/>
    </xf>
    <xf numFmtId="0" fontId="10" fillId="4" borderId="5" xfId="0" applyFont="1" applyFill="1" applyBorder="1" applyAlignment="1" applyProtection="1">
      <alignment horizontal="center" vertical="top"/>
      <protection locked="0"/>
    </xf>
    <xf numFmtId="0" fontId="10" fillId="4" borderId="9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csc.com/product-detail/chip-resistor-surface-mount_yageo-rc0603fr-071kl_C22548.html" TargetMode="External"/><Relationship Id="rId21" Type="http://schemas.openxmlformats.org/officeDocument/2006/relationships/hyperlink" Target="https://lcsc.com/product-detail/multilayer-ceramic-capacitors-mlcc-smd-smt_tdk-c1608x5r1e106m080ac_C2168289.html" TargetMode="External"/><Relationship Id="rId42" Type="http://schemas.openxmlformats.org/officeDocument/2006/relationships/hyperlink" Target="https://lcsc.com/product-detail/zener-diodes_eic-semicon-mm3z3v3b_C2978865.html" TargetMode="External"/><Relationship Id="rId63" Type="http://schemas.openxmlformats.org/officeDocument/2006/relationships/hyperlink" Target="https://lcsc.com/product-detail/wire-to-board-connector_molex-22112022_C505162.html" TargetMode="External"/><Relationship Id="rId84" Type="http://schemas.openxmlformats.org/officeDocument/2006/relationships/hyperlink" Target="https://lcsc.com/product-detail/LED-Indication-Discrete_Amicc-A-SP194DR5C-C01-4T_C19171329.html" TargetMode="External"/><Relationship Id="rId138" Type="http://schemas.openxmlformats.org/officeDocument/2006/relationships/hyperlink" Target="https://lcsc.com/product-detail/chip-resistor-surface-mount_yageo-rc0603fr-073k3l_C108078.html" TargetMode="External"/><Relationship Id="rId159" Type="http://schemas.openxmlformats.org/officeDocument/2006/relationships/hyperlink" Target="https://lcsc.com/product-detail/gate-drivers_ti-ucc27517dbvr_C99395.html" TargetMode="External"/><Relationship Id="rId170" Type="http://schemas.openxmlformats.org/officeDocument/2006/relationships/hyperlink" Target="https://lcsc.com/product-detail/Chip-Resistor-Surface-Mount_VISHAY-CRCW0603402KFKEA_C844562.html?s_z=n_CRCW0603402KFKEA" TargetMode="External"/><Relationship Id="rId107" Type="http://schemas.openxmlformats.org/officeDocument/2006/relationships/hyperlink" Target="https://lcsc.com/product-detail/chip-resistor-surface-mount_koa-speer-elec-rk73g1jttd1002f_C362180.html" TargetMode="External"/><Relationship Id="rId11" Type="http://schemas.openxmlformats.org/officeDocument/2006/relationships/hyperlink" Target="https://lcsc.com/product-detail/multilayer-ceramic-capacitors-mlcc-smd-smt_yageo-cc0201jrnpo9bn150_C277480.html" TargetMode="External"/><Relationship Id="rId32" Type="http://schemas.openxmlformats.org/officeDocument/2006/relationships/hyperlink" Target="https://lcsc.com/product-detail/multilayer-ceramic-capacitors-mlcc-smd-smt_murata-grm155r61e225ke11d_C385032.html" TargetMode="External"/><Relationship Id="rId53" Type="http://schemas.openxmlformats.org/officeDocument/2006/relationships/hyperlink" Target="https://lcsc.com/product-detail/schottky-diodes_diodes-1n5819hw-7-f_C82544.html" TargetMode="External"/><Relationship Id="rId74" Type="http://schemas.openxmlformats.org/officeDocument/2006/relationships/hyperlink" Target="https://lcsc.com/product-detail/power-inductors_tdk-slf12575t-221m1r3-pf_C93225.html" TargetMode="External"/><Relationship Id="rId128" Type="http://schemas.openxmlformats.org/officeDocument/2006/relationships/hyperlink" Target="https://lcsc.com/product-detail/chip-resistor-surface-mount_ever-ohms-tech-tr0603b499kp0525z_C149937.html" TargetMode="External"/><Relationship Id="rId149" Type="http://schemas.openxmlformats.org/officeDocument/2006/relationships/hyperlink" Target="https://lcsc.com/product-detail/dc-dc-converters_ti-mc34063adr_C100023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95" Type="http://schemas.openxmlformats.org/officeDocument/2006/relationships/hyperlink" Target="https://lcsc.com/product-detail/chip-resistor-surface-mount_ralec-rtt03r330ftp_C103893.html" TargetMode="External"/><Relationship Id="rId160" Type="http://schemas.openxmlformats.org/officeDocument/2006/relationships/hyperlink" Target="https://lcsc.com/product-detail/human-body-sensing-sensor_senba-sensing-tech-as312_C90465.html" TargetMode="External"/><Relationship Id="rId181" Type="http://schemas.openxmlformats.org/officeDocument/2006/relationships/hyperlink" Target="https://www.digikey.com/en/products/detail/texas-instruments/TPS2117DRLR/21737520?s=N4IgTCBcDaICoAUDKYCMqDsARASgGRxAF0BfIA" TargetMode="External"/><Relationship Id="rId22" Type="http://schemas.openxmlformats.org/officeDocument/2006/relationships/hyperlink" Target="https://lcsc.com/product-detail/multilayer-ceramic-capacitors-mlcc-smd-smt_murata-grm155r62a104ke14d_C162178.html" TargetMode="External"/><Relationship Id="rId43" Type="http://schemas.openxmlformats.org/officeDocument/2006/relationships/hyperlink" Target="https://lcsc.com/product-detail/esd-and-surge-protection-tvs-esd_brightking-smbj70a-tr13_C309982.html" TargetMode="External"/><Relationship Id="rId64" Type="http://schemas.openxmlformats.org/officeDocument/2006/relationships/hyperlink" Target="https://lcsc.com/product-detail/wire-to-board-connector_hctl-hc-1-25-12plt_C2937190.html" TargetMode="External"/><Relationship Id="rId118" Type="http://schemas.openxmlformats.org/officeDocument/2006/relationships/hyperlink" Target="https://lcsc.com/product-detail/chip-resistor-surface-mount_yageo-rt0603brd077k5l_C728597.html" TargetMode="External"/><Relationship Id="rId139" Type="http://schemas.openxmlformats.org/officeDocument/2006/relationships/hyperlink" Target="https://lcsc.com/product-detail/chip-resistor-surface-mount_vishay-crcw06031m82fkea_C2076849.html" TargetMode="External"/><Relationship Id="rId85" Type="http://schemas.openxmlformats.org/officeDocument/2006/relationships/hyperlink" Target="https://lcsc.com/product-detail/mosfets_willsemi-wnm2016a-3-tr_C601105.html" TargetMode="External"/><Relationship Id="rId150" Type="http://schemas.openxmlformats.org/officeDocument/2006/relationships/hyperlink" Target="https://lcsc.com/product-detail/voltage-regulators-linear-low-drop-out-ldo-regulators_ti-lms8117amp-3-3-nopb_C201952.html" TargetMode="External"/><Relationship Id="rId171" Type="http://schemas.openxmlformats.org/officeDocument/2006/relationships/hyperlink" Target="https://lcsc.com/product-detail/Chip-Resistor-Surface-Mount_YAGEO-RC0603FR-07845KL_C246013.html?s_z=n_RC0603FR-07845KL" TargetMode="External"/><Relationship Id="rId12" Type="http://schemas.openxmlformats.org/officeDocument/2006/relationships/hyperlink" Target="https://lcsc.com/product-detail/multilayer-ceramic-capacitors-mlcc-smd-smt_yageo-cc0603krx7r9bb105_C559769.html" TargetMode="External"/><Relationship Id="rId33" Type="http://schemas.openxmlformats.org/officeDocument/2006/relationships/hyperlink" Target="https://lcsc.com/product-detail/multilayer-ceramic-capacitors-mlcc-smd-smt_yageo-cc0603krx5r9bb104_C110022.html" TargetMode="External"/><Relationship Id="rId108" Type="http://schemas.openxmlformats.org/officeDocument/2006/relationships/hyperlink" Target="https://lcsc.com/product-detail/chip-resistor-surface-mount_yageo-rc0603dr-07150rl_C471801.html" TargetMode="External"/><Relationship Id="rId129" Type="http://schemas.openxmlformats.org/officeDocument/2006/relationships/hyperlink" Target="https://lcsc.com/product-detail/chip-resistor-surface-mount_yageo-rt0402brd0786k6l_C852935.html" TargetMode="External"/><Relationship Id="rId54" Type="http://schemas.openxmlformats.org/officeDocument/2006/relationships/hyperlink" Target="https://lcsc.com/product-detail/esd-and-surge-protection-tvs-esd_mdd-microdiode-semiconductor-esd5z3-3c_C502551.html" TargetMode="External"/><Relationship Id="rId75" Type="http://schemas.openxmlformats.org/officeDocument/2006/relationships/hyperlink" Target="https://lcsc.com/product-detail/power-inductors_yjycoin-yprh0704-4r7m_C514806.html" TargetMode="External"/><Relationship Id="rId96" Type="http://schemas.openxmlformats.org/officeDocument/2006/relationships/hyperlink" Target="https://lcsc.com/product-detail/chip-resistor-surface-mount_yageo-rc0603fr-071k2l_C114605.html" TargetMode="External"/><Relationship Id="rId140" Type="http://schemas.openxmlformats.org/officeDocument/2006/relationships/hyperlink" Target="https://lcsc.com/product-detail/chip-resistor-surface-mount_yageo-rc0402fr-071kl_C106235.html" TargetMode="External"/><Relationship Id="rId161" Type="http://schemas.openxmlformats.org/officeDocument/2006/relationships/hyperlink" Target="https://lcsc.com/product-detail/mosfets_allpower-shenzhen-quan-li-semiconductor-ap4008qd_C2828588.html" TargetMode="External"/><Relationship Id="rId182" Type="http://schemas.openxmlformats.org/officeDocument/2006/relationships/hyperlink" Target="https://lcsc.com/product-detail/Voltage-Regulators-Linear-Low-Drop-Out-LDO-Regulators_ST-LD56100DPU33R_C2969937.html?s_z=n_C2969937" TargetMode="External"/><Relationship Id="rId6" Type="http://schemas.openxmlformats.org/officeDocument/2006/relationships/hyperlink" Target="https://www.digikey.com/en/products/detail/nichicon/UUR1E101MCL6GS/2550440?s=N4IgjCBcoCwGxVAYygMwIYBsDOBTANCAPZQDa4ArAOwCcCAuoQA4AuUIAyiwE4CWAdgHMQAX0IAmCuMQgUkDDgLEyIcWHFwwVEIxCt2XPkNGEqkmXIV5CJSOTAwADI7AUdzNpE48BwsSAAOAJgLNCxrZTtwOE0AZnc9T28jP0JXZ1D5cKV" TargetMode="External"/><Relationship Id="rId23" Type="http://schemas.openxmlformats.org/officeDocument/2006/relationships/hyperlink" Target="https://lcsc.com/product-detail/tantalum-capacitors_kyocera-avx-taje337m016rnj_C51599.html" TargetMode="External"/><Relationship Id="rId119" Type="http://schemas.openxmlformats.org/officeDocument/2006/relationships/hyperlink" Target="https://lcsc.com/product-detail/chip-resistor-surface-mount_vishay-rca0603100rfkeahp_C2074203.html" TargetMode="External"/><Relationship Id="rId44" Type="http://schemas.openxmlformats.org/officeDocument/2006/relationships/hyperlink" Target="https://lcsc.com/product-detail/schottky-diodes_juxing-ss510b_C3011128.html" TargetMode="External"/><Relationship Id="rId60" Type="http://schemas.openxmlformats.org/officeDocument/2006/relationships/hyperlink" Target="https://eu.mouser.com/ProductDetail/Same-Sky/TB008A-508-04BE?qs=vLWxofP3U2wE%252BeCFz1tLxg%3D%3D" TargetMode="External"/><Relationship Id="rId65" Type="http://schemas.openxmlformats.org/officeDocument/2006/relationships/hyperlink" Target="https://lcsc.com/product-detail/pin-headers_boomele-boom-precision-elec-1-27-1-2p_C703015.html" TargetMode="External"/><Relationship Id="rId81" Type="http://schemas.openxmlformats.org/officeDocument/2006/relationships/hyperlink" Target="https://lcsc.com/product-detail/led-indication-discrete_foshan-nationstar-optoelectronics-ncd0603r3_C3151730.html" TargetMode="External"/><Relationship Id="rId86" Type="http://schemas.openxmlformats.org/officeDocument/2006/relationships/hyperlink" Target="https://lcsc.com/product-detail/bipolar-bjt_goodwork-mmbt5551_C909756.html" TargetMode="External"/><Relationship Id="rId130" Type="http://schemas.openxmlformats.org/officeDocument/2006/relationships/hyperlink" Target="https://lcsc.com/product-detail/chip-resistor-surface-mount_yageo-rc2512jk-070rl_C189505.html" TargetMode="External"/><Relationship Id="rId135" Type="http://schemas.openxmlformats.org/officeDocument/2006/relationships/hyperlink" Target="https://lcsc.com/product-detail/chip-resistor-surface-mount_yageo-rt0603bre0763k4l_C862245.html" TargetMode="External"/><Relationship Id="rId151" Type="http://schemas.openxmlformats.org/officeDocument/2006/relationships/hyperlink" Target="https://lcsc.com/product-detail/dc-dc-converters_maxim-max38889aate_C5155969.html" TargetMode="External"/><Relationship Id="rId156" Type="http://schemas.openxmlformats.org/officeDocument/2006/relationships/hyperlink" Target="https://lcsc.com/product-detail/battery-management_ti-bq24650rvar_C53712.html" TargetMode="External"/><Relationship Id="rId177" Type="http://schemas.openxmlformats.org/officeDocument/2006/relationships/hyperlink" Target="https://lcsc.com/product-detail/Chip-Resistor-Surface-Mount_YAGEO-RC0402FR-075K1L_C105872.html?s_z=n_C105872" TargetMode="External"/><Relationship Id="rId172" Type="http://schemas.openxmlformats.org/officeDocument/2006/relationships/hyperlink" Target="https://lcsc.com/product-detail/Chip-Resistor-Surface-Mount_YAGEO-RC0603FR-07499KL_C131054.html?s_z=n_C131054" TargetMode="External"/><Relationship Id="rId13" Type="http://schemas.openxmlformats.org/officeDocument/2006/relationships/hyperlink" Target="https://lcsc.com/product-detail/multilayer-ceramic-capacitors-mlcc-smd-smt_yageo-cc1206jrx7r0bb473_C577197.html" TargetMode="External"/><Relationship Id="rId18" Type="http://schemas.openxmlformats.org/officeDocument/2006/relationships/hyperlink" Target="https://lcsc.com/product-detail/aluminum-electrolytic-capacitors-smd_nichicon-uud1a102mnl1gs_C445277.html" TargetMode="External"/><Relationship Id="rId39" Type="http://schemas.openxmlformats.org/officeDocument/2006/relationships/hyperlink" Target="https://lcsc.com/product-detail/zener-diodes_onsemi-1sma5930bt3g_C128848.html" TargetMode="External"/><Relationship Id="rId109" Type="http://schemas.openxmlformats.org/officeDocument/2006/relationships/hyperlink" Target="https://lcsc.com/product-detail/chip-resistor-surface-mount_yageo-rc0603fr-072k2l_C114662.html" TargetMode="External"/><Relationship Id="rId34" Type="http://schemas.openxmlformats.org/officeDocument/2006/relationships/hyperlink" Target="https://lcsc.com/product-detail/multilayer-ceramic-capacitors-mlcc-smd-smt_yageo-cc0402krx7r8bb104_C105883.html" TargetMode="External"/><Relationship Id="rId50" Type="http://schemas.openxmlformats.org/officeDocument/2006/relationships/hyperlink" Target="https://lcsc.com/product-detail/diodes-general-purpose_twgmc-1n4007_C727081.html" TargetMode="External"/><Relationship Id="rId55" Type="http://schemas.openxmlformats.org/officeDocument/2006/relationships/hyperlink" Target="https://lcsc.com/product-detail/zener-diodes_diodes-mmsz5242bs-7-f_C151457.html" TargetMode="External"/><Relationship Id="rId76" Type="http://schemas.openxmlformats.org/officeDocument/2006/relationships/hyperlink" Target="https://lcsc.com/product-detail/power-inductors_yjycoin-ynr4018-220m_C340373.html" TargetMode="External"/><Relationship Id="rId97" Type="http://schemas.openxmlformats.org/officeDocument/2006/relationships/hyperlink" Target="https://lcsc.com/product-detail/chip-resistor-surface-mount_yageo-rc0603fr-074k7l_C99782.html" TargetMode="External"/><Relationship Id="rId104" Type="http://schemas.openxmlformats.org/officeDocument/2006/relationships/hyperlink" Target="https://lcsc.com/product-detail/chip-resistor-surface-mount_yageo-rc0603fr-07680rl_C112310.html" TargetMode="External"/><Relationship Id="rId120" Type="http://schemas.openxmlformats.org/officeDocument/2006/relationships/hyperlink" Target="https://lcsc.com/product-detail/chip-resistor-surface-mount_yageo-rc0603fr-07200kl_C105574.html" TargetMode="External"/><Relationship Id="rId125" Type="http://schemas.openxmlformats.org/officeDocument/2006/relationships/hyperlink" Target="https://lcsc.com/product-detail/chip-resistor-surface-mount_yageo-rc0402fr-070rl_C106231.html" TargetMode="External"/><Relationship Id="rId141" Type="http://schemas.openxmlformats.org/officeDocument/2006/relationships/hyperlink" Target="https://lcsc.com/product-detail/chip-resistor-surface-mount_yageo-rc1206jr-070rl_C108081.html" TargetMode="External"/><Relationship Id="rId146" Type="http://schemas.openxmlformats.org/officeDocument/2006/relationships/hyperlink" Target="https://lcsc.com/product-detail/tactile-switches_e-switch-tl3300cf160q_C273516.html" TargetMode="External"/><Relationship Id="rId167" Type="http://schemas.openxmlformats.org/officeDocument/2006/relationships/hyperlink" Target="https://lcsc.com/product-detail/Chip-Resistor-Surface-Mount_UNI-ROYAL-25121WJ0000T4E_C25469.html?s_z=n_C25469" TargetMode="External"/><Relationship Id="rId7" Type="http://schemas.openxmlformats.org/officeDocument/2006/relationships/hyperlink" Target="https://lcsc.com/product-detail/multilayer-ceramic-capacitors-mlcc-smd-smt_tdk-c1005c0g1e102jt000f_C343059.html" TargetMode="External"/><Relationship Id="rId71" Type="http://schemas.openxmlformats.org/officeDocument/2006/relationships/hyperlink" Target="https://eu.mouser.com/ProductDetail/Same-Sky/TB008A-508-04BE?qs=vLWxofP3U2wE%252BeCFz1tLxg%3D%3D" TargetMode="External"/><Relationship Id="rId92" Type="http://schemas.openxmlformats.org/officeDocument/2006/relationships/hyperlink" Target="https://lcsc.com/product-detail/mosfets_guangdong-hottech-ao3407_C181093.html" TargetMode="External"/><Relationship Id="rId162" Type="http://schemas.openxmlformats.org/officeDocument/2006/relationships/hyperlink" Target="https://lcsc.com/product-detail/microcontrollers-mcu-mpu-soc_st-stm32h723zgt6_C730146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29" Type="http://schemas.openxmlformats.org/officeDocument/2006/relationships/hyperlink" Target="https://lcsc.com/product-detail/multilayer-ceramic-capacitors-mlcc-smd-smt_yageo-cc0603krx5r9bb474_C513651.html" TargetMode="External"/><Relationship Id="rId24" Type="http://schemas.openxmlformats.org/officeDocument/2006/relationships/hyperlink" Target="https://lcsc.com/product-detail/tantalum-capacitors_kyocera-avx-tajb107m010rnj_C7196.html" TargetMode="External"/><Relationship Id="rId40" Type="http://schemas.openxmlformats.org/officeDocument/2006/relationships/hyperlink" Target="https://lcsc.com/product-detail/esd-and-surge-protection-tvs-esd_ftr-smaj5-0ca_C693487.html" TargetMode="External"/><Relationship Id="rId45" Type="http://schemas.openxmlformats.org/officeDocument/2006/relationships/hyperlink" Target="https://lcsc.com/product-detail/switching-diodes_diodes-1n4148w-7-f_C83528.html" TargetMode="External"/><Relationship Id="rId66" Type="http://schemas.openxmlformats.org/officeDocument/2006/relationships/hyperlink" Target="https://lcsc.com/product-detail/coaxial-connectors-rf_hj-tech-hj-sma508_C1509209.html" TargetMode="External"/><Relationship Id="rId87" Type="http://schemas.openxmlformats.org/officeDocument/2006/relationships/hyperlink" Target="https://lcsc.com/product-detail/mosfets_diodes-dmn13h750s-7_C156273.html" TargetMode="External"/><Relationship Id="rId110" Type="http://schemas.openxmlformats.org/officeDocument/2006/relationships/hyperlink" Target="https://lcsc.com/product-detail/chip-resistor-surface-mount_yageo-rc0603fr-0710kl_C98220.html" TargetMode="External"/><Relationship Id="rId115" Type="http://schemas.openxmlformats.org/officeDocument/2006/relationships/hyperlink" Target="https://lcsc.com/product-detail/chip-resistor-surface-mount_yageo-rt0603brd0720kl_C723637.html" TargetMode="External"/><Relationship Id="rId131" Type="http://schemas.openxmlformats.org/officeDocument/2006/relationships/hyperlink" Target="https://lcsc.com/product-detail/chip-resistor-surface-mount_yageo-rc0402fr-072r2l_C327251.html" TargetMode="External"/><Relationship Id="rId136" Type="http://schemas.openxmlformats.org/officeDocument/2006/relationships/hyperlink" Target="https://lcsc.com/product-detail/chip-resistor-surface-mount_yageo-rc0603fr-07470rl_C114669.html" TargetMode="External"/><Relationship Id="rId157" Type="http://schemas.openxmlformats.org/officeDocument/2006/relationships/hyperlink" Target="https://lcsc.com/product-detail/comparators_ti-tps3700ddcr_C33002.html" TargetMode="External"/><Relationship Id="rId178" Type="http://schemas.openxmlformats.org/officeDocument/2006/relationships/hyperlink" Target="https://lcsc.com/product-detail/Chip-Resistor-Surface-Mount_YAGEO-RC0603FR-07120RL_C114640.html?s_z=n_C114640" TargetMode="External"/><Relationship Id="rId61" Type="http://schemas.openxmlformats.org/officeDocument/2006/relationships/hyperlink" Target="https://lcsc.com/product-detail/usb-connectors_amphenol-10118194-0001lf_C132563.html" TargetMode="External"/><Relationship Id="rId82" Type="http://schemas.openxmlformats.org/officeDocument/2006/relationships/hyperlink" Target="https://lcsc.com/product-detail/led-indication-discrete_everlight-16-213-ghc-yr1s1-3t_C74338.html" TargetMode="External"/><Relationship Id="rId152" Type="http://schemas.openxmlformats.org/officeDocument/2006/relationships/hyperlink" Target="https://lcsc.com/product-detail/gate-drivers_onsemi-ncp81071adr2g_C603796.html" TargetMode="External"/><Relationship Id="rId173" Type="http://schemas.openxmlformats.org/officeDocument/2006/relationships/hyperlink" Target="https://lcsc.com/product-detail/Chip-Resistor-Surface-Mount_VISHAY-CRCW060333K0JNEA_C4342762.html?s_z=n_C4342762" TargetMode="External"/><Relationship Id="rId19" Type="http://schemas.openxmlformats.org/officeDocument/2006/relationships/hyperlink" Target="https://lcsc.com/product-detail/multilayer-ceramic-capacitors-mlcc-smd-smt_yageo-cc0603krx5r7bb106_C2936601.html" TargetMode="External"/><Relationship Id="rId14" Type="http://schemas.openxmlformats.org/officeDocument/2006/relationships/hyperlink" Target="https://lcsc.com/product-detail/multilayer-ceramic-capacitors-mlcc-smd-smt_yageo-cc0402krx5r7bb104_C106204.html" TargetMode="External"/><Relationship Id="rId30" Type="http://schemas.openxmlformats.org/officeDocument/2006/relationships/hyperlink" Target="https://lcsc.com/product-detail/multilayer-ceramic-capacitors-mlcc-smd-smt_yageo-cc0603krx7r9bb222_C107082.html" TargetMode="External"/><Relationship Id="rId35" Type="http://schemas.openxmlformats.org/officeDocument/2006/relationships/hyperlink" Target="https://lcsc.com/product-detail/multilayer-ceramic-capacitors-mlcc-smd-smt_taiyo-yuden-emk212bb7106mg-t_C141287.html" TargetMode="External"/><Relationship Id="rId56" Type="http://schemas.openxmlformats.org/officeDocument/2006/relationships/hyperlink" Target="https://lcsc.com/product-detail/screw-terminal-blocks_dorabo-db135-10-16-2p-gn-p_C2981775.html" TargetMode="External"/><Relationship Id="rId77" Type="http://schemas.openxmlformats.org/officeDocument/2006/relationships/hyperlink" Target="https://lcsc.com/product-detail/power-inductors_bourns-srn3015c-2r2m_C5375084.html" TargetMode="External"/><Relationship Id="rId100" Type="http://schemas.openxmlformats.org/officeDocument/2006/relationships/hyperlink" Target="https://lcsc.com/product-detail/chip-resistor-surface-mount_yageo-rc0603fr-0720kl_C105575.html" TargetMode="External"/><Relationship Id="rId105" Type="http://schemas.openxmlformats.org/officeDocument/2006/relationships/hyperlink" Target="https://lcsc.com/product-detail/chip-resistor-surface-mount_yageo-rc0402fr-074k7l_C105871.html" TargetMode="External"/><Relationship Id="rId126" Type="http://schemas.openxmlformats.org/officeDocument/2006/relationships/hyperlink" Target="https://lcsc.com/product-detail/chip-resistor-surface-mount_yageo-rc0805fr-075k23l_C274009.html" TargetMode="External"/><Relationship Id="rId147" Type="http://schemas.openxmlformats.org/officeDocument/2006/relationships/hyperlink" Target="https://lcsc.com/product-detail/slide-switches_g-switch-ss-12d02-g040_C2876023.html" TargetMode="External"/><Relationship Id="rId168" Type="http://schemas.openxmlformats.org/officeDocument/2006/relationships/hyperlink" Target="https://lcsc.com/product-detail/Chip-Resistor-Surface-Mount_YAGEO-RC0201FR-0710KL_C106225.html?s_z=n_C106225" TargetMode="External"/><Relationship Id="rId8" Type="http://schemas.openxmlformats.org/officeDocument/2006/relationships/hyperlink" Target="https://lcsc.com/product-detail/multilayer-ceramic-capacitors-mlcc-smd-smt_tdk-c1005x5r1h104k050bb_C2181865.html" TargetMode="External"/><Relationship Id="rId51" Type="http://schemas.openxmlformats.org/officeDocument/2006/relationships/hyperlink" Target="https://lcsc.com/product-detail/esd-and-surge-protection-tvs-esd_tech-public-sm712_C521963.html" TargetMode="External"/><Relationship Id="rId72" Type="http://schemas.openxmlformats.org/officeDocument/2006/relationships/hyperlink" Target="https://lcsc.com/product-detail/pin-headers_xkb-connection-x6511wv-02h-c60d30_C706874.html" TargetMode="External"/><Relationship Id="rId93" Type="http://schemas.openxmlformats.org/officeDocument/2006/relationships/hyperlink" Target="https://lcsc.com/product-detail/mosfets_diodes-2n7002-7-f_C85049.html" TargetMode="External"/><Relationship Id="rId98" Type="http://schemas.openxmlformats.org/officeDocument/2006/relationships/hyperlink" Target="https://lcsc.com/product-detail/chip-resistor-surface-mount_yageo-rt0603brd074k7l_C513565.html" TargetMode="External"/><Relationship Id="rId121" Type="http://schemas.openxmlformats.org/officeDocument/2006/relationships/hyperlink" Target="https://lcsc.com/product-detail/chip-resistor-surface-mount_yageo-rc0805fr-0710rl_C96347.html" TargetMode="External"/><Relationship Id="rId142" Type="http://schemas.openxmlformats.org/officeDocument/2006/relationships/hyperlink" Target="https://lcsc.com/product-detail/current-sense-resistors-shunt-resistors_milliohm-hollr2512-3w-4mr-1_C2994642.html" TargetMode="External"/><Relationship Id="rId163" Type="http://schemas.openxmlformats.org/officeDocument/2006/relationships/hyperlink" Target="https://www.aliexpress.com/item/1005006126995090.html?spm=a2g0o.productlist.main.1.2fb61b64LEMJTS&amp;algo_pvid=02748f94-8baa-4610-90b6-7329641bb158&amp;algo_exp_id=02748f94-8baa-4610-90b6-7329641bb158-0&amp;pdp_ext_f=%7B%22order%22%3A%22476%22%2C%22eval%22%3A%221%22" TargetMode="External"/><Relationship Id="rId3" Type="http://schemas.openxmlformats.org/officeDocument/2006/relationships/hyperlink" Target="https://lcsc.com/product-detail/multilayer-ceramic-capacitors-mlcc-smd-smt_yageo-cc0402grnpo9bn300_C277479.html" TargetMode="External"/><Relationship Id="rId25" Type="http://schemas.openxmlformats.org/officeDocument/2006/relationships/hyperlink" Target="https://lcsc.com/product-detail/multilayer-ceramic-capacitors-mlcc-smd-smt_yageo-cc0402mrx5r6bb106_C962143.html" TargetMode="External"/><Relationship Id="rId46" Type="http://schemas.openxmlformats.org/officeDocument/2006/relationships/hyperlink" Target="https://lcsc.com/product-detail/schottky-diodes_mdd-microdiode-semiconductor-sk104c_C59500.html" TargetMode="External"/><Relationship Id="rId67" Type="http://schemas.openxmlformats.org/officeDocument/2006/relationships/hyperlink" Target="https://eu.mouser.com/ProductDetail/Same-Sky/TB008A-508-03BE?qs=vLWxofP3U2ySMdcVUeIORQ%3D%3D" TargetMode="External"/><Relationship Id="rId116" Type="http://schemas.openxmlformats.org/officeDocument/2006/relationships/hyperlink" Target="https://lcsc.com/product-detail/chip-resistor-surface-mount_yageo-rc0805fr-07100kl_C96346.html" TargetMode="External"/><Relationship Id="rId137" Type="http://schemas.openxmlformats.org/officeDocument/2006/relationships/hyperlink" Target="https://lcsc.com/product-detail/chip-resistor-surface-mount_yageo-rc0402fr-0710kl_C60490.html" TargetMode="External"/><Relationship Id="rId158" Type="http://schemas.openxmlformats.org/officeDocument/2006/relationships/hyperlink" Target="https://lcsc.com/product-detail/voltage-regulators-linear-low-drop-out-ldo-regulators_microchip-mic29302wu-tr_C11149.html" TargetMode="External"/><Relationship Id="rId20" Type="http://schemas.openxmlformats.org/officeDocument/2006/relationships/hyperlink" Target="https://lcsc.com/product-detail/multilayer-ceramic-capacitors-mlcc-smd-smt_samsung-electro-mechanics-cl05b104kb54pnc_C307331.html" TargetMode="External"/><Relationship Id="rId41" Type="http://schemas.openxmlformats.org/officeDocument/2006/relationships/hyperlink" Target="https://lcsc.com/product-detail/esd-and-surge-protection-tvs-esd_willsemi-esd5302f-3-tr_C239643.html" TargetMode="External"/><Relationship Id="rId62" Type="http://schemas.openxmlformats.org/officeDocument/2006/relationships/hyperlink" Target="https://lcsc.com/product-detail/wire-to-board-connector_molex-22112032_C505163.html" TargetMode="External"/><Relationship Id="rId83" Type="http://schemas.openxmlformats.org/officeDocument/2006/relationships/hyperlink" Target="https://lcsc.com/product-detail/buzzers_fengming-ys-sbz9032c03r16_C409828.html" TargetMode="External"/><Relationship Id="rId88" Type="http://schemas.openxmlformats.org/officeDocument/2006/relationships/hyperlink" Target="https://lcsc.com/product-detail/mosfets_infineon-irf3205strlpbf_C2613.html" TargetMode="External"/><Relationship Id="rId111" Type="http://schemas.openxmlformats.org/officeDocument/2006/relationships/hyperlink" Target="https://lcsc.com/product-detail/chip-resistor-surface-mount_yageo-rc0603fr-0747rl_C114623.html" TargetMode="External"/><Relationship Id="rId132" Type="http://schemas.openxmlformats.org/officeDocument/2006/relationships/hyperlink" Target="https://lcsc.com/product-detail/chip-resistor-surface-mount_yageo-rc0201jr-07100kl_C106230.html" TargetMode="External"/><Relationship Id="rId153" Type="http://schemas.openxmlformats.org/officeDocument/2006/relationships/hyperlink" Target="https://lcsc.com/product-detail/oring-controllers_adi-ltc4359cms8-pbf_C190259.html" TargetMode="External"/><Relationship Id="rId174" Type="http://schemas.openxmlformats.org/officeDocument/2006/relationships/hyperlink" Target="https://lcsc.com/product-detail/Chip-Resistor-Surface-Mount_YAGEO-RT0603BRD07100KL_C122538.html?s_z=n_C122538" TargetMode="External"/><Relationship Id="rId179" Type="http://schemas.openxmlformats.org/officeDocument/2006/relationships/hyperlink" Target="https://lcsc.com/product-detail/Chip-Resistor-Surface-Mount_YAGEO-AT0402BRD0751KL_C5455493.html?s_z=n_C5455493" TargetMode="External"/><Relationship Id="rId15" Type="http://schemas.openxmlformats.org/officeDocument/2006/relationships/hyperlink" Target="https://lcsc.com/product-detail/multilayer-ceramic-capacitors-mlcc-smd-smt_yageo-cc0402jrx7r7bb104_C541464.html" TargetMode="External"/><Relationship Id="rId36" Type="http://schemas.openxmlformats.org/officeDocument/2006/relationships/hyperlink" Target="https://lcsc.com/product-detail/multilayer-ceramic-capacitors-mlcc-smd-smt_yageo-cc0402krx5r8bb105_C326568.html" TargetMode="External"/><Relationship Id="rId57" Type="http://schemas.openxmlformats.org/officeDocument/2006/relationships/hyperlink" Target="https://www.digikey.com/en/products/detail/kyocera-avx/SCCU25B256SRB/6165963" TargetMode="External"/><Relationship Id="rId106" Type="http://schemas.openxmlformats.org/officeDocument/2006/relationships/hyperlink" Target="https://lcsc.com/product-detail/MOSFETs_Infineon-BSC028N06NSATMA1_C6135384.html?s_z=n_BSC028N06NSATMA1" TargetMode="External"/><Relationship Id="rId127" Type="http://schemas.openxmlformats.org/officeDocument/2006/relationships/hyperlink" Target="https://lcsc.com/product-detail/chip-resistor-surface-mount_yageo-rc0603fr-0730k1l_C137745.html" TargetMode="External"/><Relationship Id="rId10" Type="http://schemas.openxmlformats.org/officeDocument/2006/relationships/hyperlink" Target="https://lcsc.com/product-detail/multilayer-ceramic-capacitors-mlcc-smd-smt_yageo-cc0603krx7r9bb471_C107092.html" TargetMode="External"/><Relationship Id="rId31" Type="http://schemas.openxmlformats.org/officeDocument/2006/relationships/hyperlink" Target="https://lcsc.com/product-detail/multilayer-ceramic-capacitors-mlcc-smd-smt_yageo-cc0603mrx5r6bb226_C109447.html" TargetMode="External"/><Relationship Id="rId52" Type="http://schemas.openxmlformats.org/officeDocument/2006/relationships/hyperlink" Target="https://lcsc.com/product-detail/esd-and-surge-protection-tvs-esd_littelfuse-smbj12a_C151251.html" TargetMode="External"/><Relationship Id="rId73" Type="http://schemas.openxmlformats.org/officeDocument/2006/relationships/hyperlink" Target="https://lcsc.com/product-detail/inductors-smd_microgate-mgfl2012f100mt-lf_C281113.html" TargetMode="External"/><Relationship Id="rId78" Type="http://schemas.openxmlformats.org/officeDocument/2006/relationships/hyperlink" Target="https://lcsc.com/product-detail/power-inductors_murata-dfe252012f-r47m-p2_C703140.html" TargetMode="External"/><Relationship Id="rId94" Type="http://schemas.openxmlformats.org/officeDocument/2006/relationships/hyperlink" Target="https://lcsc.com/product-detail/chip-resistor-surface-mount_uni-royal-0603waf3601t5e_C22980.html" TargetMode="External"/><Relationship Id="rId99" Type="http://schemas.openxmlformats.org/officeDocument/2006/relationships/hyperlink" Target="https://lcsc.com/product-detail/chip-resistor-surface-mount_yageo-rt0603bre076k8l_C705876.html" TargetMode="External"/><Relationship Id="rId101" Type="http://schemas.openxmlformats.org/officeDocument/2006/relationships/hyperlink" Target="https://lcsc.com/product-detail/chip-resistor-surface-mount_uni-royal-0603waf2214t5e_C422956.html" TargetMode="External"/><Relationship Id="rId122" Type="http://schemas.openxmlformats.org/officeDocument/2006/relationships/hyperlink" Target="https://lcsc.com/product-detail/chip-resistor-surface-mount_yageo-rc0402br-07499kl_C851813.html" TargetMode="External"/><Relationship Id="rId143" Type="http://schemas.openxmlformats.org/officeDocument/2006/relationships/hyperlink" Target="https://lcsc.com/product-detail/chip-resistor-surface-mount_yageo-rc1206jr-070rl_C108081.html" TargetMode="External"/><Relationship Id="rId148" Type="http://schemas.openxmlformats.org/officeDocument/2006/relationships/hyperlink" Target="https://lcsc.com/product-detail/current-sensors_allegro-acs723llctr-20au-t_C459324.html" TargetMode="External"/><Relationship Id="rId164" Type="http://schemas.openxmlformats.org/officeDocument/2006/relationships/hyperlink" Target="https://lcsc.com/product-detail/Chip-Resistor-Surface-Mount_YAGEO-RT0603BRD0710KL_C95204.html?s_z=n_C95204" TargetMode="External"/><Relationship Id="rId169" Type="http://schemas.openxmlformats.org/officeDocument/2006/relationships/hyperlink" Target="https://lcsc.com/product-detail/Chip-Resistor-Surface-Mount_YAGEO-RC0603FR-071ML_C105578.html?s_z=n_C105578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aluminum-electrolytic-capacitors-smd_changzhou-huawei-elec-vt1h471mi135000ce0_C191227.html" TargetMode="External"/><Relationship Id="rId180" Type="http://schemas.openxmlformats.org/officeDocument/2006/relationships/hyperlink" Target="https://lcsc.com/product-detail/Chip-Resistor-Surface-Mount_YAGEO-RC0402FR-072K7L_C138017.html?s_z=n_C138017" TargetMode="External"/><Relationship Id="rId26" Type="http://schemas.openxmlformats.org/officeDocument/2006/relationships/hyperlink" Target="https://lcsc.com/product-detail/Aluminum-Electrolytic-Capacitors-SMD_DMBJ-RVT1E100M0405-10UF-25V_C970655.html?s_z=n_C970655" TargetMode="External"/><Relationship Id="rId47" Type="http://schemas.openxmlformats.org/officeDocument/2006/relationships/hyperlink" Target="https://lcsc.com/product-detail/schottky-diodes_onsemi-fsv20150v_C606024.html" TargetMode="External"/><Relationship Id="rId68" Type="http://schemas.openxmlformats.org/officeDocument/2006/relationships/hyperlink" Target="https://lcsc.com/product-detail/wire-to-board-connector_hctl-hc-1-25-6plt_C2845392.html" TargetMode="External"/><Relationship Id="rId89" Type="http://schemas.openxmlformats.org/officeDocument/2006/relationships/hyperlink" Target="https://lcsc.com/product-detail/mosfets_tech-public-irlml6402trpbf_C5182043.html" TargetMode="External"/><Relationship Id="rId112" Type="http://schemas.openxmlformats.org/officeDocument/2006/relationships/hyperlink" Target="https://lcsc.com/product-detail/chip-resistor-surface-mount_yageo-rc0402jr-071kl_C105637.html" TargetMode="External"/><Relationship Id="rId133" Type="http://schemas.openxmlformats.org/officeDocument/2006/relationships/hyperlink" Target="https://lcsc.com/product-detail/chip-resistor-surface-mount_yageo-rc0402fr-0747kl_C93943.html" TargetMode="External"/><Relationship Id="rId154" Type="http://schemas.openxmlformats.org/officeDocument/2006/relationships/hyperlink" Target="https://lcsc.com/product-detail/buffers-drivers-receivers-transceivers_ti-sn74lv1t34dbvr_C100024.html" TargetMode="External"/><Relationship Id="rId175" Type="http://schemas.openxmlformats.org/officeDocument/2006/relationships/hyperlink" Target="https://lcsc.com/product-detail/Chip-Resistor-Surface-Mount_YAGEO-RT0603BRB07120RL_C860088.html?s_z=n_C860088" TargetMode="External"/><Relationship Id="rId16" Type="http://schemas.openxmlformats.org/officeDocument/2006/relationships/hyperlink" Target="https://lcsc.com/product-detail/multilayer-ceramic-capacitors-mlcc-smd-smt_murata-grm188r6ya106ma73d_C194427.html" TargetMode="External"/><Relationship Id="rId37" Type="http://schemas.openxmlformats.org/officeDocument/2006/relationships/hyperlink" Target="https://lcsc.com/product-detail/multilayer-ceramic-capacitors-mlcc-smd-smt_yageo-cc0805kkx5r8bb106_C89831.html" TargetMode="External"/><Relationship Id="rId58" Type="http://schemas.openxmlformats.org/officeDocument/2006/relationships/hyperlink" Target="https://lcsc.com/product-detail/Pin-Headers_Amphenol-20021121-00010C4LF_C150517.html?s_z=n_C150517" TargetMode="External"/><Relationship Id="rId79" Type="http://schemas.openxmlformats.org/officeDocument/2006/relationships/hyperlink" Target="https://www.digikey.com/en/products/detail/sunled/XZMDK68W-2/4745956?s=N4IgTCBcDaIBoC0CyARA0gNgBwHUC0EAugL5A" TargetMode="External"/><Relationship Id="rId102" Type="http://schemas.openxmlformats.org/officeDocument/2006/relationships/hyperlink" Target="https://lcsc.com/product-detail/chip-resistor-surface-mount_yageo-rc0603fr-0715kl_C114661.html" TargetMode="External"/><Relationship Id="rId123" Type="http://schemas.openxmlformats.org/officeDocument/2006/relationships/hyperlink" Target="https://lcsc.com/product-detail/chip-resistor-surface-mount_yageo-rt0402brd0736kl_C852742.html" TargetMode="External"/><Relationship Id="rId144" Type="http://schemas.openxmlformats.org/officeDocument/2006/relationships/hyperlink" Target="https://lcsc.com/product-detail/chip-resistor-surface-mount_yageo-rc0603fr-07100rl_C105588.html" TargetMode="External"/><Relationship Id="rId90" Type="http://schemas.openxmlformats.org/officeDocument/2006/relationships/hyperlink" Target="https://lcsc.com/product-detail/bipolar-bjt_diodes-mmbt2222a-7-f_C94515.html" TargetMode="External"/><Relationship Id="rId165" Type="http://schemas.openxmlformats.org/officeDocument/2006/relationships/hyperlink" Target="https://lcsc.com/product-detail/Chip-Resistor-Surface-Mount_YAGEO-RT0603BRD073K3L_C309653.html?s_z=n_C309653" TargetMode="External"/><Relationship Id="rId27" Type="http://schemas.openxmlformats.org/officeDocument/2006/relationships/hyperlink" Target="https://lcsc.com/product-detail/multilayer-ceramic-capacitors-mlcc-smd-smt_murata-grm033c81e104ke14d_C181047.html" TargetMode="External"/><Relationship Id="rId48" Type="http://schemas.openxmlformats.org/officeDocument/2006/relationships/hyperlink" Target="https://lcsc.com/product-detail/schottky-diodes_diodes-zlls350ta_C139441.html" TargetMode="External"/><Relationship Id="rId69" Type="http://schemas.openxmlformats.org/officeDocument/2006/relationships/hyperlink" Target="https://lcsc.com/product-detail/wire-to-board-connector_hctl-hc-1-25-16plt_C3012301.html" TargetMode="External"/><Relationship Id="rId113" Type="http://schemas.openxmlformats.org/officeDocument/2006/relationships/hyperlink" Target="https://lcsc.com/product-detail/chip-resistor-surface-mount_yageo-rc0603jr-070rl_C95177.html" TargetMode="External"/><Relationship Id="rId134" Type="http://schemas.openxmlformats.org/officeDocument/2006/relationships/hyperlink" Target="https://lcsc.com/product-detail/chip-resistor-surface-mount_yageo-rc1206fr-7w1kl_C859155.html" TargetMode="External"/><Relationship Id="rId80" Type="http://schemas.openxmlformats.org/officeDocument/2006/relationships/hyperlink" Target="https://lcsc.com/product-detail/ambient-light-sensors_everlight-als-pt19-315c-l177-tr8_C146233.html" TargetMode="External"/><Relationship Id="rId155" Type="http://schemas.openxmlformats.org/officeDocument/2006/relationships/hyperlink" Target="https://lcsc.com/product-detail/transistor-photovoltaic-output-optoisolators_renesas-ps2801c-1-f3-a_C67112.html" TargetMode="External"/><Relationship Id="rId176" Type="http://schemas.openxmlformats.org/officeDocument/2006/relationships/hyperlink" Target="https://lcsc.com/product-detail/Chip-Resistor-Surface-Mount_YAGEO-RC0402FR-071ML_C138033.html?s_z=n_C138033" TargetMode="External"/><Relationship Id="rId17" Type="http://schemas.openxmlformats.org/officeDocument/2006/relationships/hyperlink" Target="https://lcsc.com/product-detail/multilayer-ceramic-capacitors-mlcc-smd-smt_tdk-c2012x5r1v226mt000e_C338080.html" TargetMode="External"/><Relationship Id="rId38" Type="http://schemas.openxmlformats.org/officeDocument/2006/relationships/hyperlink" Target="https://lcsc.com/product-detail/schottky-diodes_guangdong-hottech-ss24a_C2886579.html" TargetMode="External"/><Relationship Id="rId59" Type="http://schemas.openxmlformats.org/officeDocument/2006/relationships/hyperlink" Target="https://eu.mouser.com/ProductDetail/Same-Sky/TB008A-508-02BE?qs=vLWxofP3U2w5I2Hxj8y2hQ%3D%3D" TargetMode="External"/><Relationship Id="rId103" Type="http://schemas.openxmlformats.org/officeDocument/2006/relationships/hyperlink" Target="https://lcsc.com/product-detail/chip-resistor-surface-mount_yageo-rc0603dr-073k3l_C723574.html" TargetMode="External"/><Relationship Id="rId124" Type="http://schemas.openxmlformats.org/officeDocument/2006/relationships/hyperlink" Target="https://lcsc.com/product-detail/chip-resistor-surface-mount_yageo-at0603brd0713k7l_C855608.html" TargetMode="External"/><Relationship Id="rId70" Type="http://schemas.openxmlformats.org/officeDocument/2006/relationships/hyperlink" Target="https://lcsc.com/product-detail/sd-card-memory-card-connector_hrs-dm3bt-dsf-pejs_C597972.html" TargetMode="External"/><Relationship Id="rId91" Type="http://schemas.openxmlformats.org/officeDocument/2006/relationships/hyperlink" Target="https://lcsc.com/product-detail/mosfets_tech-public-si2302cds_C5310968.html" TargetMode="External"/><Relationship Id="rId145" Type="http://schemas.openxmlformats.org/officeDocument/2006/relationships/hyperlink" Target="https://lcsc.com/product-detail/chip-resistor-surface-mount_koa-speer-elec-rk73g1jttd1002f_C362180.html" TargetMode="External"/><Relationship Id="rId166" Type="http://schemas.openxmlformats.org/officeDocument/2006/relationships/hyperlink" Target="https://lcsc.com/product-detail/Chip-Resistor-Surface-Mount_YAGEO-RC0201JR-07470RL_C163491.html?s_z=n_C163491" TargetMode="External"/><Relationship Id="rId1" Type="http://schemas.openxmlformats.org/officeDocument/2006/relationships/hyperlink" Target="https://lcsc.com/product-detail/multilayer-ceramic-capacitors-mlcc-smd-smt_yageo-cc1206kkx7r0bb104_C107181.html" TargetMode="External"/><Relationship Id="rId28" Type="http://schemas.openxmlformats.org/officeDocument/2006/relationships/hyperlink" Target="https://lcsc.com/product-detail/multilayer-ceramic-capacitors-mlcc-smd-smt_tdk-c3216x5r1e476m160ac_C2167787.html" TargetMode="External"/><Relationship Id="rId49" Type="http://schemas.openxmlformats.org/officeDocument/2006/relationships/hyperlink" Target="https://lcsc.com/product-detail/esd-and-surge-protection-tvs-esd_lrc-lesd8d3-3cat5g_C172409.html" TargetMode="External"/><Relationship Id="rId114" Type="http://schemas.openxmlformats.org/officeDocument/2006/relationships/hyperlink" Target="https://lcsc.com/product-detail/chip-resistor-surface-mount_yageo-rc0603jr-070rl_C95177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csc.com/product-detail/chip-resistor-surface-mount_yageo-rc0603fr-071kl_C22548.html" TargetMode="External"/><Relationship Id="rId21" Type="http://schemas.openxmlformats.org/officeDocument/2006/relationships/hyperlink" Target="https://lcsc.com/product-detail/multilayer-ceramic-capacitors-mlcc-smd-smt_tdk-c1608x5r1e106m080ac_C2168289.html" TargetMode="External"/><Relationship Id="rId42" Type="http://schemas.openxmlformats.org/officeDocument/2006/relationships/hyperlink" Target="https://lcsc.com/product-detail/zener-diodes_eic-semicon-mm3z3v3b_C2978865.html" TargetMode="External"/><Relationship Id="rId63" Type="http://schemas.openxmlformats.org/officeDocument/2006/relationships/hyperlink" Target="https://lcsc.com/product-detail/wire-to-board-connector_molex-22112022_C505162.html" TargetMode="External"/><Relationship Id="rId84" Type="http://schemas.openxmlformats.org/officeDocument/2006/relationships/hyperlink" Target="https://lcsc.com/product-detail/LED-Indication-Discrete_Amicc-A-SP194DR5C-C01-4T_C19171329.html" TargetMode="External"/><Relationship Id="rId138" Type="http://schemas.openxmlformats.org/officeDocument/2006/relationships/hyperlink" Target="https://lcsc.com/product-detail/chip-resistor-surface-mount_yageo-rc0603fr-073k3l_C108078.html" TargetMode="External"/><Relationship Id="rId159" Type="http://schemas.openxmlformats.org/officeDocument/2006/relationships/hyperlink" Target="https://lcsc.com/product-detail/gate-drivers_ti-ucc27517dbvr_C99395.html" TargetMode="External"/><Relationship Id="rId170" Type="http://schemas.openxmlformats.org/officeDocument/2006/relationships/hyperlink" Target="https://lcsc.com/product-detail/Chip-Resistor-Surface-Mount_VISHAY-CRCW0603402KFKEA_C844562.html?s_z=n_CRCW0603402KFKEA" TargetMode="External"/><Relationship Id="rId107" Type="http://schemas.openxmlformats.org/officeDocument/2006/relationships/hyperlink" Target="https://lcsc.com/product-detail/chip-resistor-surface-mount_koa-speer-elec-rk73g1jttd1002f_C362180.html" TargetMode="External"/><Relationship Id="rId11" Type="http://schemas.openxmlformats.org/officeDocument/2006/relationships/hyperlink" Target="https://lcsc.com/product-detail/multilayer-ceramic-capacitors-mlcc-smd-smt_yageo-cc0201jrnpo9bn150_C277480.html" TargetMode="External"/><Relationship Id="rId32" Type="http://schemas.openxmlformats.org/officeDocument/2006/relationships/hyperlink" Target="https://lcsc.com/product-detail/multilayer-ceramic-capacitors-mlcc-smd-smt_murata-grm155r61e225ke11d_C385032.html" TargetMode="External"/><Relationship Id="rId53" Type="http://schemas.openxmlformats.org/officeDocument/2006/relationships/hyperlink" Target="https://lcsc.com/product-detail/schottky-diodes_diodes-1n5819hw-7-f_C82544.html" TargetMode="External"/><Relationship Id="rId74" Type="http://schemas.openxmlformats.org/officeDocument/2006/relationships/hyperlink" Target="https://lcsc.com/product-detail/power-inductors_tdk-slf12575t-221m1r3-pf_C93225.html" TargetMode="External"/><Relationship Id="rId128" Type="http://schemas.openxmlformats.org/officeDocument/2006/relationships/hyperlink" Target="https://lcsc.com/product-detail/chip-resistor-surface-mount_ever-ohms-tech-tr0603b499kp0525z_C149937.html" TargetMode="External"/><Relationship Id="rId149" Type="http://schemas.openxmlformats.org/officeDocument/2006/relationships/hyperlink" Target="https://lcsc.com/product-detail/dc-dc-converters_ti-mc34063adr_C100023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95" Type="http://schemas.openxmlformats.org/officeDocument/2006/relationships/hyperlink" Target="https://lcsc.com/product-detail/chip-resistor-surface-mount_ralec-rtt03r330ftp_C103893.html" TargetMode="External"/><Relationship Id="rId160" Type="http://schemas.openxmlformats.org/officeDocument/2006/relationships/hyperlink" Target="https://lcsc.com/product-detail/human-body-sensing-sensor_senba-sensing-tech-as312_C90465.html" TargetMode="External"/><Relationship Id="rId181" Type="http://schemas.openxmlformats.org/officeDocument/2006/relationships/hyperlink" Target="https://www.digikey.com/en/products/detail/texas-instruments/TPS2117DRLR/21737520?s=N4IgTCBcDaICoAUDKYCMqDsARASgGRxAF0BfIA" TargetMode="External"/><Relationship Id="rId22" Type="http://schemas.openxmlformats.org/officeDocument/2006/relationships/hyperlink" Target="https://lcsc.com/product-detail/multilayer-ceramic-capacitors-mlcc-smd-smt_murata-grm155r62a104ke14d_C162178.html" TargetMode="External"/><Relationship Id="rId43" Type="http://schemas.openxmlformats.org/officeDocument/2006/relationships/hyperlink" Target="https://lcsc.com/product-detail/esd-and-surge-protection-tvs-esd_brightking-smbj70a-tr13_C309982.html" TargetMode="External"/><Relationship Id="rId64" Type="http://schemas.openxmlformats.org/officeDocument/2006/relationships/hyperlink" Target="https://lcsc.com/product-detail/wire-to-board-connector_hctl-hc-1-25-12plt_C2937190.html" TargetMode="External"/><Relationship Id="rId118" Type="http://schemas.openxmlformats.org/officeDocument/2006/relationships/hyperlink" Target="https://lcsc.com/product-detail/chip-resistor-surface-mount_yageo-rt0603brd077k5l_C728597.html" TargetMode="External"/><Relationship Id="rId139" Type="http://schemas.openxmlformats.org/officeDocument/2006/relationships/hyperlink" Target="https://lcsc.com/product-detail/chip-resistor-surface-mount_vishay-crcw06031m82fkea_C2076849.html" TargetMode="External"/><Relationship Id="rId85" Type="http://schemas.openxmlformats.org/officeDocument/2006/relationships/hyperlink" Target="https://lcsc.com/product-detail/mosfets_willsemi-wnm2016a-3-tr_C601105.html" TargetMode="External"/><Relationship Id="rId150" Type="http://schemas.openxmlformats.org/officeDocument/2006/relationships/hyperlink" Target="https://lcsc.com/product-detail/voltage-regulators-linear-low-drop-out-ldo-regulators_ti-lms8117amp-3-3-nopb_C201952.html" TargetMode="External"/><Relationship Id="rId171" Type="http://schemas.openxmlformats.org/officeDocument/2006/relationships/hyperlink" Target="https://lcsc.com/product-detail/Chip-Resistor-Surface-Mount_YAGEO-RC0603FR-07845KL_C246013.html?s_z=n_RC0603FR-07845KL" TargetMode="External"/><Relationship Id="rId12" Type="http://schemas.openxmlformats.org/officeDocument/2006/relationships/hyperlink" Target="https://lcsc.com/product-detail/multilayer-ceramic-capacitors-mlcc-smd-smt_yageo-cc0603krx7r9bb105_C559769.html" TargetMode="External"/><Relationship Id="rId33" Type="http://schemas.openxmlformats.org/officeDocument/2006/relationships/hyperlink" Target="https://lcsc.com/product-detail/multilayer-ceramic-capacitors-mlcc-smd-smt_yageo-cc0603krx5r9bb104_C110022.html" TargetMode="External"/><Relationship Id="rId108" Type="http://schemas.openxmlformats.org/officeDocument/2006/relationships/hyperlink" Target="https://lcsc.com/product-detail/chip-resistor-surface-mount_yageo-rc0603dr-07150rl_C471801.html" TargetMode="External"/><Relationship Id="rId129" Type="http://schemas.openxmlformats.org/officeDocument/2006/relationships/hyperlink" Target="https://lcsc.com/product-detail/chip-resistor-surface-mount_yageo-rt0402brd0786k6l_C852935.html" TargetMode="External"/><Relationship Id="rId54" Type="http://schemas.openxmlformats.org/officeDocument/2006/relationships/hyperlink" Target="https://lcsc.com/product-detail/esd-and-surge-protection-tvs-esd_mdd-microdiode-semiconductor-esd5z3-3c_C502551.html" TargetMode="External"/><Relationship Id="rId75" Type="http://schemas.openxmlformats.org/officeDocument/2006/relationships/hyperlink" Target="https://lcsc.com/product-detail/power-inductors_yjycoin-yprh0704-4r7m_C514806.html" TargetMode="External"/><Relationship Id="rId96" Type="http://schemas.openxmlformats.org/officeDocument/2006/relationships/hyperlink" Target="https://lcsc.com/product-detail/chip-resistor-surface-mount_yageo-rc0603fr-071k2l_C114605.html" TargetMode="External"/><Relationship Id="rId140" Type="http://schemas.openxmlformats.org/officeDocument/2006/relationships/hyperlink" Target="https://lcsc.com/product-detail/chip-resistor-surface-mount_yageo-rc0402fr-071kl_C106235.html" TargetMode="External"/><Relationship Id="rId161" Type="http://schemas.openxmlformats.org/officeDocument/2006/relationships/hyperlink" Target="https://lcsc.com/product-detail/mosfets_allpower-shenzhen-quan-li-semiconductor-ap4008qd_C2828588.html" TargetMode="External"/><Relationship Id="rId182" Type="http://schemas.openxmlformats.org/officeDocument/2006/relationships/hyperlink" Target="https://lcsc.com/product-detail/Voltage-Regulators-Linear-Low-Drop-Out-LDO-Regulators_ST-LD56100DPU33R_C2969937.html?s_z=n_C2969937" TargetMode="External"/><Relationship Id="rId6" Type="http://schemas.openxmlformats.org/officeDocument/2006/relationships/hyperlink" Target="https://www.digikey.com/en/products/detail/nichicon/UUR1E101MCL6GS/2550440?s=N4IgjCBcoCwGxVAYygMwIYBsDOBTANCAPZQDa4ArAOwCcCAuoQA4AuUIAyiwE4CWAdgHMQAX0IAmCuMQgUkDDgLEyIcWHFwwVEIxCt2XPkNGEqkmXIV5CJSOTAwADI7AUdzNpE48BwsSAAOAJgLNCxrZTtwOE0AZnc9T28jP0JXZ1D5cKV" TargetMode="External"/><Relationship Id="rId23" Type="http://schemas.openxmlformats.org/officeDocument/2006/relationships/hyperlink" Target="https://lcsc.com/product-detail/tantalum-capacitors_kyocera-avx-taje337m016rnj_C51599.html" TargetMode="External"/><Relationship Id="rId119" Type="http://schemas.openxmlformats.org/officeDocument/2006/relationships/hyperlink" Target="https://lcsc.com/product-detail/chip-resistor-surface-mount_vishay-rca0603100rfkeahp_C2074203.html" TargetMode="External"/><Relationship Id="rId44" Type="http://schemas.openxmlformats.org/officeDocument/2006/relationships/hyperlink" Target="https://lcsc.com/product-detail/schottky-diodes_juxing-ss510b_C3011128.html" TargetMode="External"/><Relationship Id="rId60" Type="http://schemas.openxmlformats.org/officeDocument/2006/relationships/hyperlink" Target="https://eu.mouser.com/ProductDetail/Same-Sky/TB008A-508-04BE?qs=vLWxofP3U2wE%252BeCFz1tLxg%3D%3D" TargetMode="External"/><Relationship Id="rId65" Type="http://schemas.openxmlformats.org/officeDocument/2006/relationships/hyperlink" Target="https://lcsc.com/product-detail/pin-headers_boomele-boom-precision-elec-1-27-1-2p_C703015.html" TargetMode="External"/><Relationship Id="rId81" Type="http://schemas.openxmlformats.org/officeDocument/2006/relationships/hyperlink" Target="https://lcsc.com/product-detail/led-indication-discrete_foshan-nationstar-optoelectronics-ncd0603r3_C3151730.html" TargetMode="External"/><Relationship Id="rId86" Type="http://schemas.openxmlformats.org/officeDocument/2006/relationships/hyperlink" Target="https://lcsc.com/product-detail/bipolar-bjt_goodwork-mmbt5551_C909756.html" TargetMode="External"/><Relationship Id="rId130" Type="http://schemas.openxmlformats.org/officeDocument/2006/relationships/hyperlink" Target="https://lcsc.com/product-detail/chip-resistor-surface-mount_yageo-rc2512jk-070rl_C189505.html" TargetMode="External"/><Relationship Id="rId135" Type="http://schemas.openxmlformats.org/officeDocument/2006/relationships/hyperlink" Target="https://lcsc.com/product-detail/chip-resistor-surface-mount_yageo-rt0603bre0763k4l_C862245.html" TargetMode="External"/><Relationship Id="rId151" Type="http://schemas.openxmlformats.org/officeDocument/2006/relationships/hyperlink" Target="https://lcsc.com/product-detail/dc-dc-converters_maxim-max38889aate_C5155969.html" TargetMode="External"/><Relationship Id="rId156" Type="http://schemas.openxmlformats.org/officeDocument/2006/relationships/hyperlink" Target="https://lcsc.com/product-detail/battery-management_ti-bq24650rvar_C53712.html" TargetMode="External"/><Relationship Id="rId177" Type="http://schemas.openxmlformats.org/officeDocument/2006/relationships/hyperlink" Target="https://lcsc.com/product-detail/Chip-Resistor-Surface-Mount_YAGEO-RC0402FR-075K1L_C105872.html?s_z=n_C105872" TargetMode="External"/><Relationship Id="rId172" Type="http://schemas.openxmlformats.org/officeDocument/2006/relationships/hyperlink" Target="https://lcsc.com/product-detail/Chip-Resistor-Surface-Mount_YAGEO-RC0603FR-07499KL_C131054.html?s_z=n_C131054" TargetMode="External"/><Relationship Id="rId13" Type="http://schemas.openxmlformats.org/officeDocument/2006/relationships/hyperlink" Target="https://lcsc.com/product-detail/multilayer-ceramic-capacitors-mlcc-smd-smt_yageo-cc1206jrx7r0bb473_C577197.html" TargetMode="External"/><Relationship Id="rId18" Type="http://schemas.openxmlformats.org/officeDocument/2006/relationships/hyperlink" Target="https://lcsc.com/product-detail/aluminum-electrolytic-capacitors-smd_nichicon-uud1a102mnl1gs_C445277.html" TargetMode="External"/><Relationship Id="rId39" Type="http://schemas.openxmlformats.org/officeDocument/2006/relationships/hyperlink" Target="https://lcsc.com/product-detail/zener-diodes_onsemi-1sma5930bt3g_C128848.html" TargetMode="External"/><Relationship Id="rId109" Type="http://schemas.openxmlformats.org/officeDocument/2006/relationships/hyperlink" Target="https://lcsc.com/product-detail/chip-resistor-surface-mount_yageo-rc0603fr-072k2l_C114662.html" TargetMode="External"/><Relationship Id="rId34" Type="http://schemas.openxmlformats.org/officeDocument/2006/relationships/hyperlink" Target="https://lcsc.com/product-detail/multilayer-ceramic-capacitors-mlcc-smd-smt_yageo-cc0402krx7r8bb104_C105883.html" TargetMode="External"/><Relationship Id="rId50" Type="http://schemas.openxmlformats.org/officeDocument/2006/relationships/hyperlink" Target="https://lcsc.com/product-detail/diodes-general-purpose_twgmc-1n4007_C727081.html" TargetMode="External"/><Relationship Id="rId55" Type="http://schemas.openxmlformats.org/officeDocument/2006/relationships/hyperlink" Target="https://lcsc.com/product-detail/zener-diodes_diodes-mmsz5242bs-7-f_C151457.html" TargetMode="External"/><Relationship Id="rId76" Type="http://schemas.openxmlformats.org/officeDocument/2006/relationships/hyperlink" Target="https://lcsc.com/product-detail/power-inductors_yjycoin-ynr4018-220m_C340373.html" TargetMode="External"/><Relationship Id="rId97" Type="http://schemas.openxmlformats.org/officeDocument/2006/relationships/hyperlink" Target="https://lcsc.com/product-detail/chip-resistor-surface-mount_yageo-rc0603fr-074k7l_C99782.html" TargetMode="External"/><Relationship Id="rId104" Type="http://schemas.openxmlformats.org/officeDocument/2006/relationships/hyperlink" Target="https://lcsc.com/product-detail/chip-resistor-surface-mount_yageo-rc0603fr-07680rl_C112310.html" TargetMode="External"/><Relationship Id="rId120" Type="http://schemas.openxmlformats.org/officeDocument/2006/relationships/hyperlink" Target="https://lcsc.com/product-detail/chip-resistor-surface-mount_yageo-rc0603fr-07200kl_C105574.html" TargetMode="External"/><Relationship Id="rId125" Type="http://schemas.openxmlformats.org/officeDocument/2006/relationships/hyperlink" Target="https://lcsc.com/product-detail/chip-resistor-surface-mount_yageo-rc0402fr-070rl_C106231.html" TargetMode="External"/><Relationship Id="rId141" Type="http://schemas.openxmlformats.org/officeDocument/2006/relationships/hyperlink" Target="https://lcsc.com/product-detail/chip-resistor-surface-mount_yageo-rc1206jr-070rl_C108081.html" TargetMode="External"/><Relationship Id="rId146" Type="http://schemas.openxmlformats.org/officeDocument/2006/relationships/hyperlink" Target="https://lcsc.com/product-detail/tactile-switches_e-switch-tl3300cf160q_C273516.html" TargetMode="External"/><Relationship Id="rId167" Type="http://schemas.openxmlformats.org/officeDocument/2006/relationships/hyperlink" Target="https://lcsc.com/product-detail/Chip-Resistor-Surface-Mount_UNI-ROYAL-25121WJ0000T4E_C25469.html?s_z=n_C25469" TargetMode="External"/><Relationship Id="rId7" Type="http://schemas.openxmlformats.org/officeDocument/2006/relationships/hyperlink" Target="https://lcsc.com/product-detail/multilayer-ceramic-capacitors-mlcc-smd-smt_tdk-c1005c0g1e102jt000f_C343059.html" TargetMode="External"/><Relationship Id="rId71" Type="http://schemas.openxmlformats.org/officeDocument/2006/relationships/hyperlink" Target="https://eu.mouser.com/ProductDetail/Same-Sky/TB008A-508-04BE?qs=vLWxofP3U2wE%252BeCFz1tLxg%3D%3D" TargetMode="External"/><Relationship Id="rId92" Type="http://schemas.openxmlformats.org/officeDocument/2006/relationships/hyperlink" Target="https://lcsc.com/product-detail/mosfets_guangdong-hottech-ao3407_C181093.html" TargetMode="External"/><Relationship Id="rId162" Type="http://schemas.openxmlformats.org/officeDocument/2006/relationships/hyperlink" Target="https://lcsc.com/product-detail/microcontrollers-mcu-mpu-soc_st-stm32h723zgt6_C730146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29" Type="http://schemas.openxmlformats.org/officeDocument/2006/relationships/hyperlink" Target="https://lcsc.com/product-detail/multilayer-ceramic-capacitors-mlcc-smd-smt_yageo-cc0603krx5r9bb474_C513651.html" TargetMode="External"/><Relationship Id="rId24" Type="http://schemas.openxmlformats.org/officeDocument/2006/relationships/hyperlink" Target="https://lcsc.com/product-detail/tantalum-capacitors_kyocera-avx-tajb107m010rnj_C7196.html" TargetMode="External"/><Relationship Id="rId40" Type="http://schemas.openxmlformats.org/officeDocument/2006/relationships/hyperlink" Target="https://lcsc.com/product-detail/esd-and-surge-protection-tvs-esd_ftr-smaj5-0ca_C693487.html" TargetMode="External"/><Relationship Id="rId45" Type="http://schemas.openxmlformats.org/officeDocument/2006/relationships/hyperlink" Target="https://lcsc.com/product-detail/switching-diodes_diodes-1n4148w-7-f_C83528.html" TargetMode="External"/><Relationship Id="rId66" Type="http://schemas.openxmlformats.org/officeDocument/2006/relationships/hyperlink" Target="https://lcsc.com/product-detail/coaxial-connectors-rf_hj-tech-hj-sma508_C1509209.html" TargetMode="External"/><Relationship Id="rId87" Type="http://schemas.openxmlformats.org/officeDocument/2006/relationships/hyperlink" Target="https://lcsc.com/product-detail/mosfets_diodes-dmn13h750s-7_C156273.html" TargetMode="External"/><Relationship Id="rId110" Type="http://schemas.openxmlformats.org/officeDocument/2006/relationships/hyperlink" Target="https://lcsc.com/product-detail/chip-resistor-surface-mount_yageo-rc0603fr-0710kl_C98220.html" TargetMode="External"/><Relationship Id="rId115" Type="http://schemas.openxmlformats.org/officeDocument/2006/relationships/hyperlink" Target="https://lcsc.com/product-detail/chip-resistor-surface-mount_yageo-rt0603brd0720kl_C723637.html" TargetMode="External"/><Relationship Id="rId131" Type="http://schemas.openxmlformats.org/officeDocument/2006/relationships/hyperlink" Target="https://lcsc.com/product-detail/chip-resistor-surface-mount_yageo-rc0402fr-072r2l_C327251.html" TargetMode="External"/><Relationship Id="rId136" Type="http://schemas.openxmlformats.org/officeDocument/2006/relationships/hyperlink" Target="https://lcsc.com/product-detail/chip-resistor-surface-mount_yageo-rc0603fr-07470rl_C114669.html" TargetMode="External"/><Relationship Id="rId157" Type="http://schemas.openxmlformats.org/officeDocument/2006/relationships/hyperlink" Target="https://lcsc.com/product-detail/comparators_ti-tps3700ddcr_C33002.html" TargetMode="External"/><Relationship Id="rId178" Type="http://schemas.openxmlformats.org/officeDocument/2006/relationships/hyperlink" Target="https://lcsc.com/product-detail/Chip-Resistor-Surface-Mount_YAGEO-RC0603FR-07120RL_C114640.html?s_z=n_C114640" TargetMode="External"/><Relationship Id="rId61" Type="http://schemas.openxmlformats.org/officeDocument/2006/relationships/hyperlink" Target="https://lcsc.com/product-detail/usb-connectors_amphenol-10118194-0001lf_C132563.html" TargetMode="External"/><Relationship Id="rId82" Type="http://schemas.openxmlformats.org/officeDocument/2006/relationships/hyperlink" Target="https://lcsc.com/product-detail/led-indication-discrete_everlight-16-213-ghc-yr1s1-3t_C74338.html" TargetMode="External"/><Relationship Id="rId152" Type="http://schemas.openxmlformats.org/officeDocument/2006/relationships/hyperlink" Target="https://lcsc.com/product-detail/gate-drivers_onsemi-ncp81071adr2g_C603796.html" TargetMode="External"/><Relationship Id="rId173" Type="http://schemas.openxmlformats.org/officeDocument/2006/relationships/hyperlink" Target="https://lcsc.com/product-detail/Chip-Resistor-Surface-Mount_VISHAY-CRCW060333K0JNEA_C4342762.html?s_z=n_C4342762" TargetMode="External"/><Relationship Id="rId19" Type="http://schemas.openxmlformats.org/officeDocument/2006/relationships/hyperlink" Target="https://lcsc.com/product-detail/multilayer-ceramic-capacitors-mlcc-smd-smt_yageo-cc0603krx5r7bb106_C2936601.html" TargetMode="External"/><Relationship Id="rId14" Type="http://schemas.openxmlformats.org/officeDocument/2006/relationships/hyperlink" Target="https://lcsc.com/product-detail/multilayer-ceramic-capacitors-mlcc-smd-smt_yageo-cc0402krx5r7bb104_C106204.html" TargetMode="External"/><Relationship Id="rId30" Type="http://schemas.openxmlformats.org/officeDocument/2006/relationships/hyperlink" Target="https://lcsc.com/product-detail/multilayer-ceramic-capacitors-mlcc-smd-smt_yageo-cc0603krx7r9bb222_C107082.html" TargetMode="External"/><Relationship Id="rId35" Type="http://schemas.openxmlformats.org/officeDocument/2006/relationships/hyperlink" Target="https://lcsc.com/product-detail/multilayer-ceramic-capacitors-mlcc-smd-smt_taiyo-yuden-emk212bb7106mg-t_C141287.html" TargetMode="External"/><Relationship Id="rId56" Type="http://schemas.openxmlformats.org/officeDocument/2006/relationships/hyperlink" Target="https://lcsc.com/product-detail/screw-terminal-blocks_dorabo-db135-10-16-2p-gn-p_C2981775.html" TargetMode="External"/><Relationship Id="rId77" Type="http://schemas.openxmlformats.org/officeDocument/2006/relationships/hyperlink" Target="https://lcsc.com/product-detail/power-inductors_bourns-srn3015c-2r2m_C5375084.html" TargetMode="External"/><Relationship Id="rId100" Type="http://schemas.openxmlformats.org/officeDocument/2006/relationships/hyperlink" Target="https://lcsc.com/product-detail/chip-resistor-surface-mount_yageo-rc0603fr-0720kl_C105575.html" TargetMode="External"/><Relationship Id="rId105" Type="http://schemas.openxmlformats.org/officeDocument/2006/relationships/hyperlink" Target="https://lcsc.com/product-detail/chip-resistor-surface-mount_yageo-rc0402fr-074k7l_C105871.html" TargetMode="External"/><Relationship Id="rId126" Type="http://schemas.openxmlformats.org/officeDocument/2006/relationships/hyperlink" Target="https://lcsc.com/product-detail/chip-resistor-surface-mount_yageo-rc0805fr-075k23l_C274009.html" TargetMode="External"/><Relationship Id="rId147" Type="http://schemas.openxmlformats.org/officeDocument/2006/relationships/hyperlink" Target="https://lcsc.com/product-detail/slide-switches_g-switch-ss-12d02-g040_C2876023.html" TargetMode="External"/><Relationship Id="rId168" Type="http://schemas.openxmlformats.org/officeDocument/2006/relationships/hyperlink" Target="https://lcsc.com/product-detail/Chip-Resistor-Surface-Mount_YAGEO-RC0201FR-0710KL_C106225.html?s_z=n_C106225" TargetMode="External"/><Relationship Id="rId8" Type="http://schemas.openxmlformats.org/officeDocument/2006/relationships/hyperlink" Target="https://lcsc.com/product-detail/multilayer-ceramic-capacitors-mlcc-smd-smt_tdk-c1005x5r1h104k050bb_C2181865.html" TargetMode="External"/><Relationship Id="rId51" Type="http://schemas.openxmlformats.org/officeDocument/2006/relationships/hyperlink" Target="https://lcsc.com/product-detail/esd-and-surge-protection-tvs-esd_tech-public-sm712_C521963.html" TargetMode="External"/><Relationship Id="rId72" Type="http://schemas.openxmlformats.org/officeDocument/2006/relationships/hyperlink" Target="https://lcsc.com/product-detail/pin-headers_xkb-connection-x6511wv-02h-c60d30_C706874.html" TargetMode="External"/><Relationship Id="rId93" Type="http://schemas.openxmlformats.org/officeDocument/2006/relationships/hyperlink" Target="https://lcsc.com/product-detail/mosfets_diodes-2n7002-7-f_C85049.html" TargetMode="External"/><Relationship Id="rId98" Type="http://schemas.openxmlformats.org/officeDocument/2006/relationships/hyperlink" Target="https://lcsc.com/product-detail/chip-resistor-surface-mount_yageo-rt0603brd074k7l_C513565.html" TargetMode="External"/><Relationship Id="rId121" Type="http://schemas.openxmlformats.org/officeDocument/2006/relationships/hyperlink" Target="https://lcsc.com/product-detail/chip-resistor-surface-mount_yageo-rc0805fr-0710rl_C96347.html" TargetMode="External"/><Relationship Id="rId142" Type="http://schemas.openxmlformats.org/officeDocument/2006/relationships/hyperlink" Target="https://lcsc.com/product-detail/current-sense-resistors-shunt-resistors_milliohm-hollr2512-3w-4mr-1_C2994642.html" TargetMode="External"/><Relationship Id="rId163" Type="http://schemas.openxmlformats.org/officeDocument/2006/relationships/hyperlink" Target="https://www.aliexpress.com/item/1005006126995090.html?spm=a2g0o.productlist.main.1.2fb61b64LEMJTS&amp;algo_pvid=02748f94-8baa-4610-90b6-7329641bb158&amp;algo_exp_id=02748f94-8baa-4610-90b6-7329641bb158-0&amp;pdp_ext_f=%7B%22order%22%3A%22476%22%2C%22eval%22%3A%221%22" TargetMode="External"/><Relationship Id="rId3" Type="http://schemas.openxmlformats.org/officeDocument/2006/relationships/hyperlink" Target="https://lcsc.com/product-detail/multilayer-ceramic-capacitors-mlcc-smd-smt_yageo-cc0402grnpo9bn300_C277479.html" TargetMode="External"/><Relationship Id="rId25" Type="http://schemas.openxmlformats.org/officeDocument/2006/relationships/hyperlink" Target="https://lcsc.com/product-detail/multilayer-ceramic-capacitors-mlcc-smd-smt_yageo-cc0402mrx5r6bb106_C962143.html" TargetMode="External"/><Relationship Id="rId46" Type="http://schemas.openxmlformats.org/officeDocument/2006/relationships/hyperlink" Target="https://lcsc.com/product-detail/schottky-diodes_mdd-microdiode-semiconductor-sk104c_C59500.html" TargetMode="External"/><Relationship Id="rId67" Type="http://schemas.openxmlformats.org/officeDocument/2006/relationships/hyperlink" Target="https://eu.mouser.com/ProductDetail/Same-Sky/TB008A-508-03BE?qs=vLWxofP3U2ySMdcVUeIORQ%3D%3D" TargetMode="External"/><Relationship Id="rId116" Type="http://schemas.openxmlformats.org/officeDocument/2006/relationships/hyperlink" Target="https://lcsc.com/product-detail/chip-resistor-surface-mount_yageo-rc0805fr-07100kl_C96346.html" TargetMode="External"/><Relationship Id="rId137" Type="http://schemas.openxmlformats.org/officeDocument/2006/relationships/hyperlink" Target="https://lcsc.com/product-detail/chip-resistor-surface-mount_yageo-rc0402fr-0710kl_C60490.html" TargetMode="External"/><Relationship Id="rId158" Type="http://schemas.openxmlformats.org/officeDocument/2006/relationships/hyperlink" Target="https://lcsc.com/product-detail/voltage-regulators-linear-low-drop-out-ldo-regulators_microchip-mic29302wu-tr_C11149.html" TargetMode="External"/><Relationship Id="rId20" Type="http://schemas.openxmlformats.org/officeDocument/2006/relationships/hyperlink" Target="https://lcsc.com/product-detail/multilayer-ceramic-capacitors-mlcc-smd-smt_samsung-electro-mechanics-cl05b104kb54pnc_C307331.html" TargetMode="External"/><Relationship Id="rId41" Type="http://schemas.openxmlformats.org/officeDocument/2006/relationships/hyperlink" Target="https://lcsc.com/product-detail/esd-and-surge-protection-tvs-esd_willsemi-esd5302f-3-tr_C239643.html" TargetMode="External"/><Relationship Id="rId62" Type="http://schemas.openxmlformats.org/officeDocument/2006/relationships/hyperlink" Target="https://lcsc.com/product-detail/wire-to-board-connector_molex-22112032_C505163.html" TargetMode="External"/><Relationship Id="rId83" Type="http://schemas.openxmlformats.org/officeDocument/2006/relationships/hyperlink" Target="https://lcsc.com/product-detail/buzzers_fengming-ys-sbz9032c03r16_C409828.html" TargetMode="External"/><Relationship Id="rId88" Type="http://schemas.openxmlformats.org/officeDocument/2006/relationships/hyperlink" Target="https://lcsc.com/product-detail/mosfets_infineon-irf3205strlpbf_C2613.html" TargetMode="External"/><Relationship Id="rId111" Type="http://schemas.openxmlformats.org/officeDocument/2006/relationships/hyperlink" Target="https://lcsc.com/product-detail/chip-resistor-surface-mount_yageo-rc0603fr-0747rl_C114623.html" TargetMode="External"/><Relationship Id="rId132" Type="http://schemas.openxmlformats.org/officeDocument/2006/relationships/hyperlink" Target="https://lcsc.com/product-detail/chip-resistor-surface-mount_yageo-rc0201jr-07100kl_C106230.html" TargetMode="External"/><Relationship Id="rId153" Type="http://schemas.openxmlformats.org/officeDocument/2006/relationships/hyperlink" Target="https://lcsc.com/product-detail/oring-controllers_adi-ltc4359cms8-pbf_C190259.html" TargetMode="External"/><Relationship Id="rId174" Type="http://schemas.openxmlformats.org/officeDocument/2006/relationships/hyperlink" Target="https://lcsc.com/product-detail/Chip-Resistor-Surface-Mount_YAGEO-RT0603BRD07100KL_C122538.html?s_z=n_C122538" TargetMode="External"/><Relationship Id="rId179" Type="http://schemas.openxmlformats.org/officeDocument/2006/relationships/hyperlink" Target="https://lcsc.com/product-detail/Chip-Resistor-Surface-Mount_YAGEO-AT0402BRD0751KL_C5455493.html?s_z=n_C5455493" TargetMode="External"/><Relationship Id="rId15" Type="http://schemas.openxmlformats.org/officeDocument/2006/relationships/hyperlink" Target="https://lcsc.com/product-detail/multilayer-ceramic-capacitors-mlcc-smd-smt_yageo-cc0402jrx7r7bb104_C541464.html" TargetMode="External"/><Relationship Id="rId36" Type="http://schemas.openxmlformats.org/officeDocument/2006/relationships/hyperlink" Target="https://lcsc.com/product-detail/multilayer-ceramic-capacitors-mlcc-smd-smt_yageo-cc0402krx5r8bb105_C326568.html" TargetMode="External"/><Relationship Id="rId57" Type="http://schemas.openxmlformats.org/officeDocument/2006/relationships/hyperlink" Target="https://www.digikey.com/en/products/detail/kyocera-avx/SCCU25B256SRB/6165963" TargetMode="External"/><Relationship Id="rId106" Type="http://schemas.openxmlformats.org/officeDocument/2006/relationships/hyperlink" Target="https://lcsc.com/product-detail/MOSFETs_Infineon-BSC028N06NSATMA1_C6135384.html?s_z=n_BSC028N06NSATMA1" TargetMode="External"/><Relationship Id="rId127" Type="http://schemas.openxmlformats.org/officeDocument/2006/relationships/hyperlink" Target="https://lcsc.com/product-detail/chip-resistor-surface-mount_yageo-rc0603fr-0730k1l_C137745.html" TargetMode="External"/><Relationship Id="rId10" Type="http://schemas.openxmlformats.org/officeDocument/2006/relationships/hyperlink" Target="https://lcsc.com/product-detail/multilayer-ceramic-capacitors-mlcc-smd-smt_yageo-cc0603krx7r9bb471_C107092.html" TargetMode="External"/><Relationship Id="rId31" Type="http://schemas.openxmlformats.org/officeDocument/2006/relationships/hyperlink" Target="https://lcsc.com/product-detail/multilayer-ceramic-capacitors-mlcc-smd-smt_yageo-cc0603mrx5r6bb226_C109447.html" TargetMode="External"/><Relationship Id="rId52" Type="http://schemas.openxmlformats.org/officeDocument/2006/relationships/hyperlink" Target="https://lcsc.com/product-detail/esd-and-surge-protection-tvs-esd_littelfuse-smbj12a_C151251.html" TargetMode="External"/><Relationship Id="rId73" Type="http://schemas.openxmlformats.org/officeDocument/2006/relationships/hyperlink" Target="https://lcsc.com/product-detail/inductors-smd_microgate-mgfl2012f100mt-lf_C281113.html" TargetMode="External"/><Relationship Id="rId78" Type="http://schemas.openxmlformats.org/officeDocument/2006/relationships/hyperlink" Target="https://lcsc.com/product-detail/power-inductors_murata-dfe252012f-r47m-p2_C703140.html" TargetMode="External"/><Relationship Id="rId94" Type="http://schemas.openxmlformats.org/officeDocument/2006/relationships/hyperlink" Target="https://lcsc.com/product-detail/chip-resistor-surface-mount_uni-royal-0603waf3601t5e_C22980.html" TargetMode="External"/><Relationship Id="rId99" Type="http://schemas.openxmlformats.org/officeDocument/2006/relationships/hyperlink" Target="https://lcsc.com/product-detail/chip-resistor-surface-mount_yageo-rt0603bre076k8l_C705876.html" TargetMode="External"/><Relationship Id="rId101" Type="http://schemas.openxmlformats.org/officeDocument/2006/relationships/hyperlink" Target="https://lcsc.com/product-detail/chip-resistor-surface-mount_uni-royal-0603waf2214t5e_C422956.html" TargetMode="External"/><Relationship Id="rId122" Type="http://schemas.openxmlformats.org/officeDocument/2006/relationships/hyperlink" Target="https://lcsc.com/product-detail/chip-resistor-surface-mount_yageo-rc0402br-07499kl_C851813.html" TargetMode="External"/><Relationship Id="rId143" Type="http://schemas.openxmlformats.org/officeDocument/2006/relationships/hyperlink" Target="https://lcsc.com/product-detail/chip-resistor-surface-mount_yageo-rc1206jr-070rl_C108081.html" TargetMode="External"/><Relationship Id="rId148" Type="http://schemas.openxmlformats.org/officeDocument/2006/relationships/hyperlink" Target="https://lcsc.com/product-detail/current-sensors_allegro-acs723llctr-20au-t_C459324.html" TargetMode="External"/><Relationship Id="rId164" Type="http://schemas.openxmlformats.org/officeDocument/2006/relationships/hyperlink" Target="https://lcsc.com/product-detail/Chip-Resistor-Surface-Mount_YAGEO-RT0603BRD0710KL_C95204.html?s_z=n_C95204" TargetMode="External"/><Relationship Id="rId169" Type="http://schemas.openxmlformats.org/officeDocument/2006/relationships/hyperlink" Target="https://lcsc.com/product-detail/Chip-Resistor-Surface-Mount_YAGEO-RC0603FR-071ML_C105578.html?s_z=n_C105578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aluminum-electrolytic-capacitors-smd_changzhou-huawei-elec-vt1h471mi135000ce0_C191227.html" TargetMode="External"/><Relationship Id="rId180" Type="http://schemas.openxmlformats.org/officeDocument/2006/relationships/hyperlink" Target="https://lcsc.com/product-detail/Chip-Resistor-Surface-Mount_YAGEO-RC0402FR-072K7L_C138017.html?s_z=n_C138017" TargetMode="External"/><Relationship Id="rId26" Type="http://schemas.openxmlformats.org/officeDocument/2006/relationships/hyperlink" Target="https://lcsc.com/product-detail/Aluminum-Electrolytic-Capacitors-SMD_DMBJ-RVT1E100M0405-10UF-25V_C970655.html?s_z=n_C970655" TargetMode="External"/><Relationship Id="rId47" Type="http://schemas.openxmlformats.org/officeDocument/2006/relationships/hyperlink" Target="https://lcsc.com/product-detail/schottky-diodes_onsemi-fsv20150v_C606024.html" TargetMode="External"/><Relationship Id="rId68" Type="http://schemas.openxmlformats.org/officeDocument/2006/relationships/hyperlink" Target="https://lcsc.com/product-detail/wire-to-board-connector_hctl-hc-1-25-6plt_C2845392.html" TargetMode="External"/><Relationship Id="rId89" Type="http://schemas.openxmlformats.org/officeDocument/2006/relationships/hyperlink" Target="https://lcsc.com/product-detail/mosfets_tech-public-irlml6402trpbf_C5182043.html" TargetMode="External"/><Relationship Id="rId112" Type="http://schemas.openxmlformats.org/officeDocument/2006/relationships/hyperlink" Target="https://lcsc.com/product-detail/chip-resistor-surface-mount_yageo-rc0402jr-071kl_C105637.html" TargetMode="External"/><Relationship Id="rId133" Type="http://schemas.openxmlformats.org/officeDocument/2006/relationships/hyperlink" Target="https://lcsc.com/product-detail/chip-resistor-surface-mount_yageo-rc0402fr-0747kl_C93943.html" TargetMode="External"/><Relationship Id="rId154" Type="http://schemas.openxmlformats.org/officeDocument/2006/relationships/hyperlink" Target="https://lcsc.com/product-detail/buffers-drivers-receivers-transceivers_ti-sn74lv1t34dbvr_C100024.html" TargetMode="External"/><Relationship Id="rId175" Type="http://schemas.openxmlformats.org/officeDocument/2006/relationships/hyperlink" Target="https://lcsc.com/product-detail/Chip-Resistor-Surface-Mount_YAGEO-RT0603BRB07120RL_C860088.html?s_z=n_C860088" TargetMode="External"/><Relationship Id="rId16" Type="http://schemas.openxmlformats.org/officeDocument/2006/relationships/hyperlink" Target="https://lcsc.com/product-detail/multilayer-ceramic-capacitors-mlcc-smd-smt_murata-grm188r6ya106ma73d_C194427.html" TargetMode="External"/><Relationship Id="rId37" Type="http://schemas.openxmlformats.org/officeDocument/2006/relationships/hyperlink" Target="https://lcsc.com/product-detail/multilayer-ceramic-capacitors-mlcc-smd-smt_yageo-cc0805kkx5r8bb106_C89831.html" TargetMode="External"/><Relationship Id="rId58" Type="http://schemas.openxmlformats.org/officeDocument/2006/relationships/hyperlink" Target="https://lcsc.com/product-detail/Pin-Headers_Amphenol-20021121-00010C4LF_C150517.html?s_z=n_C150517" TargetMode="External"/><Relationship Id="rId79" Type="http://schemas.openxmlformats.org/officeDocument/2006/relationships/hyperlink" Target="https://www.digikey.com/en/products/detail/sunled/XZMDK68W-2/4745956?s=N4IgTCBcDaIBoC0CyARA0gNgBwHUC0EAugL5A" TargetMode="External"/><Relationship Id="rId102" Type="http://schemas.openxmlformats.org/officeDocument/2006/relationships/hyperlink" Target="https://lcsc.com/product-detail/chip-resistor-surface-mount_yageo-rc0603fr-0715kl_C114661.html" TargetMode="External"/><Relationship Id="rId123" Type="http://schemas.openxmlformats.org/officeDocument/2006/relationships/hyperlink" Target="https://lcsc.com/product-detail/chip-resistor-surface-mount_yageo-rt0402brd0736kl_C852742.html" TargetMode="External"/><Relationship Id="rId144" Type="http://schemas.openxmlformats.org/officeDocument/2006/relationships/hyperlink" Target="https://lcsc.com/product-detail/chip-resistor-surface-mount_yageo-rc0603fr-07100rl_C105588.html" TargetMode="External"/><Relationship Id="rId90" Type="http://schemas.openxmlformats.org/officeDocument/2006/relationships/hyperlink" Target="https://lcsc.com/product-detail/bipolar-bjt_diodes-mmbt2222a-7-f_C94515.html" TargetMode="External"/><Relationship Id="rId165" Type="http://schemas.openxmlformats.org/officeDocument/2006/relationships/hyperlink" Target="https://lcsc.com/product-detail/Chip-Resistor-Surface-Mount_YAGEO-RT0603BRD073K3L_C309653.html?s_z=n_C309653" TargetMode="External"/><Relationship Id="rId27" Type="http://schemas.openxmlformats.org/officeDocument/2006/relationships/hyperlink" Target="https://lcsc.com/product-detail/multilayer-ceramic-capacitors-mlcc-smd-smt_murata-grm033c81e104ke14d_C181047.html" TargetMode="External"/><Relationship Id="rId48" Type="http://schemas.openxmlformats.org/officeDocument/2006/relationships/hyperlink" Target="https://lcsc.com/product-detail/schottky-diodes_diodes-zlls350ta_C139441.html" TargetMode="External"/><Relationship Id="rId69" Type="http://schemas.openxmlformats.org/officeDocument/2006/relationships/hyperlink" Target="https://lcsc.com/product-detail/wire-to-board-connector_hctl-hc-1-25-16plt_C3012301.html" TargetMode="External"/><Relationship Id="rId113" Type="http://schemas.openxmlformats.org/officeDocument/2006/relationships/hyperlink" Target="https://lcsc.com/product-detail/chip-resistor-surface-mount_yageo-rc0603jr-070rl_C95177.html" TargetMode="External"/><Relationship Id="rId134" Type="http://schemas.openxmlformats.org/officeDocument/2006/relationships/hyperlink" Target="https://lcsc.com/product-detail/chip-resistor-surface-mount_yageo-rc1206fr-7w1kl_C859155.html" TargetMode="External"/><Relationship Id="rId80" Type="http://schemas.openxmlformats.org/officeDocument/2006/relationships/hyperlink" Target="https://lcsc.com/product-detail/ambient-light-sensors_everlight-als-pt19-315c-l177-tr8_C146233.html" TargetMode="External"/><Relationship Id="rId155" Type="http://schemas.openxmlformats.org/officeDocument/2006/relationships/hyperlink" Target="https://lcsc.com/product-detail/transistor-photovoltaic-output-optoisolators_renesas-ps2801c-1-f3-a_C67112.html" TargetMode="External"/><Relationship Id="rId176" Type="http://schemas.openxmlformats.org/officeDocument/2006/relationships/hyperlink" Target="https://lcsc.com/product-detail/Chip-Resistor-Surface-Mount_YAGEO-RC0402FR-071ML_C138033.html?s_z=n_C138033" TargetMode="External"/><Relationship Id="rId17" Type="http://schemas.openxmlformats.org/officeDocument/2006/relationships/hyperlink" Target="https://lcsc.com/product-detail/multilayer-ceramic-capacitors-mlcc-smd-smt_tdk-c2012x5r1v226mt000e_C338080.html" TargetMode="External"/><Relationship Id="rId38" Type="http://schemas.openxmlformats.org/officeDocument/2006/relationships/hyperlink" Target="https://lcsc.com/product-detail/schottky-diodes_guangdong-hottech-ss24a_C2886579.html" TargetMode="External"/><Relationship Id="rId59" Type="http://schemas.openxmlformats.org/officeDocument/2006/relationships/hyperlink" Target="https://eu.mouser.com/ProductDetail/Same-Sky/TB008A-508-02BE?qs=vLWxofP3U2w5I2Hxj8y2hQ%3D%3D" TargetMode="External"/><Relationship Id="rId103" Type="http://schemas.openxmlformats.org/officeDocument/2006/relationships/hyperlink" Target="https://lcsc.com/product-detail/chip-resistor-surface-mount_yageo-rc0603dr-073k3l_C723574.html" TargetMode="External"/><Relationship Id="rId124" Type="http://schemas.openxmlformats.org/officeDocument/2006/relationships/hyperlink" Target="https://lcsc.com/product-detail/chip-resistor-surface-mount_yageo-at0603brd0713k7l_C855608.html" TargetMode="External"/><Relationship Id="rId70" Type="http://schemas.openxmlformats.org/officeDocument/2006/relationships/hyperlink" Target="https://lcsc.com/product-detail/sd-card-memory-card-connector_hrs-dm3bt-dsf-pejs_C597972.html" TargetMode="External"/><Relationship Id="rId91" Type="http://schemas.openxmlformats.org/officeDocument/2006/relationships/hyperlink" Target="https://lcsc.com/product-detail/mosfets_tech-public-si2302cds_C5310968.html" TargetMode="External"/><Relationship Id="rId145" Type="http://schemas.openxmlformats.org/officeDocument/2006/relationships/hyperlink" Target="https://lcsc.com/product-detail/chip-resistor-surface-mount_koa-speer-elec-rk73g1jttd1002f_C362180.html" TargetMode="External"/><Relationship Id="rId166" Type="http://schemas.openxmlformats.org/officeDocument/2006/relationships/hyperlink" Target="https://lcsc.com/product-detail/Chip-Resistor-Surface-Mount_YAGEO-RC0201JR-07470RL_C163491.html?s_z=n_C163491" TargetMode="External"/><Relationship Id="rId1" Type="http://schemas.openxmlformats.org/officeDocument/2006/relationships/hyperlink" Target="https://lcsc.com/product-detail/multilayer-ceramic-capacitors-mlcc-smd-smt_yageo-cc1206kkx7r0bb104_C107181.html" TargetMode="External"/><Relationship Id="rId28" Type="http://schemas.openxmlformats.org/officeDocument/2006/relationships/hyperlink" Target="https://lcsc.com/product-detail/multilayer-ceramic-capacitors-mlcc-smd-smt_tdk-c3216x5r1e476m160ac_C2167787.html" TargetMode="External"/><Relationship Id="rId49" Type="http://schemas.openxmlformats.org/officeDocument/2006/relationships/hyperlink" Target="https://lcsc.com/product-detail/esd-and-surge-protection-tvs-esd_lrc-lesd8d3-3cat5g_C172409.html" TargetMode="External"/><Relationship Id="rId114" Type="http://schemas.openxmlformats.org/officeDocument/2006/relationships/hyperlink" Target="https://lcsc.com/product-detail/chip-resistor-surface-mount_yageo-rc0603jr-070rl_C95177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lcsc.com/product-detail/chip-resistor-surface-mount_yageo-rc0603fr-071kl_C22548.html" TargetMode="External"/><Relationship Id="rId21" Type="http://schemas.openxmlformats.org/officeDocument/2006/relationships/hyperlink" Target="https://lcsc.com/product-detail/multilayer-ceramic-capacitors-mlcc-smd-smt_tdk-c1608x5r1e106m080ac_C2168289.html" TargetMode="External"/><Relationship Id="rId42" Type="http://schemas.openxmlformats.org/officeDocument/2006/relationships/hyperlink" Target="https://lcsc.com/product-detail/zener-diodes_eic-semicon-mm3z3v3b_C2978865.html" TargetMode="External"/><Relationship Id="rId63" Type="http://schemas.openxmlformats.org/officeDocument/2006/relationships/hyperlink" Target="https://lcsc.com/product-detail/wire-to-board-connector_molex-22112022_C505162.html" TargetMode="External"/><Relationship Id="rId84" Type="http://schemas.openxmlformats.org/officeDocument/2006/relationships/hyperlink" Target="https://lcsc.com/product-detail/LED-Indication-Discrete_Amicc-A-SP194DR5C-C01-4T_C19171329.html" TargetMode="External"/><Relationship Id="rId138" Type="http://schemas.openxmlformats.org/officeDocument/2006/relationships/hyperlink" Target="https://lcsc.com/product-detail/chip-resistor-surface-mount_yageo-rc0603fr-073k3l_C108078.html" TargetMode="External"/><Relationship Id="rId159" Type="http://schemas.openxmlformats.org/officeDocument/2006/relationships/hyperlink" Target="https://lcsc.com/product-detail/gate-drivers_ti-ucc27517dbvr_C99395.html" TargetMode="External"/><Relationship Id="rId170" Type="http://schemas.openxmlformats.org/officeDocument/2006/relationships/hyperlink" Target="https://lcsc.com/product-detail/Chip-Resistor-Surface-Mount_VISHAY-CRCW0603402KFKEA_C844562.html?s_z=n_CRCW0603402KFKEA" TargetMode="External"/><Relationship Id="rId107" Type="http://schemas.openxmlformats.org/officeDocument/2006/relationships/hyperlink" Target="https://lcsc.com/product-detail/chip-resistor-surface-mount_koa-speer-elec-rk73g1jttd1002f_C362180.html" TargetMode="External"/><Relationship Id="rId11" Type="http://schemas.openxmlformats.org/officeDocument/2006/relationships/hyperlink" Target="https://lcsc.com/product-detail/multilayer-ceramic-capacitors-mlcc-smd-smt_yageo-cc0201jrnpo9bn150_C277480.html" TargetMode="External"/><Relationship Id="rId32" Type="http://schemas.openxmlformats.org/officeDocument/2006/relationships/hyperlink" Target="https://lcsc.com/product-detail/multilayer-ceramic-capacitors-mlcc-smd-smt_murata-grm155r61e225ke11d_C385032.html" TargetMode="External"/><Relationship Id="rId53" Type="http://schemas.openxmlformats.org/officeDocument/2006/relationships/hyperlink" Target="https://lcsc.com/product-detail/schottky-diodes_diodes-1n5819hw-7-f_C82544.html" TargetMode="External"/><Relationship Id="rId74" Type="http://schemas.openxmlformats.org/officeDocument/2006/relationships/hyperlink" Target="https://lcsc.com/product-detail/power-inductors_tdk-slf12575t-221m1r3-pf_C93225.html" TargetMode="External"/><Relationship Id="rId128" Type="http://schemas.openxmlformats.org/officeDocument/2006/relationships/hyperlink" Target="https://lcsc.com/product-detail/chip-resistor-surface-mount_ever-ohms-tech-tr0603b499kp0525z_C149937.html" TargetMode="External"/><Relationship Id="rId149" Type="http://schemas.openxmlformats.org/officeDocument/2006/relationships/hyperlink" Target="https://lcsc.com/product-detail/dc-dc-converters_ti-mc34063adr_C100023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95" Type="http://schemas.openxmlformats.org/officeDocument/2006/relationships/hyperlink" Target="https://lcsc.com/product-detail/chip-resistor-surface-mount_ralec-rtt03r330ftp_C103893.html" TargetMode="External"/><Relationship Id="rId160" Type="http://schemas.openxmlformats.org/officeDocument/2006/relationships/hyperlink" Target="https://lcsc.com/product-detail/human-body-sensing-sensor_senba-sensing-tech-as312_C90465.html" TargetMode="External"/><Relationship Id="rId181" Type="http://schemas.openxmlformats.org/officeDocument/2006/relationships/hyperlink" Target="https://www.digikey.com/en/products/detail/texas-instruments/TPS2117DRLR/21737520?s=N4IgTCBcDaICoAUDKYCMqDsARASgGRxAF0BfIA" TargetMode="External"/><Relationship Id="rId22" Type="http://schemas.openxmlformats.org/officeDocument/2006/relationships/hyperlink" Target="https://lcsc.com/product-detail/multilayer-ceramic-capacitors-mlcc-smd-smt_murata-grm155r62a104ke14d_C162178.html" TargetMode="External"/><Relationship Id="rId43" Type="http://schemas.openxmlformats.org/officeDocument/2006/relationships/hyperlink" Target="https://lcsc.com/product-detail/esd-and-surge-protection-tvs-esd_brightking-smbj70a-tr13_C309982.html" TargetMode="External"/><Relationship Id="rId64" Type="http://schemas.openxmlformats.org/officeDocument/2006/relationships/hyperlink" Target="https://lcsc.com/product-detail/wire-to-board-connector_hctl-hc-1-25-12plt_C2937190.html" TargetMode="External"/><Relationship Id="rId118" Type="http://schemas.openxmlformats.org/officeDocument/2006/relationships/hyperlink" Target="https://lcsc.com/product-detail/chip-resistor-surface-mount_yageo-rt0603brd077k5l_C728597.html" TargetMode="External"/><Relationship Id="rId139" Type="http://schemas.openxmlformats.org/officeDocument/2006/relationships/hyperlink" Target="https://lcsc.com/product-detail/chip-resistor-surface-mount_vishay-crcw06031m82fkea_C2076849.html" TargetMode="External"/><Relationship Id="rId85" Type="http://schemas.openxmlformats.org/officeDocument/2006/relationships/hyperlink" Target="https://lcsc.com/product-detail/mosfets_willsemi-wnm2016a-3-tr_C601105.html" TargetMode="External"/><Relationship Id="rId150" Type="http://schemas.openxmlformats.org/officeDocument/2006/relationships/hyperlink" Target="https://lcsc.com/product-detail/voltage-regulators-linear-low-drop-out-ldo-regulators_ti-lms8117amp-3-3-nopb_C201952.html" TargetMode="External"/><Relationship Id="rId171" Type="http://schemas.openxmlformats.org/officeDocument/2006/relationships/hyperlink" Target="https://lcsc.com/product-detail/Chip-Resistor-Surface-Mount_YAGEO-RC0603FR-07845KL_C246013.html?s_z=n_RC0603FR-07845KL" TargetMode="External"/><Relationship Id="rId12" Type="http://schemas.openxmlformats.org/officeDocument/2006/relationships/hyperlink" Target="https://lcsc.com/product-detail/multilayer-ceramic-capacitors-mlcc-smd-smt_yageo-cc0603krx7r9bb105_C559769.html" TargetMode="External"/><Relationship Id="rId33" Type="http://schemas.openxmlformats.org/officeDocument/2006/relationships/hyperlink" Target="https://lcsc.com/product-detail/multilayer-ceramic-capacitors-mlcc-smd-smt_yageo-cc0603krx5r9bb104_C110022.html" TargetMode="External"/><Relationship Id="rId108" Type="http://schemas.openxmlformats.org/officeDocument/2006/relationships/hyperlink" Target="https://lcsc.com/product-detail/chip-resistor-surface-mount_yageo-rc0603dr-07150rl_C471801.html" TargetMode="External"/><Relationship Id="rId129" Type="http://schemas.openxmlformats.org/officeDocument/2006/relationships/hyperlink" Target="https://lcsc.com/product-detail/chip-resistor-surface-mount_yageo-rt0402brd0786k6l_C852935.html" TargetMode="External"/><Relationship Id="rId54" Type="http://schemas.openxmlformats.org/officeDocument/2006/relationships/hyperlink" Target="https://lcsc.com/product-detail/esd-and-surge-protection-tvs-esd_mdd-microdiode-semiconductor-esd5z3-3c_C502551.html" TargetMode="External"/><Relationship Id="rId75" Type="http://schemas.openxmlformats.org/officeDocument/2006/relationships/hyperlink" Target="https://lcsc.com/product-detail/power-inductors_yjycoin-yprh0704-4r7m_C514806.html" TargetMode="External"/><Relationship Id="rId96" Type="http://schemas.openxmlformats.org/officeDocument/2006/relationships/hyperlink" Target="https://lcsc.com/product-detail/chip-resistor-surface-mount_yageo-rc0603fr-071k2l_C114605.html" TargetMode="External"/><Relationship Id="rId140" Type="http://schemas.openxmlformats.org/officeDocument/2006/relationships/hyperlink" Target="https://lcsc.com/product-detail/chip-resistor-surface-mount_yageo-rc0402fr-071kl_C106235.html" TargetMode="External"/><Relationship Id="rId161" Type="http://schemas.openxmlformats.org/officeDocument/2006/relationships/hyperlink" Target="https://lcsc.com/product-detail/mosfets_allpower-shenzhen-quan-li-semiconductor-ap4008qd_C2828588.html" TargetMode="External"/><Relationship Id="rId182" Type="http://schemas.openxmlformats.org/officeDocument/2006/relationships/hyperlink" Target="https://lcsc.com/product-detail/Voltage-Regulators-Linear-Low-Drop-Out-LDO-Regulators_ST-LD56100DPU33R_C2969937.html?s_z=n_C2969937" TargetMode="External"/><Relationship Id="rId6" Type="http://schemas.openxmlformats.org/officeDocument/2006/relationships/hyperlink" Target="https://www.digikey.com/en/products/detail/nichicon/UUR1E101MCL6GS/2550440?s=N4IgjCBcoCwGxVAYygMwIYBsDOBTANCAPZQDa4ArAOwCcCAuoQA4AuUIAyiwE4CWAdgHMQAX0IAmCuMQgUkDDgLEyIcWHFwwVEIxCt2XPkNGEqkmXIV5CJSOTAwADI7AUdzNpE48BwsSAAOAJgLNCxrZTtwOE0AZnc9T28jP0JXZ1D5cKV" TargetMode="External"/><Relationship Id="rId23" Type="http://schemas.openxmlformats.org/officeDocument/2006/relationships/hyperlink" Target="https://lcsc.com/product-detail/tantalum-capacitors_kyocera-avx-taje337m016rnj_C51599.html" TargetMode="External"/><Relationship Id="rId119" Type="http://schemas.openxmlformats.org/officeDocument/2006/relationships/hyperlink" Target="https://lcsc.com/product-detail/chip-resistor-surface-mount_vishay-rca0603100rfkeahp_C2074203.html" TargetMode="External"/><Relationship Id="rId44" Type="http://schemas.openxmlformats.org/officeDocument/2006/relationships/hyperlink" Target="https://lcsc.com/product-detail/schottky-diodes_juxing-ss510b_C3011128.html" TargetMode="External"/><Relationship Id="rId60" Type="http://schemas.openxmlformats.org/officeDocument/2006/relationships/hyperlink" Target="https://eu.mouser.com/ProductDetail/Same-Sky/TB008A-508-04BE?qs=vLWxofP3U2wE%252BeCFz1tLxg%3D%3D" TargetMode="External"/><Relationship Id="rId65" Type="http://schemas.openxmlformats.org/officeDocument/2006/relationships/hyperlink" Target="https://lcsc.com/product-detail/pin-headers_boomele-boom-precision-elec-1-27-1-2p_C703015.html" TargetMode="External"/><Relationship Id="rId81" Type="http://schemas.openxmlformats.org/officeDocument/2006/relationships/hyperlink" Target="https://lcsc.com/product-detail/led-indication-discrete_foshan-nationstar-optoelectronics-ncd0603r3_C3151730.html" TargetMode="External"/><Relationship Id="rId86" Type="http://schemas.openxmlformats.org/officeDocument/2006/relationships/hyperlink" Target="https://lcsc.com/product-detail/bipolar-bjt_goodwork-mmbt5551_C909756.html" TargetMode="External"/><Relationship Id="rId130" Type="http://schemas.openxmlformats.org/officeDocument/2006/relationships/hyperlink" Target="https://lcsc.com/product-detail/chip-resistor-surface-mount_yageo-rc2512jk-070rl_C189505.html" TargetMode="External"/><Relationship Id="rId135" Type="http://schemas.openxmlformats.org/officeDocument/2006/relationships/hyperlink" Target="https://lcsc.com/product-detail/chip-resistor-surface-mount_yageo-rt0603bre0763k4l_C862245.html" TargetMode="External"/><Relationship Id="rId151" Type="http://schemas.openxmlformats.org/officeDocument/2006/relationships/hyperlink" Target="https://lcsc.com/product-detail/dc-dc-converters_maxim-max38889aate_C5155969.html" TargetMode="External"/><Relationship Id="rId156" Type="http://schemas.openxmlformats.org/officeDocument/2006/relationships/hyperlink" Target="https://lcsc.com/product-detail/battery-management_ti-bq24650rvar_C53712.html" TargetMode="External"/><Relationship Id="rId177" Type="http://schemas.openxmlformats.org/officeDocument/2006/relationships/hyperlink" Target="https://lcsc.com/product-detail/Chip-Resistor-Surface-Mount_YAGEO-RC0402FR-075K1L_C105872.html?s_z=n_C105872" TargetMode="External"/><Relationship Id="rId172" Type="http://schemas.openxmlformats.org/officeDocument/2006/relationships/hyperlink" Target="https://lcsc.com/product-detail/Chip-Resistor-Surface-Mount_YAGEO-RC0603FR-07499KL_C131054.html?s_z=n_C131054" TargetMode="External"/><Relationship Id="rId13" Type="http://schemas.openxmlformats.org/officeDocument/2006/relationships/hyperlink" Target="https://lcsc.com/product-detail/multilayer-ceramic-capacitors-mlcc-smd-smt_yageo-cc1206jrx7r0bb473_C577197.html" TargetMode="External"/><Relationship Id="rId18" Type="http://schemas.openxmlformats.org/officeDocument/2006/relationships/hyperlink" Target="https://lcsc.com/product-detail/aluminum-electrolytic-capacitors-smd_nichicon-uud1a102mnl1gs_C445277.html" TargetMode="External"/><Relationship Id="rId39" Type="http://schemas.openxmlformats.org/officeDocument/2006/relationships/hyperlink" Target="https://lcsc.com/product-detail/zener-diodes_onsemi-1sma5930bt3g_C128848.html" TargetMode="External"/><Relationship Id="rId109" Type="http://schemas.openxmlformats.org/officeDocument/2006/relationships/hyperlink" Target="https://lcsc.com/product-detail/chip-resistor-surface-mount_yageo-rc0603fr-072k2l_C114662.html" TargetMode="External"/><Relationship Id="rId34" Type="http://schemas.openxmlformats.org/officeDocument/2006/relationships/hyperlink" Target="https://lcsc.com/product-detail/multilayer-ceramic-capacitors-mlcc-smd-smt_yageo-cc0402krx7r8bb104_C105883.html" TargetMode="External"/><Relationship Id="rId50" Type="http://schemas.openxmlformats.org/officeDocument/2006/relationships/hyperlink" Target="https://lcsc.com/product-detail/diodes-general-purpose_twgmc-1n4007_C727081.html" TargetMode="External"/><Relationship Id="rId55" Type="http://schemas.openxmlformats.org/officeDocument/2006/relationships/hyperlink" Target="https://lcsc.com/product-detail/zener-diodes_diodes-mmsz5242bs-7-f_C151457.html" TargetMode="External"/><Relationship Id="rId76" Type="http://schemas.openxmlformats.org/officeDocument/2006/relationships/hyperlink" Target="https://lcsc.com/product-detail/power-inductors_yjycoin-ynr4018-220m_C340373.html" TargetMode="External"/><Relationship Id="rId97" Type="http://schemas.openxmlformats.org/officeDocument/2006/relationships/hyperlink" Target="https://lcsc.com/product-detail/chip-resistor-surface-mount_yageo-rc0603fr-074k7l_C99782.html" TargetMode="External"/><Relationship Id="rId104" Type="http://schemas.openxmlformats.org/officeDocument/2006/relationships/hyperlink" Target="https://lcsc.com/product-detail/chip-resistor-surface-mount_yageo-rc0603fr-07680rl_C112310.html" TargetMode="External"/><Relationship Id="rId120" Type="http://schemas.openxmlformats.org/officeDocument/2006/relationships/hyperlink" Target="https://lcsc.com/product-detail/chip-resistor-surface-mount_yageo-rc0603fr-07200kl_C105574.html" TargetMode="External"/><Relationship Id="rId125" Type="http://schemas.openxmlformats.org/officeDocument/2006/relationships/hyperlink" Target="https://lcsc.com/product-detail/chip-resistor-surface-mount_yageo-rc0402fr-070rl_C106231.html" TargetMode="External"/><Relationship Id="rId141" Type="http://schemas.openxmlformats.org/officeDocument/2006/relationships/hyperlink" Target="https://lcsc.com/product-detail/chip-resistor-surface-mount_yageo-rc1206jr-070rl_C108081.html" TargetMode="External"/><Relationship Id="rId146" Type="http://schemas.openxmlformats.org/officeDocument/2006/relationships/hyperlink" Target="https://lcsc.com/product-detail/tactile-switches_e-switch-tl3300cf160q_C273516.html" TargetMode="External"/><Relationship Id="rId167" Type="http://schemas.openxmlformats.org/officeDocument/2006/relationships/hyperlink" Target="https://lcsc.com/product-detail/Chip-Resistor-Surface-Mount_UNI-ROYAL-25121WJ0000T4E_C25469.html?s_z=n_C25469" TargetMode="External"/><Relationship Id="rId7" Type="http://schemas.openxmlformats.org/officeDocument/2006/relationships/hyperlink" Target="https://lcsc.com/product-detail/multilayer-ceramic-capacitors-mlcc-smd-smt_tdk-c1005c0g1e102jt000f_C343059.html" TargetMode="External"/><Relationship Id="rId71" Type="http://schemas.openxmlformats.org/officeDocument/2006/relationships/hyperlink" Target="https://eu.mouser.com/ProductDetail/Same-Sky/TB008A-508-04BE?qs=vLWxofP3U2wE%252BeCFz1tLxg%3D%3D" TargetMode="External"/><Relationship Id="rId92" Type="http://schemas.openxmlformats.org/officeDocument/2006/relationships/hyperlink" Target="https://lcsc.com/product-detail/mosfets_guangdong-hottech-ao3407_C181093.html" TargetMode="External"/><Relationship Id="rId162" Type="http://schemas.openxmlformats.org/officeDocument/2006/relationships/hyperlink" Target="https://lcsc.com/product-detail/microcontrollers-mcu-mpu-soc_st-stm32h723zgt6_C730146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29" Type="http://schemas.openxmlformats.org/officeDocument/2006/relationships/hyperlink" Target="https://lcsc.com/product-detail/multilayer-ceramic-capacitors-mlcc-smd-smt_yageo-cc0603krx5r9bb474_C513651.html" TargetMode="External"/><Relationship Id="rId24" Type="http://schemas.openxmlformats.org/officeDocument/2006/relationships/hyperlink" Target="https://lcsc.com/product-detail/tantalum-capacitors_kyocera-avx-tajb107m010rnj_C7196.html" TargetMode="External"/><Relationship Id="rId40" Type="http://schemas.openxmlformats.org/officeDocument/2006/relationships/hyperlink" Target="https://lcsc.com/product-detail/esd-and-surge-protection-tvs-esd_ftr-smaj5-0ca_C693487.html" TargetMode="External"/><Relationship Id="rId45" Type="http://schemas.openxmlformats.org/officeDocument/2006/relationships/hyperlink" Target="https://lcsc.com/product-detail/switching-diodes_diodes-1n4148w-7-f_C83528.html" TargetMode="External"/><Relationship Id="rId66" Type="http://schemas.openxmlformats.org/officeDocument/2006/relationships/hyperlink" Target="https://lcsc.com/product-detail/coaxial-connectors-rf_hj-tech-hj-sma508_C1509209.html" TargetMode="External"/><Relationship Id="rId87" Type="http://schemas.openxmlformats.org/officeDocument/2006/relationships/hyperlink" Target="https://lcsc.com/product-detail/mosfets_diodes-dmn13h750s-7_C156273.html" TargetMode="External"/><Relationship Id="rId110" Type="http://schemas.openxmlformats.org/officeDocument/2006/relationships/hyperlink" Target="https://lcsc.com/product-detail/chip-resistor-surface-mount_yageo-rc0603fr-0710kl_C98220.html" TargetMode="External"/><Relationship Id="rId115" Type="http://schemas.openxmlformats.org/officeDocument/2006/relationships/hyperlink" Target="https://lcsc.com/product-detail/chip-resistor-surface-mount_yageo-rt0603brd0720kl_C723637.html" TargetMode="External"/><Relationship Id="rId131" Type="http://schemas.openxmlformats.org/officeDocument/2006/relationships/hyperlink" Target="https://lcsc.com/product-detail/chip-resistor-surface-mount_yageo-rc0402fr-072r2l_C327251.html" TargetMode="External"/><Relationship Id="rId136" Type="http://schemas.openxmlformats.org/officeDocument/2006/relationships/hyperlink" Target="https://lcsc.com/product-detail/chip-resistor-surface-mount_yageo-rc0603fr-07470rl_C114669.html" TargetMode="External"/><Relationship Id="rId157" Type="http://schemas.openxmlformats.org/officeDocument/2006/relationships/hyperlink" Target="https://lcsc.com/product-detail/comparators_ti-tps3700ddcr_C33002.html" TargetMode="External"/><Relationship Id="rId178" Type="http://schemas.openxmlformats.org/officeDocument/2006/relationships/hyperlink" Target="https://lcsc.com/product-detail/Chip-Resistor-Surface-Mount_YAGEO-RC0603FR-07120RL_C114640.html?s_z=n_C114640" TargetMode="External"/><Relationship Id="rId61" Type="http://schemas.openxmlformats.org/officeDocument/2006/relationships/hyperlink" Target="https://lcsc.com/product-detail/usb-connectors_amphenol-10118194-0001lf_C132563.html" TargetMode="External"/><Relationship Id="rId82" Type="http://schemas.openxmlformats.org/officeDocument/2006/relationships/hyperlink" Target="https://lcsc.com/product-detail/led-indication-discrete_everlight-16-213-ghc-yr1s1-3t_C74338.html" TargetMode="External"/><Relationship Id="rId152" Type="http://schemas.openxmlformats.org/officeDocument/2006/relationships/hyperlink" Target="https://lcsc.com/product-detail/gate-drivers_onsemi-ncp81071adr2g_C603796.html" TargetMode="External"/><Relationship Id="rId173" Type="http://schemas.openxmlformats.org/officeDocument/2006/relationships/hyperlink" Target="https://lcsc.com/product-detail/Chip-Resistor-Surface-Mount_VISHAY-CRCW060333K0JNEA_C4342762.html?s_z=n_C4342762" TargetMode="External"/><Relationship Id="rId19" Type="http://schemas.openxmlformats.org/officeDocument/2006/relationships/hyperlink" Target="https://lcsc.com/product-detail/multilayer-ceramic-capacitors-mlcc-smd-smt_yageo-cc0603krx5r7bb106_C2936601.html" TargetMode="External"/><Relationship Id="rId14" Type="http://schemas.openxmlformats.org/officeDocument/2006/relationships/hyperlink" Target="https://lcsc.com/product-detail/multilayer-ceramic-capacitors-mlcc-smd-smt_yageo-cc0402krx5r7bb104_C106204.html" TargetMode="External"/><Relationship Id="rId30" Type="http://schemas.openxmlformats.org/officeDocument/2006/relationships/hyperlink" Target="https://lcsc.com/product-detail/multilayer-ceramic-capacitors-mlcc-smd-smt_yageo-cc0603krx7r9bb222_C107082.html" TargetMode="External"/><Relationship Id="rId35" Type="http://schemas.openxmlformats.org/officeDocument/2006/relationships/hyperlink" Target="https://lcsc.com/product-detail/multilayer-ceramic-capacitors-mlcc-smd-smt_taiyo-yuden-emk212bb7106mg-t_C141287.html" TargetMode="External"/><Relationship Id="rId56" Type="http://schemas.openxmlformats.org/officeDocument/2006/relationships/hyperlink" Target="https://lcsc.com/product-detail/screw-terminal-blocks_dorabo-db135-10-16-2p-gn-p_C2981775.html" TargetMode="External"/><Relationship Id="rId77" Type="http://schemas.openxmlformats.org/officeDocument/2006/relationships/hyperlink" Target="https://lcsc.com/product-detail/power-inductors_bourns-srn3015c-2r2m_C5375084.html" TargetMode="External"/><Relationship Id="rId100" Type="http://schemas.openxmlformats.org/officeDocument/2006/relationships/hyperlink" Target="https://lcsc.com/product-detail/chip-resistor-surface-mount_yageo-rc0603fr-0720kl_C105575.html" TargetMode="External"/><Relationship Id="rId105" Type="http://schemas.openxmlformats.org/officeDocument/2006/relationships/hyperlink" Target="https://lcsc.com/product-detail/chip-resistor-surface-mount_yageo-rc0402fr-074k7l_C105871.html" TargetMode="External"/><Relationship Id="rId126" Type="http://schemas.openxmlformats.org/officeDocument/2006/relationships/hyperlink" Target="https://lcsc.com/product-detail/chip-resistor-surface-mount_yageo-rc0805fr-075k23l_C274009.html" TargetMode="External"/><Relationship Id="rId147" Type="http://schemas.openxmlformats.org/officeDocument/2006/relationships/hyperlink" Target="https://lcsc.com/product-detail/slide-switches_g-switch-ss-12d02-g040_C2876023.html" TargetMode="External"/><Relationship Id="rId168" Type="http://schemas.openxmlformats.org/officeDocument/2006/relationships/hyperlink" Target="https://lcsc.com/product-detail/Chip-Resistor-Surface-Mount_YAGEO-RC0201FR-0710KL_C106225.html?s_z=n_C106225" TargetMode="External"/><Relationship Id="rId8" Type="http://schemas.openxmlformats.org/officeDocument/2006/relationships/hyperlink" Target="https://lcsc.com/product-detail/multilayer-ceramic-capacitors-mlcc-smd-smt_tdk-c1005x5r1h104k050bb_C2181865.html" TargetMode="External"/><Relationship Id="rId51" Type="http://schemas.openxmlformats.org/officeDocument/2006/relationships/hyperlink" Target="https://lcsc.com/product-detail/esd-and-surge-protection-tvs-esd_tech-public-sm712_C521963.html" TargetMode="External"/><Relationship Id="rId72" Type="http://schemas.openxmlformats.org/officeDocument/2006/relationships/hyperlink" Target="https://lcsc.com/product-detail/pin-headers_xkb-connection-x6511wv-02h-c60d30_C706874.html" TargetMode="External"/><Relationship Id="rId93" Type="http://schemas.openxmlformats.org/officeDocument/2006/relationships/hyperlink" Target="https://lcsc.com/product-detail/mosfets_diodes-2n7002-7-f_C85049.html" TargetMode="External"/><Relationship Id="rId98" Type="http://schemas.openxmlformats.org/officeDocument/2006/relationships/hyperlink" Target="https://lcsc.com/product-detail/chip-resistor-surface-mount_yageo-rt0603brd074k7l_C513565.html" TargetMode="External"/><Relationship Id="rId121" Type="http://schemas.openxmlformats.org/officeDocument/2006/relationships/hyperlink" Target="https://lcsc.com/product-detail/chip-resistor-surface-mount_yageo-rc0805fr-0710rl_C96347.html" TargetMode="External"/><Relationship Id="rId142" Type="http://schemas.openxmlformats.org/officeDocument/2006/relationships/hyperlink" Target="https://lcsc.com/product-detail/current-sense-resistors-shunt-resistors_milliohm-hollr2512-3w-4mr-1_C2994642.html" TargetMode="External"/><Relationship Id="rId163" Type="http://schemas.openxmlformats.org/officeDocument/2006/relationships/hyperlink" Target="https://www.aliexpress.com/item/1005006126995090.html?spm=a2g0o.productlist.main.1.2fb61b64LEMJTS&amp;algo_pvid=02748f94-8baa-4610-90b6-7329641bb158&amp;algo_exp_id=02748f94-8baa-4610-90b6-7329641bb158-0&amp;pdp_ext_f=%7B%22order%22%3A%22476%22%2C%22eval%22%3A%221%22" TargetMode="External"/><Relationship Id="rId3" Type="http://schemas.openxmlformats.org/officeDocument/2006/relationships/hyperlink" Target="https://lcsc.com/product-detail/multilayer-ceramic-capacitors-mlcc-smd-smt_yageo-cc0402grnpo9bn300_C277479.html" TargetMode="External"/><Relationship Id="rId25" Type="http://schemas.openxmlformats.org/officeDocument/2006/relationships/hyperlink" Target="https://lcsc.com/product-detail/multilayer-ceramic-capacitors-mlcc-smd-smt_yageo-cc0402mrx5r6bb106_C962143.html" TargetMode="External"/><Relationship Id="rId46" Type="http://schemas.openxmlformats.org/officeDocument/2006/relationships/hyperlink" Target="https://lcsc.com/product-detail/schottky-diodes_mdd-microdiode-semiconductor-sk104c_C59500.html" TargetMode="External"/><Relationship Id="rId67" Type="http://schemas.openxmlformats.org/officeDocument/2006/relationships/hyperlink" Target="https://eu.mouser.com/ProductDetail/Same-Sky/TB008A-508-03BE?qs=vLWxofP3U2ySMdcVUeIORQ%3D%3D" TargetMode="External"/><Relationship Id="rId116" Type="http://schemas.openxmlformats.org/officeDocument/2006/relationships/hyperlink" Target="https://lcsc.com/product-detail/chip-resistor-surface-mount_yageo-rc0805fr-07100kl_C96346.html" TargetMode="External"/><Relationship Id="rId137" Type="http://schemas.openxmlformats.org/officeDocument/2006/relationships/hyperlink" Target="https://lcsc.com/product-detail/chip-resistor-surface-mount_yageo-rc0402fr-0710kl_C60490.html" TargetMode="External"/><Relationship Id="rId158" Type="http://schemas.openxmlformats.org/officeDocument/2006/relationships/hyperlink" Target="https://lcsc.com/product-detail/voltage-regulators-linear-low-drop-out-ldo-regulators_microchip-mic29302wu-tr_C11149.html" TargetMode="External"/><Relationship Id="rId20" Type="http://schemas.openxmlformats.org/officeDocument/2006/relationships/hyperlink" Target="https://lcsc.com/product-detail/multilayer-ceramic-capacitors-mlcc-smd-smt_samsung-electro-mechanics-cl05b104kb54pnc_C307331.html" TargetMode="External"/><Relationship Id="rId41" Type="http://schemas.openxmlformats.org/officeDocument/2006/relationships/hyperlink" Target="https://lcsc.com/product-detail/esd-and-surge-protection-tvs-esd_willsemi-esd5302f-3-tr_C239643.html" TargetMode="External"/><Relationship Id="rId62" Type="http://schemas.openxmlformats.org/officeDocument/2006/relationships/hyperlink" Target="https://lcsc.com/product-detail/wire-to-board-connector_molex-22112032_C505163.html" TargetMode="External"/><Relationship Id="rId83" Type="http://schemas.openxmlformats.org/officeDocument/2006/relationships/hyperlink" Target="https://lcsc.com/product-detail/buzzers_fengming-ys-sbz9032c03r16_C409828.html" TargetMode="External"/><Relationship Id="rId88" Type="http://schemas.openxmlformats.org/officeDocument/2006/relationships/hyperlink" Target="https://lcsc.com/product-detail/mosfets_infineon-irf3205strlpbf_C2613.html" TargetMode="External"/><Relationship Id="rId111" Type="http://schemas.openxmlformats.org/officeDocument/2006/relationships/hyperlink" Target="https://lcsc.com/product-detail/chip-resistor-surface-mount_yageo-rc0603fr-0747rl_C114623.html" TargetMode="External"/><Relationship Id="rId132" Type="http://schemas.openxmlformats.org/officeDocument/2006/relationships/hyperlink" Target="https://lcsc.com/product-detail/chip-resistor-surface-mount_yageo-rc0201jr-07100kl_C106230.html" TargetMode="External"/><Relationship Id="rId153" Type="http://schemas.openxmlformats.org/officeDocument/2006/relationships/hyperlink" Target="https://lcsc.com/product-detail/oring-controllers_adi-ltc4359cms8-pbf_C190259.html" TargetMode="External"/><Relationship Id="rId174" Type="http://schemas.openxmlformats.org/officeDocument/2006/relationships/hyperlink" Target="https://lcsc.com/product-detail/Chip-Resistor-Surface-Mount_YAGEO-RT0603BRD07100KL_C122538.html?s_z=n_C122538" TargetMode="External"/><Relationship Id="rId179" Type="http://schemas.openxmlformats.org/officeDocument/2006/relationships/hyperlink" Target="https://lcsc.com/product-detail/Chip-Resistor-Surface-Mount_YAGEO-AT0402BRD0751KL_C5455493.html?s_z=n_C5455493" TargetMode="External"/><Relationship Id="rId15" Type="http://schemas.openxmlformats.org/officeDocument/2006/relationships/hyperlink" Target="https://lcsc.com/product-detail/multilayer-ceramic-capacitors-mlcc-smd-smt_yageo-cc0402jrx7r7bb104_C541464.html" TargetMode="External"/><Relationship Id="rId36" Type="http://schemas.openxmlformats.org/officeDocument/2006/relationships/hyperlink" Target="https://lcsc.com/product-detail/multilayer-ceramic-capacitors-mlcc-smd-smt_yageo-cc0402krx5r8bb105_C326568.html" TargetMode="External"/><Relationship Id="rId57" Type="http://schemas.openxmlformats.org/officeDocument/2006/relationships/hyperlink" Target="https://www.digikey.com/en/products/detail/kyocera-avx/SCCU25B256SRB/6165963" TargetMode="External"/><Relationship Id="rId106" Type="http://schemas.openxmlformats.org/officeDocument/2006/relationships/hyperlink" Target="https://lcsc.com/product-detail/MOSFETs_Infineon-BSC028N06NSATMA1_C6135384.html?s_z=n_BSC028N06NSATMA1" TargetMode="External"/><Relationship Id="rId127" Type="http://schemas.openxmlformats.org/officeDocument/2006/relationships/hyperlink" Target="https://lcsc.com/product-detail/chip-resistor-surface-mount_yageo-rc0603fr-0730k1l_C137745.html" TargetMode="External"/><Relationship Id="rId10" Type="http://schemas.openxmlformats.org/officeDocument/2006/relationships/hyperlink" Target="https://lcsc.com/product-detail/multilayer-ceramic-capacitors-mlcc-smd-smt_yageo-cc0603krx7r9bb471_C107092.html" TargetMode="External"/><Relationship Id="rId31" Type="http://schemas.openxmlformats.org/officeDocument/2006/relationships/hyperlink" Target="https://lcsc.com/product-detail/multilayer-ceramic-capacitors-mlcc-smd-smt_yageo-cc0603mrx5r6bb226_C109447.html" TargetMode="External"/><Relationship Id="rId52" Type="http://schemas.openxmlformats.org/officeDocument/2006/relationships/hyperlink" Target="https://lcsc.com/product-detail/esd-and-surge-protection-tvs-esd_littelfuse-smbj12a_C151251.html" TargetMode="External"/><Relationship Id="rId73" Type="http://schemas.openxmlformats.org/officeDocument/2006/relationships/hyperlink" Target="https://lcsc.com/product-detail/inductors-smd_microgate-mgfl2012f100mt-lf_C281113.html" TargetMode="External"/><Relationship Id="rId78" Type="http://schemas.openxmlformats.org/officeDocument/2006/relationships/hyperlink" Target="https://lcsc.com/product-detail/power-inductors_murata-dfe252012f-r47m-p2_C703140.html" TargetMode="External"/><Relationship Id="rId94" Type="http://schemas.openxmlformats.org/officeDocument/2006/relationships/hyperlink" Target="https://lcsc.com/product-detail/chip-resistor-surface-mount_uni-royal-0603waf3601t5e_C22980.html" TargetMode="External"/><Relationship Id="rId99" Type="http://schemas.openxmlformats.org/officeDocument/2006/relationships/hyperlink" Target="https://lcsc.com/product-detail/chip-resistor-surface-mount_yageo-rt0603bre076k8l_C705876.html" TargetMode="External"/><Relationship Id="rId101" Type="http://schemas.openxmlformats.org/officeDocument/2006/relationships/hyperlink" Target="https://lcsc.com/product-detail/chip-resistor-surface-mount_uni-royal-0603waf2214t5e_C422956.html" TargetMode="External"/><Relationship Id="rId122" Type="http://schemas.openxmlformats.org/officeDocument/2006/relationships/hyperlink" Target="https://lcsc.com/product-detail/chip-resistor-surface-mount_yageo-rc0402br-07499kl_C851813.html" TargetMode="External"/><Relationship Id="rId143" Type="http://schemas.openxmlformats.org/officeDocument/2006/relationships/hyperlink" Target="https://lcsc.com/product-detail/chip-resistor-surface-mount_yageo-rc1206jr-070rl_C108081.html" TargetMode="External"/><Relationship Id="rId148" Type="http://schemas.openxmlformats.org/officeDocument/2006/relationships/hyperlink" Target="https://lcsc.com/product-detail/current-sensors_allegro-acs723llctr-20au-t_C459324.html" TargetMode="External"/><Relationship Id="rId164" Type="http://schemas.openxmlformats.org/officeDocument/2006/relationships/hyperlink" Target="https://lcsc.com/product-detail/Chip-Resistor-Surface-Mount_YAGEO-RT0603BRD0710KL_C95204.html?s_z=n_C95204" TargetMode="External"/><Relationship Id="rId169" Type="http://schemas.openxmlformats.org/officeDocument/2006/relationships/hyperlink" Target="https://lcsc.com/product-detail/Chip-Resistor-Surface-Mount_YAGEO-RC0603FR-071ML_C105578.html?s_z=n_C105578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aluminum-electrolytic-capacitors-smd_changzhou-huawei-elec-vt1h471mi135000ce0_C191227.html" TargetMode="External"/><Relationship Id="rId180" Type="http://schemas.openxmlformats.org/officeDocument/2006/relationships/hyperlink" Target="https://lcsc.com/product-detail/Chip-Resistor-Surface-Mount_YAGEO-RC0402FR-072K7L_C138017.html?s_z=n_C138017" TargetMode="External"/><Relationship Id="rId26" Type="http://schemas.openxmlformats.org/officeDocument/2006/relationships/hyperlink" Target="https://lcsc.com/product-detail/Aluminum-Electrolytic-Capacitors-SMD_DMBJ-RVT1E100M0405-10UF-25V_C970655.html?s_z=n_C970655" TargetMode="External"/><Relationship Id="rId47" Type="http://schemas.openxmlformats.org/officeDocument/2006/relationships/hyperlink" Target="https://lcsc.com/product-detail/schottky-diodes_onsemi-fsv20150v_C606024.html" TargetMode="External"/><Relationship Id="rId68" Type="http://schemas.openxmlformats.org/officeDocument/2006/relationships/hyperlink" Target="https://lcsc.com/product-detail/wire-to-board-connector_hctl-hc-1-25-6plt_C2845392.html" TargetMode="External"/><Relationship Id="rId89" Type="http://schemas.openxmlformats.org/officeDocument/2006/relationships/hyperlink" Target="https://lcsc.com/product-detail/mosfets_tech-public-irlml6402trpbf_C5182043.html" TargetMode="External"/><Relationship Id="rId112" Type="http://schemas.openxmlformats.org/officeDocument/2006/relationships/hyperlink" Target="https://lcsc.com/product-detail/chip-resistor-surface-mount_yageo-rc0402jr-071kl_C105637.html" TargetMode="External"/><Relationship Id="rId133" Type="http://schemas.openxmlformats.org/officeDocument/2006/relationships/hyperlink" Target="https://lcsc.com/product-detail/chip-resistor-surface-mount_yageo-rc0402fr-0747kl_C93943.html" TargetMode="External"/><Relationship Id="rId154" Type="http://schemas.openxmlformats.org/officeDocument/2006/relationships/hyperlink" Target="https://lcsc.com/product-detail/buffers-drivers-receivers-transceivers_ti-sn74lv1t34dbvr_C100024.html" TargetMode="External"/><Relationship Id="rId175" Type="http://schemas.openxmlformats.org/officeDocument/2006/relationships/hyperlink" Target="https://lcsc.com/product-detail/Chip-Resistor-Surface-Mount_YAGEO-RT0603BRB07120RL_C860088.html?s_z=n_C860088" TargetMode="External"/><Relationship Id="rId16" Type="http://schemas.openxmlformats.org/officeDocument/2006/relationships/hyperlink" Target="https://lcsc.com/product-detail/multilayer-ceramic-capacitors-mlcc-smd-smt_murata-grm188r6ya106ma73d_C194427.html" TargetMode="External"/><Relationship Id="rId37" Type="http://schemas.openxmlformats.org/officeDocument/2006/relationships/hyperlink" Target="https://lcsc.com/product-detail/multilayer-ceramic-capacitors-mlcc-smd-smt_yageo-cc0805kkx5r8bb106_C89831.html" TargetMode="External"/><Relationship Id="rId58" Type="http://schemas.openxmlformats.org/officeDocument/2006/relationships/hyperlink" Target="https://lcsc.com/product-detail/Pin-Headers_Amphenol-20021121-00010C4LF_C150517.html?s_z=n_C150517" TargetMode="External"/><Relationship Id="rId79" Type="http://schemas.openxmlformats.org/officeDocument/2006/relationships/hyperlink" Target="https://www.digikey.com/en/products/detail/sunled/XZMDK68W-2/4745956?s=N4IgTCBcDaIBoC0CyARA0gNgBwHUC0EAugL5A" TargetMode="External"/><Relationship Id="rId102" Type="http://schemas.openxmlformats.org/officeDocument/2006/relationships/hyperlink" Target="https://lcsc.com/product-detail/chip-resistor-surface-mount_yageo-rc0603fr-0715kl_C114661.html" TargetMode="External"/><Relationship Id="rId123" Type="http://schemas.openxmlformats.org/officeDocument/2006/relationships/hyperlink" Target="https://lcsc.com/product-detail/chip-resistor-surface-mount_yageo-rt0402brd0736kl_C852742.html" TargetMode="External"/><Relationship Id="rId144" Type="http://schemas.openxmlformats.org/officeDocument/2006/relationships/hyperlink" Target="https://lcsc.com/product-detail/chip-resistor-surface-mount_yageo-rc0603fr-07100rl_C105588.html" TargetMode="External"/><Relationship Id="rId90" Type="http://schemas.openxmlformats.org/officeDocument/2006/relationships/hyperlink" Target="https://lcsc.com/product-detail/bipolar-bjt_diodes-mmbt2222a-7-f_C94515.html" TargetMode="External"/><Relationship Id="rId165" Type="http://schemas.openxmlformats.org/officeDocument/2006/relationships/hyperlink" Target="https://lcsc.com/product-detail/Chip-Resistor-Surface-Mount_YAGEO-RT0603BRD073K3L_C309653.html?s_z=n_C309653" TargetMode="External"/><Relationship Id="rId27" Type="http://schemas.openxmlformats.org/officeDocument/2006/relationships/hyperlink" Target="https://lcsc.com/product-detail/multilayer-ceramic-capacitors-mlcc-smd-smt_murata-grm033c81e104ke14d_C181047.html" TargetMode="External"/><Relationship Id="rId48" Type="http://schemas.openxmlformats.org/officeDocument/2006/relationships/hyperlink" Target="https://lcsc.com/product-detail/schottky-diodes_diodes-zlls350ta_C139441.html" TargetMode="External"/><Relationship Id="rId69" Type="http://schemas.openxmlformats.org/officeDocument/2006/relationships/hyperlink" Target="https://lcsc.com/product-detail/wire-to-board-connector_hctl-hc-1-25-16plt_C3012301.html" TargetMode="External"/><Relationship Id="rId113" Type="http://schemas.openxmlformats.org/officeDocument/2006/relationships/hyperlink" Target="https://lcsc.com/product-detail/chip-resistor-surface-mount_yageo-rc0603jr-070rl_C95177.html" TargetMode="External"/><Relationship Id="rId134" Type="http://schemas.openxmlformats.org/officeDocument/2006/relationships/hyperlink" Target="https://lcsc.com/product-detail/chip-resistor-surface-mount_yageo-rc1206fr-7w1kl_C859155.html" TargetMode="External"/><Relationship Id="rId80" Type="http://schemas.openxmlformats.org/officeDocument/2006/relationships/hyperlink" Target="https://lcsc.com/product-detail/ambient-light-sensors_everlight-als-pt19-315c-l177-tr8_C146233.html" TargetMode="External"/><Relationship Id="rId155" Type="http://schemas.openxmlformats.org/officeDocument/2006/relationships/hyperlink" Target="https://lcsc.com/product-detail/transistor-photovoltaic-output-optoisolators_renesas-ps2801c-1-f3-a_C67112.html" TargetMode="External"/><Relationship Id="rId176" Type="http://schemas.openxmlformats.org/officeDocument/2006/relationships/hyperlink" Target="https://lcsc.com/product-detail/Chip-Resistor-Surface-Mount_YAGEO-RC0402FR-071ML_C138033.html?s_z=n_C138033" TargetMode="External"/><Relationship Id="rId17" Type="http://schemas.openxmlformats.org/officeDocument/2006/relationships/hyperlink" Target="https://lcsc.com/product-detail/multilayer-ceramic-capacitors-mlcc-smd-smt_tdk-c2012x5r1v226mt000e_C338080.html" TargetMode="External"/><Relationship Id="rId38" Type="http://schemas.openxmlformats.org/officeDocument/2006/relationships/hyperlink" Target="https://lcsc.com/product-detail/schottky-diodes_guangdong-hottech-ss24a_C2886579.html" TargetMode="External"/><Relationship Id="rId59" Type="http://schemas.openxmlformats.org/officeDocument/2006/relationships/hyperlink" Target="https://eu.mouser.com/ProductDetail/Same-Sky/TB008A-508-02BE?qs=vLWxofP3U2w5I2Hxj8y2hQ%3D%3D" TargetMode="External"/><Relationship Id="rId103" Type="http://schemas.openxmlformats.org/officeDocument/2006/relationships/hyperlink" Target="https://lcsc.com/product-detail/chip-resistor-surface-mount_yageo-rc0603dr-073k3l_C723574.html" TargetMode="External"/><Relationship Id="rId124" Type="http://schemas.openxmlformats.org/officeDocument/2006/relationships/hyperlink" Target="https://lcsc.com/product-detail/chip-resistor-surface-mount_yageo-at0603brd0713k7l_C855608.html" TargetMode="External"/><Relationship Id="rId70" Type="http://schemas.openxmlformats.org/officeDocument/2006/relationships/hyperlink" Target="https://lcsc.com/product-detail/sd-card-memory-card-connector_hrs-dm3bt-dsf-pejs_C597972.html" TargetMode="External"/><Relationship Id="rId91" Type="http://schemas.openxmlformats.org/officeDocument/2006/relationships/hyperlink" Target="https://lcsc.com/product-detail/mosfets_tech-public-si2302cds_C5310968.html" TargetMode="External"/><Relationship Id="rId145" Type="http://schemas.openxmlformats.org/officeDocument/2006/relationships/hyperlink" Target="https://lcsc.com/product-detail/chip-resistor-surface-mount_koa-speer-elec-rk73g1jttd1002f_C362180.html" TargetMode="External"/><Relationship Id="rId166" Type="http://schemas.openxmlformats.org/officeDocument/2006/relationships/hyperlink" Target="https://lcsc.com/product-detail/Chip-Resistor-Surface-Mount_YAGEO-RC0201JR-07470RL_C163491.html?s_z=n_C163491" TargetMode="External"/><Relationship Id="rId1" Type="http://schemas.openxmlformats.org/officeDocument/2006/relationships/hyperlink" Target="https://lcsc.com/product-detail/multilayer-ceramic-capacitors-mlcc-smd-smt_yageo-cc1206kkx7r0bb104_C107181.html" TargetMode="External"/><Relationship Id="rId28" Type="http://schemas.openxmlformats.org/officeDocument/2006/relationships/hyperlink" Target="https://lcsc.com/product-detail/multilayer-ceramic-capacitors-mlcc-smd-smt_tdk-c3216x5r1e476m160ac_C2167787.html" TargetMode="External"/><Relationship Id="rId49" Type="http://schemas.openxmlformats.org/officeDocument/2006/relationships/hyperlink" Target="https://lcsc.com/product-detail/esd-and-surge-protection-tvs-esd_lrc-lesd8d3-3cat5g_C172409.html" TargetMode="External"/><Relationship Id="rId114" Type="http://schemas.openxmlformats.org/officeDocument/2006/relationships/hyperlink" Target="https://lcsc.com/product-detail/chip-resistor-surface-mount_yageo-rc0603jr-070rl_C95177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csc.com/product-detail/chip-resistor-surface-mount_vishay-rca0603100rfkeahp_C2074203.html" TargetMode="External"/><Relationship Id="rId21" Type="http://schemas.openxmlformats.org/officeDocument/2006/relationships/hyperlink" Target="https://lcsc.com/product-detail/multilayer-ceramic-capacitors-mlcc-smd-smt_murata-grm155r62a104ke14d_C162178.html" TargetMode="External"/><Relationship Id="rId42" Type="http://schemas.openxmlformats.org/officeDocument/2006/relationships/hyperlink" Target="https://lcsc.com/product-detail/esd-and-surge-protection-tvs-esd_brightking-smbj70a-tr13_C309982.html" TargetMode="External"/><Relationship Id="rId63" Type="http://schemas.openxmlformats.org/officeDocument/2006/relationships/hyperlink" Target="https://lcsc.com/product-detail/wire-to-board-connector_hctl-hc-1-25-12plt_C2937190.html" TargetMode="External"/><Relationship Id="rId84" Type="http://schemas.openxmlformats.org/officeDocument/2006/relationships/hyperlink" Target="https://lcsc.com/product-detail/mosfets_willsemi-wnm2016a-3-tr_C601105.html" TargetMode="External"/><Relationship Id="rId138" Type="http://schemas.openxmlformats.org/officeDocument/2006/relationships/hyperlink" Target="https://lcsc.com/product-detail/chip-resistor-surface-mount_yageo-rc0402fr-071kl_C106235.html" TargetMode="External"/><Relationship Id="rId159" Type="http://schemas.openxmlformats.org/officeDocument/2006/relationships/hyperlink" Target="https://lcsc.com/product-detail/mosfets_allpower-shenzhen-quan-li-semiconductor-ap4008qd_C2828588.html" TargetMode="External"/><Relationship Id="rId170" Type="http://schemas.openxmlformats.org/officeDocument/2006/relationships/hyperlink" Target="https://lcsc.com/product-detail/Chip-Resistor-Surface-Mount_YAGEO-RC0603FR-07499KL_C131054.html?s_z=n_C131054" TargetMode="External"/><Relationship Id="rId107" Type="http://schemas.openxmlformats.org/officeDocument/2006/relationships/hyperlink" Target="https://lcsc.com/product-detail/chip-resistor-surface-mount_yageo-rc0603fr-072k2l_C114662.html" TargetMode="External"/><Relationship Id="rId11" Type="http://schemas.openxmlformats.org/officeDocument/2006/relationships/hyperlink" Target="https://lcsc.com/product-detail/multilayer-ceramic-capacitors-mlcc-smd-smt_yageo-cc0603krx7r9bb105_C559769.html" TargetMode="External"/><Relationship Id="rId32" Type="http://schemas.openxmlformats.org/officeDocument/2006/relationships/hyperlink" Target="https://lcsc.com/product-detail/multilayer-ceramic-capacitors-mlcc-smd-smt_yageo-cc0603krx5r9bb104_C110022.html" TargetMode="External"/><Relationship Id="rId53" Type="http://schemas.openxmlformats.org/officeDocument/2006/relationships/hyperlink" Target="https://lcsc.com/product-detail/esd-and-surge-protection-tvs-esd_mdd-microdiode-semiconductor-esd5z3-3c_C502551.html" TargetMode="External"/><Relationship Id="rId74" Type="http://schemas.openxmlformats.org/officeDocument/2006/relationships/hyperlink" Target="https://lcsc.com/product-detail/power-inductors_yjycoin-yprh0704-4r7m_C514806.html" TargetMode="External"/><Relationship Id="rId128" Type="http://schemas.openxmlformats.org/officeDocument/2006/relationships/hyperlink" Target="https://lcsc.com/product-detail/chip-resistor-surface-mount_yageo-rc2512jk-070rl_C189505.html" TargetMode="External"/><Relationship Id="rId149" Type="http://schemas.openxmlformats.org/officeDocument/2006/relationships/hyperlink" Target="https://lcsc.com/product-detail/dc-dc-converters_maxim-max38889aate_C5155969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95" Type="http://schemas.openxmlformats.org/officeDocument/2006/relationships/hyperlink" Target="https://lcsc.com/product-detail/chip-resistor-surface-mount_yageo-rc0603fr-071k2l_C114605.html" TargetMode="External"/><Relationship Id="rId160" Type="http://schemas.openxmlformats.org/officeDocument/2006/relationships/hyperlink" Target="https://lcsc.com/product-detail/microcontrollers-mcu-mpu-soc_st-stm32h723zgt6_C730146.html" TargetMode="External"/><Relationship Id="rId181" Type="http://schemas.openxmlformats.org/officeDocument/2006/relationships/hyperlink" Target="https://www.digikey.com/en/products/detail/panasonic-electronic-components/EEE-FK1E101AP/1141973?s=N4IgTCBcDaIKIIGIGkCMdUAZUEEAKIAugL5A" TargetMode="External"/><Relationship Id="rId22" Type="http://schemas.openxmlformats.org/officeDocument/2006/relationships/hyperlink" Target="https://lcsc.com/product-detail/tantalum-capacitors_kyocera-avx-taje337m016rnj_C51599.html" TargetMode="External"/><Relationship Id="rId43" Type="http://schemas.openxmlformats.org/officeDocument/2006/relationships/hyperlink" Target="https://lcsc.com/product-detail/schottky-diodes_juxing-ss510b_C3011128.html" TargetMode="External"/><Relationship Id="rId64" Type="http://schemas.openxmlformats.org/officeDocument/2006/relationships/hyperlink" Target="https://lcsc.com/product-detail/pin-headers_boomele-boom-precision-elec-1-27-1-2p_C703015.html" TargetMode="External"/><Relationship Id="rId118" Type="http://schemas.openxmlformats.org/officeDocument/2006/relationships/hyperlink" Target="https://lcsc.com/product-detail/chip-resistor-surface-mount_yageo-rc0603fr-07200kl_C105574.html" TargetMode="External"/><Relationship Id="rId139" Type="http://schemas.openxmlformats.org/officeDocument/2006/relationships/hyperlink" Target="https://lcsc.com/product-detail/chip-resistor-surface-mount_yageo-rc1206jr-070rl_C108081.html" TargetMode="External"/><Relationship Id="rId85" Type="http://schemas.openxmlformats.org/officeDocument/2006/relationships/hyperlink" Target="https://lcsc.com/product-detail/bipolar-bjt_goodwork-mmbt5551_C909756.html" TargetMode="External"/><Relationship Id="rId150" Type="http://schemas.openxmlformats.org/officeDocument/2006/relationships/hyperlink" Target="https://lcsc.com/product-detail/gate-drivers_onsemi-ncp81071adr2g_C603796.html" TargetMode="External"/><Relationship Id="rId171" Type="http://schemas.openxmlformats.org/officeDocument/2006/relationships/hyperlink" Target="https://lcsc.com/product-detail/Chip-Resistor-Surface-Mount_VISHAY-CRCW060333K0JNEA_C4342762.html?s_z=n_C4342762" TargetMode="External"/><Relationship Id="rId12" Type="http://schemas.openxmlformats.org/officeDocument/2006/relationships/hyperlink" Target="https://lcsc.com/product-detail/multilayer-ceramic-capacitors-mlcc-smd-smt_yageo-cc1206jrx7r0bb473_C577197.html" TargetMode="External"/><Relationship Id="rId33" Type="http://schemas.openxmlformats.org/officeDocument/2006/relationships/hyperlink" Target="https://lcsc.com/product-detail/multilayer-ceramic-capacitors-mlcc-smd-smt_yageo-cc0402krx7r8bb104_C105883.html" TargetMode="External"/><Relationship Id="rId108" Type="http://schemas.openxmlformats.org/officeDocument/2006/relationships/hyperlink" Target="https://lcsc.com/product-detail/chip-resistor-surface-mount_yageo-rc0603fr-0710kl_C98220.html" TargetMode="External"/><Relationship Id="rId129" Type="http://schemas.openxmlformats.org/officeDocument/2006/relationships/hyperlink" Target="https://lcsc.com/product-detail/chip-resistor-surface-mount_yageo-rc0402fr-072r2l_C327251.html" TargetMode="External"/><Relationship Id="rId54" Type="http://schemas.openxmlformats.org/officeDocument/2006/relationships/hyperlink" Target="https://lcsc.com/product-detail/zener-diodes_diodes-mmsz5242bs-7-f_C151457.html" TargetMode="External"/><Relationship Id="rId75" Type="http://schemas.openxmlformats.org/officeDocument/2006/relationships/hyperlink" Target="https://lcsc.com/product-detail/power-inductors_yjycoin-ynr4018-220m_C340373.html" TargetMode="External"/><Relationship Id="rId96" Type="http://schemas.openxmlformats.org/officeDocument/2006/relationships/hyperlink" Target="https://lcsc.com/product-detail/chip-resistor-surface-mount_yageo-rc0603fr-074k7l_C99782.html" TargetMode="External"/><Relationship Id="rId140" Type="http://schemas.openxmlformats.org/officeDocument/2006/relationships/hyperlink" Target="https://lcsc.com/product-detail/current-sense-resistors-shunt-resistors_milliohm-hollr2512-3w-4mr-1_C2994642.html" TargetMode="External"/><Relationship Id="rId161" Type="http://schemas.openxmlformats.org/officeDocument/2006/relationships/hyperlink" Target="https://www.aliexpress.com/item/1005006126995090.html?spm=a2g0o.productlist.main.1.2fb61b64LEMJTS&amp;algo_pvid=02748f94-8baa-4610-90b6-7329641bb158&amp;algo_exp_id=02748f94-8baa-4610-90b6-7329641bb158-0&amp;pdp_ext_f=%7B%22order%22%3A%22476%22%2C%22eval%22%3A%221%22" TargetMode="External"/><Relationship Id="rId182" Type="http://schemas.openxmlformats.org/officeDocument/2006/relationships/hyperlink" Target="https://www.digikey.com/en/products/detail/infineon-technologies/BSC028N06NSATMA1/3719793?s=N4IgTCBcDaIEIGUDCAGMAOAcigbJhAggCoCyBAjCALoC%2BQA" TargetMode="External"/><Relationship Id="rId6" Type="http://schemas.openxmlformats.org/officeDocument/2006/relationships/hyperlink" Target="https://lcsc.com/product-detail/multilayer-ceramic-capacitors-mlcc-smd-smt_tdk-c1005c0g1e102jt000f_C343059.html" TargetMode="External"/><Relationship Id="rId23" Type="http://schemas.openxmlformats.org/officeDocument/2006/relationships/hyperlink" Target="https://lcsc.com/product-detail/tantalum-capacitors_kyocera-avx-tajb107m010rnj_C7196.html" TargetMode="External"/><Relationship Id="rId119" Type="http://schemas.openxmlformats.org/officeDocument/2006/relationships/hyperlink" Target="https://lcsc.com/product-detail/chip-resistor-surface-mount_yageo-rc0805fr-0710rl_C96347.html" TargetMode="External"/><Relationship Id="rId44" Type="http://schemas.openxmlformats.org/officeDocument/2006/relationships/hyperlink" Target="https://lcsc.com/product-detail/switching-diodes_diodes-1n4148w-7-f_C83528.html" TargetMode="External"/><Relationship Id="rId60" Type="http://schemas.openxmlformats.org/officeDocument/2006/relationships/hyperlink" Target="https://lcsc.com/product-detail/usb-connectors_amphenol-10118194-0001lf_C132563.html" TargetMode="External"/><Relationship Id="rId65" Type="http://schemas.openxmlformats.org/officeDocument/2006/relationships/hyperlink" Target="https://lcsc.com/product-detail/coaxial-connectors-rf_hj-tech-hj-sma508_C1509209.html" TargetMode="External"/><Relationship Id="rId81" Type="http://schemas.openxmlformats.org/officeDocument/2006/relationships/hyperlink" Target="https://lcsc.com/product-detail/led-indication-discrete_everlight-16-213-ghc-yr1s1-3t_C74338.html" TargetMode="External"/><Relationship Id="rId86" Type="http://schemas.openxmlformats.org/officeDocument/2006/relationships/hyperlink" Target="https://lcsc.com/product-detail/mosfets_diodes-dmn13h750s-7_C156273.html" TargetMode="External"/><Relationship Id="rId130" Type="http://schemas.openxmlformats.org/officeDocument/2006/relationships/hyperlink" Target="https://lcsc.com/product-detail/chip-resistor-surface-mount_yageo-rc0201jr-07100kl_C106230.html" TargetMode="External"/><Relationship Id="rId135" Type="http://schemas.openxmlformats.org/officeDocument/2006/relationships/hyperlink" Target="https://lcsc.com/product-detail/chip-resistor-surface-mount_yageo-rc0402fr-0710kl_C60490.html" TargetMode="External"/><Relationship Id="rId151" Type="http://schemas.openxmlformats.org/officeDocument/2006/relationships/hyperlink" Target="https://lcsc.com/product-detail/oring-controllers_adi-ltc4359cms8-pbf_C190259.html" TargetMode="External"/><Relationship Id="rId156" Type="http://schemas.openxmlformats.org/officeDocument/2006/relationships/hyperlink" Target="https://lcsc.com/product-detail/voltage-regulators-linear-low-drop-out-ldo-regulators_microchip-mic29302wu-tr_C11149.html" TargetMode="External"/><Relationship Id="rId177" Type="http://schemas.openxmlformats.org/officeDocument/2006/relationships/hyperlink" Target="https://lcsc.com/product-detail/Chip-Resistor-Surface-Mount_YAGEO-AT0402BRD0751KL_C5455493.html?s_z=n_C5455493" TargetMode="External"/><Relationship Id="rId172" Type="http://schemas.openxmlformats.org/officeDocument/2006/relationships/hyperlink" Target="https://lcsc.com/product-detail/Chip-Resistor-Surface-Mount_YAGEO-RT0603BRD07100KL_C122538.html?s_z=n_C122538" TargetMode="External"/><Relationship Id="rId13" Type="http://schemas.openxmlformats.org/officeDocument/2006/relationships/hyperlink" Target="https://lcsc.com/product-detail/multilayer-ceramic-capacitors-mlcc-smd-smt_yageo-cc0402krx5r7bb104_C106204.html" TargetMode="External"/><Relationship Id="rId18" Type="http://schemas.openxmlformats.org/officeDocument/2006/relationships/hyperlink" Target="https://lcsc.com/product-detail/multilayer-ceramic-capacitors-mlcc-smd-smt_yageo-cc0603krx5r7bb106_C2936601.html" TargetMode="External"/><Relationship Id="rId39" Type="http://schemas.openxmlformats.org/officeDocument/2006/relationships/hyperlink" Target="https://lcsc.com/product-detail/esd-and-surge-protection-tvs-esd_ftr-smaj5-0ca_C693487.html" TargetMode="External"/><Relationship Id="rId109" Type="http://schemas.openxmlformats.org/officeDocument/2006/relationships/hyperlink" Target="https://lcsc.com/product-detail/chip-resistor-surface-mount_yageo-rc0603fr-0747rl_C114623.html" TargetMode="External"/><Relationship Id="rId34" Type="http://schemas.openxmlformats.org/officeDocument/2006/relationships/hyperlink" Target="https://lcsc.com/product-detail/multilayer-ceramic-capacitors-mlcc-smd-smt_taiyo-yuden-emk212bb7106mg-t_C141287.html" TargetMode="External"/><Relationship Id="rId50" Type="http://schemas.openxmlformats.org/officeDocument/2006/relationships/hyperlink" Target="https://lcsc.com/product-detail/esd-and-surge-protection-tvs-esd_tech-public-sm712_C521963.html" TargetMode="External"/><Relationship Id="rId55" Type="http://schemas.openxmlformats.org/officeDocument/2006/relationships/hyperlink" Target="https://lcsc.com/product-detail/screw-terminal-blocks_dorabo-db135-10-16-2p-gn-p_C2981775.html" TargetMode="External"/><Relationship Id="rId76" Type="http://schemas.openxmlformats.org/officeDocument/2006/relationships/hyperlink" Target="https://lcsc.com/product-detail/power-inductors_bourns-srn3015c-2r2m_C5375084.html" TargetMode="External"/><Relationship Id="rId97" Type="http://schemas.openxmlformats.org/officeDocument/2006/relationships/hyperlink" Target="https://lcsc.com/product-detail/chip-resistor-surface-mount_yageo-rt0603brd074k7l_C513565.html" TargetMode="External"/><Relationship Id="rId104" Type="http://schemas.openxmlformats.org/officeDocument/2006/relationships/hyperlink" Target="https://lcsc.com/product-detail/chip-resistor-surface-mount_yageo-rc0402fr-074k7l_C105871.html" TargetMode="External"/><Relationship Id="rId120" Type="http://schemas.openxmlformats.org/officeDocument/2006/relationships/hyperlink" Target="https://lcsc.com/product-detail/chip-resistor-surface-mount_yageo-rc0402br-07499kl_C851813.html" TargetMode="External"/><Relationship Id="rId125" Type="http://schemas.openxmlformats.org/officeDocument/2006/relationships/hyperlink" Target="https://lcsc.com/product-detail/chip-resistor-surface-mount_yageo-rc0603fr-0730k1l_C137745.html" TargetMode="External"/><Relationship Id="rId141" Type="http://schemas.openxmlformats.org/officeDocument/2006/relationships/hyperlink" Target="https://lcsc.com/product-detail/chip-resistor-surface-mount_yageo-rc1206jr-070rl_C108081.html" TargetMode="External"/><Relationship Id="rId146" Type="http://schemas.openxmlformats.org/officeDocument/2006/relationships/hyperlink" Target="https://lcsc.com/product-detail/current-sensors_allegro-acs723llctr-20au-t_C459324.html" TargetMode="External"/><Relationship Id="rId167" Type="http://schemas.openxmlformats.org/officeDocument/2006/relationships/hyperlink" Target="https://lcsc.com/product-detail/Chip-Resistor-Surface-Mount_YAGEO-RC0603FR-071ML_C105578.html?s_z=n_C105578" TargetMode="External"/><Relationship Id="rId7" Type="http://schemas.openxmlformats.org/officeDocument/2006/relationships/hyperlink" Target="https://lcsc.com/product-detail/multilayer-ceramic-capacitors-mlcc-smd-smt_tdk-c1005x5r1h104k050bb_C2181865.html" TargetMode="External"/><Relationship Id="rId71" Type="http://schemas.openxmlformats.org/officeDocument/2006/relationships/hyperlink" Target="https://lcsc.com/product-detail/pin-headers_xkb-connection-x6511wv-02h-c60d30_C706874.html" TargetMode="External"/><Relationship Id="rId92" Type="http://schemas.openxmlformats.org/officeDocument/2006/relationships/hyperlink" Target="https://lcsc.com/product-detail/mosfets_diodes-2n7002-7-f_C85049.html" TargetMode="External"/><Relationship Id="rId162" Type="http://schemas.openxmlformats.org/officeDocument/2006/relationships/hyperlink" Target="https://lcsc.com/product-detail/Chip-Resistor-Surface-Mount_YAGEO-RT0603BRD0710KL_C95204.html?s_z=n_C95204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29" Type="http://schemas.openxmlformats.org/officeDocument/2006/relationships/hyperlink" Target="https://lcsc.com/product-detail/multilayer-ceramic-capacitors-mlcc-smd-smt_yageo-cc0603krx7r9bb222_C107082.html" TargetMode="External"/><Relationship Id="rId24" Type="http://schemas.openxmlformats.org/officeDocument/2006/relationships/hyperlink" Target="https://lcsc.com/product-detail/multilayer-ceramic-capacitors-mlcc-smd-smt_yageo-cc0402mrx5r6bb106_C962143.html" TargetMode="External"/><Relationship Id="rId40" Type="http://schemas.openxmlformats.org/officeDocument/2006/relationships/hyperlink" Target="https://lcsc.com/product-detail/esd-and-surge-protection-tvs-esd_willsemi-esd5302f-3-tr_C239643.html" TargetMode="External"/><Relationship Id="rId45" Type="http://schemas.openxmlformats.org/officeDocument/2006/relationships/hyperlink" Target="https://lcsc.com/product-detail/schottky-diodes_mdd-microdiode-semiconductor-sk104c_C59500.html" TargetMode="External"/><Relationship Id="rId66" Type="http://schemas.openxmlformats.org/officeDocument/2006/relationships/hyperlink" Target="https://eu.mouser.com/ProductDetail/Same-Sky/TB008A-508-03BE?qs=vLWxofP3U2ySMdcVUeIORQ%3D%3D" TargetMode="External"/><Relationship Id="rId87" Type="http://schemas.openxmlformats.org/officeDocument/2006/relationships/hyperlink" Target="https://lcsc.com/product-detail/mosfets_infineon-irf3205strlpbf_C2613.html" TargetMode="External"/><Relationship Id="rId110" Type="http://schemas.openxmlformats.org/officeDocument/2006/relationships/hyperlink" Target="https://lcsc.com/product-detail/chip-resistor-surface-mount_yageo-rc0402jr-071kl_C105637.html" TargetMode="External"/><Relationship Id="rId115" Type="http://schemas.openxmlformats.org/officeDocument/2006/relationships/hyperlink" Target="https://lcsc.com/product-detail/chip-resistor-surface-mount_yageo-rc0603fr-071kl_C22548.html" TargetMode="External"/><Relationship Id="rId131" Type="http://schemas.openxmlformats.org/officeDocument/2006/relationships/hyperlink" Target="https://lcsc.com/product-detail/chip-resistor-surface-mount_yageo-rc0402fr-0747kl_C93943.html" TargetMode="External"/><Relationship Id="rId136" Type="http://schemas.openxmlformats.org/officeDocument/2006/relationships/hyperlink" Target="https://lcsc.com/product-detail/chip-resistor-surface-mount_yageo-rc0603fr-073k3l_C108078.html" TargetMode="External"/><Relationship Id="rId157" Type="http://schemas.openxmlformats.org/officeDocument/2006/relationships/hyperlink" Target="https://lcsc.com/product-detail/gate-drivers_ti-ucc27517dbvr_C99395.html" TargetMode="External"/><Relationship Id="rId178" Type="http://schemas.openxmlformats.org/officeDocument/2006/relationships/hyperlink" Target="https://lcsc.com/product-detail/Chip-Resistor-Surface-Mount_YAGEO-RC0402FR-072K7L_C138017.html?s_z=n_C138017" TargetMode="External"/><Relationship Id="rId61" Type="http://schemas.openxmlformats.org/officeDocument/2006/relationships/hyperlink" Target="https://lcsc.com/product-detail/wire-to-board-connector_molex-22112032_C505163.html" TargetMode="External"/><Relationship Id="rId82" Type="http://schemas.openxmlformats.org/officeDocument/2006/relationships/hyperlink" Target="https://lcsc.com/product-detail/buzzers_fengming-ys-sbz9032c03r16_C409828.html" TargetMode="External"/><Relationship Id="rId152" Type="http://schemas.openxmlformats.org/officeDocument/2006/relationships/hyperlink" Target="https://lcsc.com/product-detail/buffers-drivers-receivers-transceivers_ti-sn74lv1t34dbvr_C100024.html" TargetMode="External"/><Relationship Id="rId173" Type="http://schemas.openxmlformats.org/officeDocument/2006/relationships/hyperlink" Target="https://lcsc.com/product-detail/Chip-Resistor-Surface-Mount_YAGEO-RT0603BRB07120RL_C860088.html?s_z=n_C860088" TargetMode="External"/><Relationship Id="rId19" Type="http://schemas.openxmlformats.org/officeDocument/2006/relationships/hyperlink" Target="https://lcsc.com/product-detail/multilayer-ceramic-capacitors-mlcc-smd-smt_samsung-electro-mechanics-cl05b104kb54pnc_C307331.html" TargetMode="External"/><Relationship Id="rId14" Type="http://schemas.openxmlformats.org/officeDocument/2006/relationships/hyperlink" Target="https://lcsc.com/product-detail/multilayer-ceramic-capacitors-mlcc-smd-smt_yageo-cc0402jrx7r7bb104_C541464.html" TargetMode="External"/><Relationship Id="rId30" Type="http://schemas.openxmlformats.org/officeDocument/2006/relationships/hyperlink" Target="https://lcsc.com/product-detail/multilayer-ceramic-capacitors-mlcc-smd-smt_yageo-cc0603mrx5r6bb226_C109447.html" TargetMode="External"/><Relationship Id="rId35" Type="http://schemas.openxmlformats.org/officeDocument/2006/relationships/hyperlink" Target="https://lcsc.com/product-detail/multilayer-ceramic-capacitors-mlcc-smd-smt_yageo-cc0402krx5r8bb105_C326568.html" TargetMode="External"/><Relationship Id="rId56" Type="http://schemas.openxmlformats.org/officeDocument/2006/relationships/hyperlink" Target="https://www.digikey.com/en/products/detail/kyocera-avx/SCCU25B256SRB/6165963" TargetMode="External"/><Relationship Id="rId77" Type="http://schemas.openxmlformats.org/officeDocument/2006/relationships/hyperlink" Target="https://lcsc.com/product-detail/power-inductors_murata-dfe252012f-r47m-p2_C703140.html" TargetMode="External"/><Relationship Id="rId100" Type="http://schemas.openxmlformats.org/officeDocument/2006/relationships/hyperlink" Target="https://lcsc.com/product-detail/chip-resistor-surface-mount_uni-royal-0603waf2214t5e_C422956.html" TargetMode="External"/><Relationship Id="rId105" Type="http://schemas.openxmlformats.org/officeDocument/2006/relationships/hyperlink" Target="https://lcsc.com/product-detail/chip-resistor-surface-mount_koa-speer-elec-rk73g1jttd1002f_C362180.html" TargetMode="External"/><Relationship Id="rId126" Type="http://schemas.openxmlformats.org/officeDocument/2006/relationships/hyperlink" Target="https://lcsc.com/product-detail/chip-resistor-surface-mount_ever-ohms-tech-tr0603b499kp0525z_C149937.html" TargetMode="External"/><Relationship Id="rId147" Type="http://schemas.openxmlformats.org/officeDocument/2006/relationships/hyperlink" Target="https://lcsc.com/product-detail/dc-dc-converters_ti-mc34063adr_C100023.html" TargetMode="External"/><Relationship Id="rId168" Type="http://schemas.openxmlformats.org/officeDocument/2006/relationships/hyperlink" Target="https://lcsc.com/product-detail/Chip-Resistor-Surface-Mount_VISHAY-CRCW0603402KFKEA_C844562.html?s_z=n_CRCW0603402KFKEA" TargetMode="External"/><Relationship Id="rId8" Type="http://schemas.openxmlformats.org/officeDocument/2006/relationships/hyperlink" Target="https://lcsc.com/product-detail/aluminum-electrolytic-capacitors-smd_changzhou-huawei-elec-vt1h471mi135000ce0_C191227.html" TargetMode="External"/><Relationship Id="rId51" Type="http://schemas.openxmlformats.org/officeDocument/2006/relationships/hyperlink" Target="https://lcsc.com/product-detail/esd-and-surge-protection-tvs-esd_littelfuse-smbj12a_C151251.html" TargetMode="External"/><Relationship Id="rId72" Type="http://schemas.openxmlformats.org/officeDocument/2006/relationships/hyperlink" Target="https://lcsc.com/product-detail/inductors-smd_microgate-mgfl2012f100mt-lf_C281113.html" TargetMode="External"/><Relationship Id="rId93" Type="http://schemas.openxmlformats.org/officeDocument/2006/relationships/hyperlink" Target="https://lcsc.com/product-detail/chip-resistor-surface-mount_uni-royal-0603waf3601t5e_C22980.html" TargetMode="External"/><Relationship Id="rId98" Type="http://schemas.openxmlformats.org/officeDocument/2006/relationships/hyperlink" Target="https://lcsc.com/product-detail/chip-resistor-surface-mount_yageo-rt0603bre076k8l_C705876.html" TargetMode="External"/><Relationship Id="rId121" Type="http://schemas.openxmlformats.org/officeDocument/2006/relationships/hyperlink" Target="https://lcsc.com/product-detail/chip-resistor-surface-mount_yageo-rt0402brd0736kl_C852742.html" TargetMode="External"/><Relationship Id="rId142" Type="http://schemas.openxmlformats.org/officeDocument/2006/relationships/hyperlink" Target="https://lcsc.com/product-detail/chip-resistor-surface-mount_yageo-rc0603fr-07100rl_C105588.html" TargetMode="External"/><Relationship Id="rId163" Type="http://schemas.openxmlformats.org/officeDocument/2006/relationships/hyperlink" Target="https://lcsc.com/product-detail/Chip-Resistor-Surface-Mount_YAGEO-RT0603BRD073K3L_C309653.html?s_z=n_C309653" TargetMode="External"/><Relationship Id="rId3" Type="http://schemas.openxmlformats.org/officeDocument/2006/relationships/hyperlink" Target="https://lcsc.com/product-detail/multilayer-ceramic-capacitors-mlcc-smd-smt_yageo-cc0402grnpo9bn300_C277479.html" TargetMode="External"/><Relationship Id="rId25" Type="http://schemas.openxmlformats.org/officeDocument/2006/relationships/hyperlink" Target="https://lcsc.com/product-detail/Aluminum-Electrolytic-Capacitors-SMD_DMBJ-RVT1E100M0405-10UF-25V_C970655.html?s_z=n_C970655" TargetMode="External"/><Relationship Id="rId46" Type="http://schemas.openxmlformats.org/officeDocument/2006/relationships/hyperlink" Target="https://lcsc.com/product-detail/schottky-diodes_onsemi-fsv20150v_C606024.html" TargetMode="External"/><Relationship Id="rId67" Type="http://schemas.openxmlformats.org/officeDocument/2006/relationships/hyperlink" Target="https://lcsc.com/product-detail/wire-to-board-connector_hctl-hc-1-25-6plt_C2845392.html" TargetMode="External"/><Relationship Id="rId116" Type="http://schemas.openxmlformats.org/officeDocument/2006/relationships/hyperlink" Target="https://lcsc.com/product-detail/chip-resistor-surface-mount_yageo-rt0603brd077k5l_C728597.html" TargetMode="External"/><Relationship Id="rId137" Type="http://schemas.openxmlformats.org/officeDocument/2006/relationships/hyperlink" Target="https://lcsc.com/product-detail/chip-resistor-surface-mount_vishay-crcw06031m82fkea_C2076849.html" TargetMode="External"/><Relationship Id="rId158" Type="http://schemas.openxmlformats.org/officeDocument/2006/relationships/hyperlink" Target="https://lcsc.com/product-detail/human-body-sensing-sensor_senba-sensing-tech-as312_C90465.html" TargetMode="External"/><Relationship Id="rId20" Type="http://schemas.openxmlformats.org/officeDocument/2006/relationships/hyperlink" Target="https://lcsc.com/product-detail/multilayer-ceramic-capacitors-mlcc-smd-smt_tdk-c1608x5r1e106m080ac_C2168289.html" TargetMode="External"/><Relationship Id="rId41" Type="http://schemas.openxmlformats.org/officeDocument/2006/relationships/hyperlink" Target="https://lcsc.com/product-detail/zener-diodes_eic-semicon-mm3z3v3b_C2978865.html" TargetMode="External"/><Relationship Id="rId62" Type="http://schemas.openxmlformats.org/officeDocument/2006/relationships/hyperlink" Target="https://lcsc.com/product-detail/wire-to-board-connector_molex-22112022_C505162.html" TargetMode="External"/><Relationship Id="rId83" Type="http://schemas.openxmlformats.org/officeDocument/2006/relationships/hyperlink" Target="https://lcsc.com/product-detail/LED-Indication-Discrete_Amicc-A-SP194DR5C-C01-4T_C19171329.html" TargetMode="External"/><Relationship Id="rId88" Type="http://schemas.openxmlformats.org/officeDocument/2006/relationships/hyperlink" Target="https://lcsc.com/product-detail/mosfets_tech-public-irlml6402trpbf_C5182043.html" TargetMode="External"/><Relationship Id="rId111" Type="http://schemas.openxmlformats.org/officeDocument/2006/relationships/hyperlink" Target="https://lcsc.com/product-detail/chip-resistor-surface-mount_yageo-rc0603jr-070rl_C95177.html" TargetMode="External"/><Relationship Id="rId132" Type="http://schemas.openxmlformats.org/officeDocument/2006/relationships/hyperlink" Target="https://lcsc.com/product-detail/chip-resistor-surface-mount_yageo-rc1206fr-7w1kl_C859155.html" TargetMode="External"/><Relationship Id="rId153" Type="http://schemas.openxmlformats.org/officeDocument/2006/relationships/hyperlink" Target="https://lcsc.com/product-detail/transistor-photovoltaic-output-optoisolators_renesas-ps2801c-1-f3-a_C67112.html" TargetMode="External"/><Relationship Id="rId174" Type="http://schemas.openxmlformats.org/officeDocument/2006/relationships/hyperlink" Target="https://lcsc.com/product-detail/Chip-Resistor-Surface-Mount_YAGEO-RC0402FR-071ML_C138033.html?s_z=n_C138033" TargetMode="External"/><Relationship Id="rId179" Type="http://schemas.openxmlformats.org/officeDocument/2006/relationships/hyperlink" Target="https://www.digikey.com/en/products/detail/texas-instruments/TPS2117DRLR/21737520?s=N4IgTCBcDaICoAUDKYCMqDsARASgGRxAF0BfIA" TargetMode="External"/><Relationship Id="rId15" Type="http://schemas.openxmlformats.org/officeDocument/2006/relationships/hyperlink" Target="https://lcsc.com/product-detail/multilayer-ceramic-capacitors-mlcc-smd-smt_murata-grm188r6ya106ma73d_C194427.html" TargetMode="External"/><Relationship Id="rId36" Type="http://schemas.openxmlformats.org/officeDocument/2006/relationships/hyperlink" Target="https://lcsc.com/product-detail/multilayer-ceramic-capacitors-mlcc-smd-smt_yageo-cc0805kkx5r8bb106_C89831.html" TargetMode="External"/><Relationship Id="rId57" Type="http://schemas.openxmlformats.org/officeDocument/2006/relationships/hyperlink" Target="https://lcsc.com/product-detail/Pin-Headers_Amphenol-20021121-00010C4LF_C150517.html?s_z=n_C150517" TargetMode="External"/><Relationship Id="rId106" Type="http://schemas.openxmlformats.org/officeDocument/2006/relationships/hyperlink" Target="https://lcsc.com/product-detail/chip-resistor-surface-mount_yageo-rc0603dr-07150rl_C471801.html" TargetMode="External"/><Relationship Id="rId127" Type="http://schemas.openxmlformats.org/officeDocument/2006/relationships/hyperlink" Target="https://lcsc.com/product-detail/chip-resistor-surface-mount_yageo-rt0402brd0786k6l_C852935.html" TargetMode="External"/><Relationship Id="rId10" Type="http://schemas.openxmlformats.org/officeDocument/2006/relationships/hyperlink" Target="https://lcsc.com/product-detail/multilayer-ceramic-capacitors-mlcc-smd-smt_yageo-cc0201jrnpo9bn150_C277480.html" TargetMode="External"/><Relationship Id="rId31" Type="http://schemas.openxmlformats.org/officeDocument/2006/relationships/hyperlink" Target="https://lcsc.com/product-detail/multilayer-ceramic-capacitors-mlcc-smd-smt_murata-grm155r61e225ke11d_C385032.html" TargetMode="External"/><Relationship Id="rId52" Type="http://schemas.openxmlformats.org/officeDocument/2006/relationships/hyperlink" Target="https://lcsc.com/product-detail/schottky-diodes_diodes-1n5819hw-7-f_C82544.html" TargetMode="External"/><Relationship Id="rId73" Type="http://schemas.openxmlformats.org/officeDocument/2006/relationships/hyperlink" Target="https://lcsc.com/product-detail/power-inductors_tdk-slf12575t-221m1r3-pf_C93225.html" TargetMode="External"/><Relationship Id="rId78" Type="http://schemas.openxmlformats.org/officeDocument/2006/relationships/hyperlink" Target="https://www.digikey.com/en/products/detail/sunled/XZMDK68W-2/4745956?s=N4IgTCBcDaIBoC0CyARA0gNgBwHUC0EAugL5A" TargetMode="External"/><Relationship Id="rId94" Type="http://schemas.openxmlformats.org/officeDocument/2006/relationships/hyperlink" Target="https://lcsc.com/product-detail/chip-resistor-surface-mount_ralec-rtt03r330ftp_C103893.html" TargetMode="External"/><Relationship Id="rId99" Type="http://schemas.openxmlformats.org/officeDocument/2006/relationships/hyperlink" Target="https://lcsc.com/product-detail/chip-resistor-surface-mount_yageo-rc0603fr-0720kl_C105575.html" TargetMode="External"/><Relationship Id="rId101" Type="http://schemas.openxmlformats.org/officeDocument/2006/relationships/hyperlink" Target="https://lcsc.com/product-detail/chip-resistor-surface-mount_yageo-rc0603fr-0715kl_C114661.html" TargetMode="External"/><Relationship Id="rId122" Type="http://schemas.openxmlformats.org/officeDocument/2006/relationships/hyperlink" Target="https://lcsc.com/product-detail/chip-resistor-surface-mount_yageo-at0603brd0713k7l_C855608.html" TargetMode="External"/><Relationship Id="rId143" Type="http://schemas.openxmlformats.org/officeDocument/2006/relationships/hyperlink" Target="https://lcsc.com/product-detail/chip-resistor-surface-mount_koa-speer-elec-rk73g1jttd1002f_C362180.html" TargetMode="External"/><Relationship Id="rId148" Type="http://schemas.openxmlformats.org/officeDocument/2006/relationships/hyperlink" Target="https://lcsc.com/product-detail/voltage-regulators-linear-low-drop-out-ldo-regulators_ti-lms8117amp-3-3-nopb_C201952.html" TargetMode="External"/><Relationship Id="rId164" Type="http://schemas.openxmlformats.org/officeDocument/2006/relationships/hyperlink" Target="https://lcsc.com/product-detail/Chip-Resistor-Surface-Mount_YAGEO-RC0201JR-07470RL_C163491.html?s_z=n_C163491" TargetMode="External"/><Relationship Id="rId169" Type="http://schemas.openxmlformats.org/officeDocument/2006/relationships/hyperlink" Target="https://lcsc.com/product-detail/Chip-Resistor-Surface-Mount_YAGEO-RC0603FR-07845KL_C246013.html?s_z=n_RC0603FR-07845KL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multilayer-ceramic-capacitors-mlcc-smd-smt_yageo-cc0603krx7r9bb471_C107092.html" TargetMode="External"/><Relationship Id="rId180" Type="http://schemas.openxmlformats.org/officeDocument/2006/relationships/hyperlink" Target="https://lcsc.com/product-detail/Voltage-Regulators-Linear-Low-Drop-Out-LDO-Regulators_ST-LD56100DPU33R_C2969937.html?s_z=n_C2969937" TargetMode="External"/><Relationship Id="rId26" Type="http://schemas.openxmlformats.org/officeDocument/2006/relationships/hyperlink" Target="https://lcsc.com/product-detail/multilayer-ceramic-capacitors-mlcc-smd-smt_murata-grm033c81e104ke14d_C181047.html" TargetMode="External"/><Relationship Id="rId47" Type="http://schemas.openxmlformats.org/officeDocument/2006/relationships/hyperlink" Target="https://lcsc.com/product-detail/schottky-diodes_diodes-zlls350ta_C139441.html" TargetMode="External"/><Relationship Id="rId68" Type="http://schemas.openxmlformats.org/officeDocument/2006/relationships/hyperlink" Target="https://lcsc.com/product-detail/wire-to-board-connector_hctl-hc-1-25-16plt_C3012301.html" TargetMode="External"/><Relationship Id="rId89" Type="http://schemas.openxmlformats.org/officeDocument/2006/relationships/hyperlink" Target="https://lcsc.com/product-detail/bipolar-bjt_diodes-mmbt2222a-7-f_C94515.html" TargetMode="External"/><Relationship Id="rId112" Type="http://schemas.openxmlformats.org/officeDocument/2006/relationships/hyperlink" Target="https://lcsc.com/product-detail/chip-resistor-surface-mount_yageo-rc0603jr-070rl_C95177.html" TargetMode="External"/><Relationship Id="rId133" Type="http://schemas.openxmlformats.org/officeDocument/2006/relationships/hyperlink" Target="https://lcsc.com/product-detail/chip-resistor-surface-mount_yageo-rt0603bre0763k4l_C862245.html" TargetMode="External"/><Relationship Id="rId154" Type="http://schemas.openxmlformats.org/officeDocument/2006/relationships/hyperlink" Target="https://lcsc.com/product-detail/battery-management_ti-bq24650rvar_C53712.html" TargetMode="External"/><Relationship Id="rId175" Type="http://schemas.openxmlformats.org/officeDocument/2006/relationships/hyperlink" Target="https://lcsc.com/product-detail/Chip-Resistor-Surface-Mount_YAGEO-RC0402FR-075K1L_C105872.html?s_z=n_C105872" TargetMode="External"/><Relationship Id="rId16" Type="http://schemas.openxmlformats.org/officeDocument/2006/relationships/hyperlink" Target="https://lcsc.com/product-detail/multilayer-ceramic-capacitors-mlcc-smd-smt_tdk-c2012x5r1v226mt000e_C338080.html" TargetMode="External"/><Relationship Id="rId37" Type="http://schemas.openxmlformats.org/officeDocument/2006/relationships/hyperlink" Target="https://lcsc.com/product-detail/schottky-diodes_guangdong-hottech-ss24a_C2886579.html" TargetMode="External"/><Relationship Id="rId58" Type="http://schemas.openxmlformats.org/officeDocument/2006/relationships/hyperlink" Target="https://eu.mouser.com/ProductDetail/Same-Sky/TB008A-508-02BE?qs=vLWxofP3U2w5I2Hxj8y2hQ%3D%3D" TargetMode="External"/><Relationship Id="rId79" Type="http://schemas.openxmlformats.org/officeDocument/2006/relationships/hyperlink" Target="https://lcsc.com/product-detail/ambient-light-sensors_everlight-als-pt19-315c-l177-tr8_C146233.html" TargetMode="External"/><Relationship Id="rId102" Type="http://schemas.openxmlformats.org/officeDocument/2006/relationships/hyperlink" Target="https://lcsc.com/product-detail/chip-resistor-surface-mount_yageo-rc0603dr-073k3l_C723574.html" TargetMode="External"/><Relationship Id="rId123" Type="http://schemas.openxmlformats.org/officeDocument/2006/relationships/hyperlink" Target="https://lcsc.com/product-detail/chip-resistor-surface-mount_yageo-rc0402fr-070rl_C106231.html" TargetMode="External"/><Relationship Id="rId144" Type="http://schemas.openxmlformats.org/officeDocument/2006/relationships/hyperlink" Target="https://lcsc.com/product-detail/tactile-switches_e-switch-tl3300cf160q_C273516.html" TargetMode="External"/><Relationship Id="rId90" Type="http://schemas.openxmlformats.org/officeDocument/2006/relationships/hyperlink" Target="https://lcsc.com/product-detail/mosfets_tech-public-si2302cds_C5310968.html" TargetMode="External"/><Relationship Id="rId165" Type="http://schemas.openxmlformats.org/officeDocument/2006/relationships/hyperlink" Target="https://lcsc.com/product-detail/Chip-Resistor-Surface-Mount_UNI-ROYAL-25121WJ0000T4E_C25469.html?s_z=n_C25469" TargetMode="External"/><Relationship Id="rId27" Type="http://schemas.openxmlformats.org/officeDocument/2006/relationships/hyperlink" Target="https://lcsc.com/product-detail/multilayer-ceramic-capacitors-mlcc-smd-smt_tdk-c3216x5r1e476m160ac_C2167787.html" TargetMode="External"/><Relationship Id="rId48" Type="http://schemas.openxmlformats.org/officeDocument/2006/relationships/hyperlink" Target="https://lcsc.com/product-detail/esd-and-surge-protection-tvs-esd_lrc-lesd8d3-3cat5g_C172409.html" TargetMode="External"/><Relationship Id="rId69" Type="http://schemas.openxmlformats.org/officeDocument/2006/relationships/hyperlink" Target="https://lcsc.com/product-detail/sd-card-memory-card-connector_hrs-dm3bt-dsf-pejs_C597972.html" TargetMode="External"/><Relationship Id="rId113" Type="http://schemas.openxmlformats.org/officeDocument/2006/relationships/hyperlink" Target="https://lcsc.com/product-detail/chip-resistor-surface-mount_yageo-rt0603brd0720kl_C723637.html" TargetMode="External"/><Relationship Id="rId134" Type="http://schemas.openxmlformats.org/officeDocument/2006/relationships/hyperlink" Target="https://lcsc.com/product-detail/chip-resistor-surface-mount_yageo-rc0603fr-07470rl_C114669.html" TargetMode="External"/><Relationship Id="rId80" Type="http://schemas.openxmlformats.org/officeDocument/2006/relationships/hyperlink" Target="https://lcsc.com/product-detail/led-indication-discrete_foshan-nationstar-optoelectronics-ncd0603r3_C3151730.html" TargetMode="External"/><Relationship Id="rId155" Type="http://schemas.openxmlformats.org/officeDocument/2006/relationships/hyperlink" Target="https://lcsc.com/product-detail/comparators_ti-tps3700ddcr_C33002.html" TargetMode="External"/><Relationship Id="rId176" Type="http://schemas.openxmlformats.org/officeDocument/2006/relationships/hyperlink" Target="https://lcsc.com/product-detail/Chip-Resistor-Surface-Mount_YAGEO-RC0603FR-07120RL_C114640.html?s_z=n_C114640" TargetMode="External"/><Relationship Id="rId17" Type="http://schemas.openxmlformats.org/officeDocument/2006/relationships/hyperlink" Target="https://lcsc.com/product-detail/aluminum-electrolytic-capacitors-smd_nichicon-uud1a102mnl1gs_C445277.html" TargetMode="External"/><Relationship Id="rId38" Type="http://schemas.openxmlformats.org/officeDocument/2006/relationships/hyperlink" Target="https://lcsc.com/product-detail/zener-diodes_onsemi-1sma5930bt3g_C128848.html" TargetMode="External"/><Relationship Id="rId59" Type="http://schemas.openxmlformats.org/officeDocument/2006/relationships/hyperlink" Target="https://eu.mouser.com/ProductDetail/Same-Sky/TB008A-508-04BE?qs=vLWxofP3U2wE%252BeCFz1tLxg%3D%3D" TargetMode="External"/><Relationship Id="rId103" Type="http://schemas.openxmlformats.org/officeDocument/2006/relationships/hyperlink" Target="https://lcsc.com/product-detail/chip-resistor-surface-mount_yageo-rc0603fr-07680rl_C112310.html" TargetMode="External"/><Relationship Id="rId124" Type="http://schemas.openxmlformats.org/officeDocument/2006/relationships/hyperlink" Target="https://lcsc.com/product-detail/chip-resistor-surface-mount_yageo-rc0805fr-075k23l_C274009.html" TargetMode="External"/><Relationship Id="rId70" Type="http://schemas.openxmlformats.org/officeDocument/2006/relationships/hyperlink" Target="https://eu.mouser.com/ProductDetail/Same-Sky/TB008A-508-04BE?qs=vLWxofP3U2wE%252BeCFz1tLxg%3D%3D" TargetMode="External"/><Relationship Id="rId91" Type="http://schemas.openxmlformats.org/officeDocument/2006/relationships/hyperlink" Target="https://lcsc.com/product-detail/mosfets_guangdong-hottech-ao3407_C181093.html" TargetMode="External"/><Relationship Id="rId145" Type="http://schemas.openxmlformats.org/officeDocument/2006/relationships/hyperlink" Target="https://lcsc.com/product-detail/slide-switches_g-switch-ss-12d02-g040_C2876023.html" TargetMode="External"/><Relationship Id="rId166" Type="http://schemas.openxmlformats.org/officeDocument/2006/relationships/hyperlink" Target="https://lcsc.com/product-detail/Chip-Resistor-Surface-Mount_YAGEO-RC0201FR-0710KL_C106225.html?s_z=n_C106225" TargetMode="External"/><Relationship Id="rId1" Type="http://schemas.openxmlformats.org/officeDocument/2006/relationships/hyperlink" Target="https://lcsc.com/product-detail/multilayer-ceramic-capacitors-mlcc-smd-smt_yageo-cc1206kkx7r0bb104_C107181.html" TargetMode="External"/><Relationship Id="rId28" Type="http://schemas.openxmlformats.org/officeDocument/2006/relationships/hyperlink" Target="https://lcsc.com/product-detail/multilayer-ceramic-capacitors-mlcc-smd-smt_yageo-cc0603krx5r9bb474_C513651.html" TargetMode="External"/><Relationship Id="rId49" Type="http://schemas.openxmlformats.org/officeDocument/2006/relationships/hyperlink" Target="https://lcsc.com/product-detail/diodes-general-purpose_twgmc-1n4007_C727081.html" TargetMode="External"/><Relationship Id="rId114" Type="http://schemas.openxmlformats.org/officeDocument/2006/relationships/hyperlink" Target="https://lcsc.com/product-detail/chip-resistor-surface-mount_yageo-rc0805fr-07100kl_C96346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csc.com/product-detail/chip-resistor-surface-mount_vishay-rca0603100rfkeahp_C2074203.html" TargetMode="External"/><Relationship Id="rId21" Type="http://schemas.openxmlformats.org/officeDocument/2006/relationships/hyperlink" Target="https://lcsc.com/product-detail/multilayer-ceramic-capacitors-mlcc-smd-smt_murata-grm155r62a104ke14d_C162178.html" TargetMode="External"/><Relationship Id="rId42" Type="http://schemas.openxmlformats.org/officeDocument/2006/relationships/hyperlink" Target="https://lcsc.com/product-detail/esd-and-surge-protection-tvs-esd_brightking-smbj70a-tr13_C309982.html" TargetMode="External"/><Relationship Id="rId63" Type="http://schemas.openxmlformats.org/officeDocument/2006/relationships/hyperlink" Target="https://lcsc.com/product-detail/wire-to-board-connector_hctl-hc-1-25-12plt_C2937190.html" TargetMode="External"/><Relationship Id="rId84" Type="http://schemas.openxmlformats.org/officeDocument/2006/relationships/hyperlink" Target="https://lcsc.com/product-detail/mosfets_willsemi-wnm2016a-3-tr_C601105.html" TargetMode="External"/><Relationship Id="rId138" Type="http://schemas.openxmlformats.org/officeDocument/2006/relationships/hyperlink" Target="https://lcsc.com/product-detail/chip-resistor-surface-mount_yageo-rc0402fr-071kl_C106235.html" TargetMode="External"/><Relationship Id="rId159" Type="http://schemas.openxmlformats.org/officeDocument/2006/relationships/hyperlink" Target="https://lcsc.com/product-detail/mosfets_allpower-shenzhen-quan-li-semiconductor-ap4008qd_C2828588.html" TargetMode="External"/><Relationship Id="rId170" Type="http://schemas.openxmlformats.org/officeDocument/2006/relationships/hyperlink" Target="https://lcsc.com/product-detail/Chip-Resistor-Surface-Mount_YAGEO-RC0603FR-07499KL_C131054.html?s_z=n_C131054" TargetMode="External"/><Relationship Id="rId107" Type="http://schemas.openxmlformats.org/officeDocument/2006/relationships/hyperlink" Target="https://lcsc.com/product-detail/chip-resistor-surface-mount_yageo-rc0603fr-072k2l_C114662.html" TargetMode="External"/><Relationship Id="rId11" Type="http://schemas.openxmlformats.org/officeDocument/2006/relationships/hyperlink" Target="https://lcsc.com/product-detail/multilayer-ceramic-capacitors-mlcc-smd-smt_yageo-cc0603krx7r9bb105_C559769.html" TargetMode="External"/><Relationship Id="rId32" Type="http://schemas.openxmlformats.org/officeDocument/2006/relationships/hyperlink" Target="https://lcsc.com/product-detail/multilayer-ceramic-capacitors-mlcc-smd-smt_yageo-cc0603krx5r9bb104_C110022.html" TargetMode="External"/><Relationship Id="rId53" Type="http://schemas.openxmlformats.org/officeDocument/2006/relationships/hyperlink" Target="https://lcsc.com/product-detail/esd-and-surge-protection-tvs-esd_mdd-microdiode-semiconductor-esd5z3-3c_C502551.html" TargetMode="External"/><Relationship Id="rId74" Type="http://schemas.openxmlformats.org/officeDocument/2006/relationships/hyperlink" Target="https://lcsc.com/product-detail/power-inductors_yjycoin-yprh0704-4r7m_C514806.html" TargetMode="External"/><Relationship Id="rId128" Type="http://schemas.openxmlformats.org/officeDocument/2006/relationships/hyperlink" Target="https://lcsc.com/product-detail/chip-resistor-surface-mount_yageo-rc2512jk-070rl_C189505.html" TargetMode="External"/><Relationship Id="rId149" Type="http://schemas.openxmlformats.org/officeDocument/2006/relationships/hyperlink" Target="https://lcsc.com/product-detail/dc-dc-converters_maxim-max38889aate_C5155969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95" Type="http://schemas.openxmlformats.org/officeDocument/2006/relationships/hyperlink" Target="https://lcsc.com/product-detail/chip-resistor-surface-mount_yageo-rc0603fr-071k2l_C114605.html" TargetMode="External"/><Relationship Id="rId160" Type="http://schemas.openxmlformats.org/officeDocument/2006/relationships/hyperlink" Target="https://lcsc.com/product-detail/microcontrollers-mcu-mpu-soc_st-stm32h723zgt6_C730146.html" TargetMode="External"/><Relationship Id="rId181" Type="http://schemas.openxmlformats.org/officeDocument/2006/relationships/hyperlink" Target="https://www.digikey.com/en/products/detail/panasonic-electronic-components/EEE-FK1E101AP/1141973?s=N4IgTCBcDaIKIIGIGkCMdUAZUEEAKIAugL5A" TargetMode="External"/><Relationship Id="rId22" Type="http://schemas.openxmlformats.org/officeDocument/2006/relationships/hyperlink" Target="https://lcsc.com/product-detail/tantalum-capacitors_kyocera-avx-taje337m016rnj_C51599.html" TargetMode="External"/><Relationship Id="rId43" Type="http://schemas.openxmlformats.org/officeDocument/2006/relationships/hyperlink" Target="https://lcsc.com/product-detail/schottky-diodes_juxing-ss510b_C3011128.html" TargetMode="External"/><Relationship Id="rId64" Type="http://schemas.openxmlformats.org/officeDocument/2006/relationships/hyperlink" Target="https://lcsc.com/product-detail/pin-headers_boomele-boom-precision-elec-1-27-1-2p_C703015.html" TargetMode="External"/><Relationship Id="rId118" Type="http://schemas.openxmlformats.org/officeDocument/2006/relationships/hyperlink" Target="https://lcsc.com/product-detail/chip-resistor-surface-mount_yageo-rc0603fr-07200kl_C105574.html" TargetMode="External"/><Relationship Id="rId139" Type="http://schemas.openxmlformats.org/officeDocument/2006/relationships/hyperlink" Target="https://lcsc.com/product-detail/chip-resistor-surface-mount_yageo-rc1206jr-070rl_C108081.html" TargetMode="External"/><Relationship Id="rId85" Type="http://schemas.openxmlformats.org/officeDocument/2006/relationships/hyperlink" Target="https://lcsc.com/product-detail/bipolar-bjt_goodwork-mmbt5551_C909756.html" TargetMode="External"/><Relationship Id="rId150" Type="http://schemas.openxmlformats.org/officeDocument/2006/relationships/hyperlink" Target="https://lcsc.com/product-detail/gate-drivers_onsemi-ncp81071adr2g_C603796.html" TargetMode="External"/><Relationship Id="rId171" Type="http://schemas.openxmlformats.org/officeDocument/2006/relationships/hyperlink" Target="https://lcsc.com/product-detail/Chip-Resistor-Surface-Mount_VISHAY-CRCW060333K0JNEA_C4342762.html?s_z=n_C4342762" TargetMode="External"/><Relationship Id="rId12" Type="http://schemas.openxmlformats.org/officeDocument/2006/relationships/hyperlink" Target="https://lcsc.com/product-detail/multilayer-ceramic-capacitors-mlcc-smd-smt_yageo-cc1206jrx7r0bb473_C577197.html" TargetMode="External"/><Relationship Id="rId33" Type="http://schemas.openxmlformats.org/officeDocument/2006/relationships/hyperlink" Target="https://lcsc.com/product-detail/multilayer-ceramic-capacitors-mlcc-smd-smt_yageo-cc0402krx7r8bb104_C105883.html" TargetMode="External"/><Relationship Id="rId108" Type="http://schemas.openxmlformats.org/officeDocument/2006/relationships/hyperlink" Target="https://lcsc.com/product-detail/chip-resistor-surface-mount_yageo-rc0603fr-0710kl_C98220.html" TargetMode="External"/><Relationship Id="rId129" Type="http://schemas.openxmlformats.org/officeDocument/2006/relationships/hyperlink" Target="https://lcsc.com/product-detail/chip-resistor-surface-mount_yageo-rc0402fr-072r2l_C327251.html" TargetMode="External"/><Relationship Id="rId54" Type="http://schemas.openxmlformats.org/officeDocument/2006/relationships/hyperlink" Target="https://lcsc.com/product-detail/zener-diodes_diodes-mmsz5242bs-7-f_C151457.html" TargetMode="External"/><Relationship Id="rId75" Type="http://schemas.openxmlformats.org/officeDocument/2006/relationships/hyperlink" Target="https://lcsc.com/product-detail/power-inductors_yjycoin-ynr4018-220m_C340373.html" TargetMode="External"/><Relationship Id="rId96" Type="http://schemas.openxmlformats.org/officeDocument/2006/relationships/hyperlink" Target="https://lcsc.com/product-detail/chip-resistor-surface-mount_yageo-rc0603fr-074k7l_C99782.html" TargetMode="External"/><Relationship Id="rId140" Type="http://schemas.openxmlformats.org/officeDocument/2006/relationships/hyperlink" Target="https://lcsc.com/product-detail/current-sense-resistors-shunt-resistors_milliohm-hollr2512-3w-4mr-1_C2994642.html" TargetMode="External"/><Relationship Id="rId161" Type="http://schemas.openxmlformats.org/officeDocument/2006/relationships/hyperlink" Target="https://www.aliexpress.com/item/1005006126995090.html?spm=a2g0o.productlist.main.1.2fb61b64LEMJTS&amp;algo_pvid=02748f94-8baa-4610-90b6-7329641bb158&amp;algo_exp_id=02748f94-8baa-4610-90b6-7329641bb158-0&amp;pdp_ext_f=%7B%22order%22%3A%22476%22%2C%22eval%22%3A%221%22" TargetMode="External"/><Relationship Id="rId182" Type="http://schemas.openxmlformats.org/officeDocument/2006/relationships/hyperlink" Target="https://www.digikey.com/en/products/detail/infineon-technologies/BSC028N06NSATMA1/3719793?s=N4IgTCBcDaIEIGUDCAGMAOAcigbJhAggCoCyBAjCALoC%2BQA" TargetMode="External"/><Relationship Id="rId6" Type="http://schemas.openxmlformats.org/officeDocument/2006/relationships/hyperlink" Target="https://lcsc.com/product-detail/multilayer-ceramic-capacitors-mlcc-smd-smt_tdk-c1005c0g1e102jt000f_C343059.html" TargetMode="External"/><Relationship Id="rId23" Type="http://schemas.openxmlformats.org/officeDocument/2006/relationships/hyperlink" Target="https://lcsc.com/product-detail/tantalum-capacitors_kyocera-avx-tajb107m010rnj_C7196.html" TargetMode="External"/><Relationship Id="rId119" Type="http://schemas.openxmlformats.org/officeDocument/2006/relationships/hyperlink" Target="https://lcsc.com/product-detail/chip-resistor-surface-mount_yageo-rc0805fr-0710rl_C96347.html" TargetMode="External"/><Relationship Id="rId44" Type="http://schemas.openxmlformats.org/officeDocument/2006/relationships/hyperlink" Target="https://lcsc.com/product-detail/switching-diodes_diodes-1n4148w-7-f_C83528.html" TargetMode="External"/><Relationship Id="rId60" Type="http://schemas.openxmlformats.org/officeDocument/2006/relationships/hyperlink" Target="https://lcsc.com/product-detail/usb-connectors_amphenol-10118194-0001lf_C132563.html" TargetMode="External"/><Relationship Id="rId65" Type="http://schemas.openxmlformats.org/officeDocument/2006/relationships/hyperlink" Target="https://lcsc.com/product-detail/coaxial-connectors-rf_hj-tech-hj-sma508_C1509209.html" TargetMode="External"/><Relationship Id="rId81" Type="http://schemas.openxmlformats.org/officeDocument/2006/relationships/hyperlink" Target="https://lcsc.com/product-detail/led-indication-discrete_everlight-16-213-ghc-yr1s1-3t_C74338.html" TargetMode="External"/><Relationship Id="rId86" Type="http://schemas.openxmlformats.org/officeDocument/2006/relationships/hyperlink" Target="https://lcsc.com/product-detail/mosfets_diodes-dmn13h750s-7_C156273.html" TargetMode="External"/><Relationship Id="rId130" Type="http://schemas.openxmlformats.org/officeDocument/2006/relationships/hyperlink" Target="https://lcsc.com/product-detail/chip-resistor-surface-mount_yageo-rc0201jr-07100kl_C106230.html" TargetMode="External"/><Relationship Id="rId135" Type="http://schemas.openxmlformats.org/officeDocument/2006/relationships/hyperlink" Target="https://lcsc.com/product-detail/chip-resistor-surface-mount_yageo-rc0402fr-0710kl_C60490.html" TargetMode="External"/><Relationship Id="rId151" Type="http://schemas.openxmlformats.org/officeDocument/2006/relationships/hyperlink" Target="https://lcsc.com/product-detail/oring-controllers_adi-ltc4359cms8-pbf_C190259.html" TargetMode="External"/><Relationship Id="rId156" Type="http://schemas.openxmlformats.org/officeDocument/2006/relationships/hyperlink" Target="https://lcsc.com/product-detail/voltage-regulators-linear-low-drop-out-ldo-regulators_microchip-mic29302wu-tr_C11149.html" TargetMode="External"/><Relationship Id="rId177" Type="http://schemas.openxmlformats.org/officeDocument/2006/relationships/hyperlink" Target="https://lcsc.com/product-detail/Chip-Resistor-Surface-Mount_YAGEO-AT0402BRD0751KL_C5455493.html?s_z=n_C5455493" TargetMode="External"/><Relationship Id="rId172" Type="http://schemas.openxmlformats.org/officeDocument/2006/relationships/hyperlink" Target="https://lcsc.com/product-detail/Chip-Resistor-Surface-Mount_YAGEO-RT0603BRD07100KL_C122538.html?s_z=n_C122538" TargetMode="External"/><Relationship Id="rId13" Type="http://schemas.openxmlformats.org/officeDocument/2006/relationships/hyperlink" Target="https://lcsc.com/product-detail/multilayer-ceramic-capacitors-mlcc-smd-smt_yageo-cc0402krx5r7bb104_C106204.html" TargetMode="External"/><Relationship Id="rId18" Type="http://schemas.openxmlformats.org/officeDocument/2006/relationships/hyperlink" Target="https://lcsc.com/product-detail/multilayer-ceramic-capacitors-mlcc-smd-smt_yageo-cc0603krx5r7bb106_C2936601.html" TargetMode="External"/><Relationship Id="rId39" Type="http://schemas.openxmlformats.org/officeDocument/2006/relationships/hyperlink" Target="https://lcsc.com/product-detail/esd-and-surge-protection-tvs-esd_ftr-smaj5-0ca_C693487.html" TargetMode="External"/><Relationship Id="rId109" Type="http://schemas.openxmlformats.org/officeDocument/2006/relationships/hyperlink" Target="https://lcsc.com/product-detail/chip-resistor-surface-mount_yageo-rc0603fr-0747rl_C114623.html" TargetMode="External"/><Relationship Id="rId34" Type="http://schemas.openxmlformats.org/officeDocument/2006/relationships/hyperlink" Target="https://lcsc.com/product-detail/multilayer-ceramic-capacitors-mlcc-smd-smt_taiyo-yuden-emk212bb7106mg-t_C141287.html" TargetMode="External"/><Relationship Id="rId50" Type="http://schemas.openxmlformats.org/officeDocument/2006/relationships/hyperlink" Target="https://lcsc.com/product-detail/esd-and-surge-protection-tvs-esd_tech-public-sm712_C521963.html" TargetMode="External"/><Relationship Id="rId55" Type="http://schemas.openxmlformats.org/officeDocument/2006/relationships/hyperlink" Target="https://lcsc.com/product-detail/screw-terminal-blocks_dorabo-db135-10-16-2p-gn-p_C2981775.html" TargetMode="External"/><Relationship Id="rId76" Type="http://schemas.openxmlformats.org/officeDocument/2006/relationships/hyperlink" Target="https://lcsc.com/product-detail/power-inductors_bourns-srn3015c-2r2m_C5375084.html" TargetMode="External"/><Relationship Id="rId97" Type="http://schemas.openxmlformats.org/officeDocument/2006/relationships/hyperlink" Target="https://lcsc.com/product-detail/chip-resistor-surface-mount_yageo-rt0603brd074k7l_C513565.html" TargetMode="External"/><Relationship Id="rId104" Type="http://schemas.openxmlformats.org/officeDocument/2006/relationships/hyperlink" Target="https://lcsc.com/product-detail/chip-resistor-surface-mount_yageo-rc0402fr-074k7l_C105871.html" TargetMode="External"/><Relationship Id="rId120" Type="http://schemas.openxmlformats.org/officeDocument/2006/relationships/hyperlink" Target="https://lcsc.com/product-detail/chip-resistor-surface-mount_yageo-rc0402br-07499kl_C851813.html" TargetMode="External"/><Relationship Id="rId125" Type="http://schemas.openxmlformats.org/officeDocument/2006/relationships/hyperlink" Target="https://lcsc.com/product-detail/chip-resistor-surface-mount_yageo-rc0603fr-0730k1l_C137745.html" TargetMode="External"/><Relationship Id="rId141" Type="http://schemas.openxmlformats.org/officeDocument/2006/relationships/hyperlink" Target="https://lcsc.com/product-detail/chip-resistor-surface-mount_yageo-rc1206jr-070rl_C108081.html" TargetMode="External"/><Relationship Id="rId146" Type="http://schemas.openxmlformats.org/officeDocument/2006/relationships/hyperlink" Target="https://lcsc.com/product-detail/current-sensors_allegro-acs723llctr-20au-t_C459324.html" TargetMode="External"/><Relationship Id="rId167" Type="http://schemas.openxmlformats.org/officeDocument/2006/relationships/hyperlink" Target="https://lcsc.com/product-detail/Chip-Resistor-Surface-Mount_YAGEO-RC0603FR-071ML_C105578.html?s_z=n_C105578" TargetMode="External"/><Relationship Id="rId7" Type="http://schemas.openxmlformats.org/officeDocument/2006/relationships/hyperlink" Target="https://lcsc.com/product-detail/multilayer-ceramic-capacitors-mlcc-smd-smt_tdk-c1005x5r1h104k050bb_C2181865.html" TargetMode="External"/><Relationship Id="rId71" Type="http://schemas.openxmlformats.org/officeDocument/2006/relationships/hyperlink" Target="https://lcsc.com/product-detail/pin-headers_xkb-connection-x6511wv-02h-c60d30_C706874.html" TargetMode="External"/><Relationship Id="rId92" Type="http://schemas.openxmlformats.org/officeDocument/2006/relationships/hyperlink" Target="https://lcsc.com/product-detail/mosfets_diodes-2n7002-7-f_C85049.html" TargetMode="External"/><Relationship Id="rId162" Type="http://schemas.openxmlformats.org/officeDocument/2006/relationships/hyperlink" Target="https://lcsc.com/product-detail/Chip-Resistor-Surface-Mount_YAGEO-RT0603BRD0710KL_C95204.html?s_z=n_C95204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29" Type="http://schemas.openxmlformats.org/officeDocument/2006/relationships/hyperlink" Target="https://lcsc.com/product-detail/multilayer-ceramic-capacitors-mlcc-smd-smt_yageo-cc0603krx7r9bb222_C107082.html" TargetMode="External"/><Relationship Id="rId24" Type="http://schemas.openxmlformats.org/officeDocument/2006/relationships/hyperlink" Target="https://lcsc.com/product-detail/multilayer-ceramic-capacitors-mlcc-smd-smt_yageo-cc0402mrx5r6bb106_C962143.html" TargetMode="External"/><Relationship Id="rId40" Type="http://schemas.openxmlformats.org/officeDocument/2006/relationships/hyperlink" Target="https://lcsc.com/product-detail/esd-and-surge-protection-tvs-esd_willsemi-esd5302f-3-tr_C239643.html" TargetMode="External"/><Relationship Id="rId45" Type="http://schemas.openxmlformats.org/officeDocument/2006/relationships/hyperlink" Target="https://lcsc.com/product-detail/schottky-diodes_mdd-microdiode-semiconductor-sk104c_C59500.html" TargetMode="External"/><Relationship Id="rId66" Type="http://schemas.openxmlformats.org/officeDocument/2006/relationships/hyperlink" Target="https://eu.mouser.com/ProductDetail/Same-Sky/TB008A-508-03BE?qs=vLWxofP3U2ySMdcVUeIORQ%3D%3D" TargetMode="External"/><Relationship Id="rId87" Type="http://schemas.openxmlformats.org/officeDocument/2006/relationships/hyperlink" Target="https://lcsc.com/product-detail/mosfets_infineon-irf3205strlpbf_C2613.html" TargetMode="External"/><Relationship Id="rId110" Type="http://schemas.openxmlformats.org/officeDocument/2006/relationships/hyperlink" Target="https://lcsc.com/product-detail/chip-resistor-surface-mount_yageo-rc0402jr-071kl_C105637.html" TargetMode="External"/><Relationship Id="rId115" Type="http://schemas.openxmlformats.org/officeDocument/2006/relationships/hyperlink" Target="https://lcsc.com/product-detail/chip-resistor-surface-mount_yageo-rc0603fr-071kl_C22548.html" TargetMode="External"/><Relationship Id="rId131" Type="http://schemas.openxmlformats.org/officeDocument/2006/relationships/hyperlink" Target="https://lcsc.com/product-detail/chip-resistor-surface-mount_yageo-rc0402fr-0747kl_C93943.html" TargetMode="External"/><Relationship Id="rId136" Type="http://schemas.openxmlformats.org/officeDocument/2006/relationships/hyperlink" Target="https://lcsc.com/product-detail/chip-resistor-surface-mount_yageo-rc0603fr-073k3l_C108078.html" TargetMode="External"/><Relationship Id="rId157" Type="http://schemas.openxmlformats.org/officeDocument/2006/relationships/hyperlink" Target="https://lcsc.com/product-detail/gate-drivers_ti-ucc27517dbvr_C99395.html" TargetMode="External"/><Relationship Id="rId178" Type="http://schemas.openxmlformats.org/officeDocument/2006/relationships/hyperlink" Target="https://lcsc.com/product-detail/Chip-Resistor-Surface-Mount_YAGEO-RC0402FR-072K7L_C138017.html?s_z=n_C138017" TargetMode="External"/><Relationship Id="rId61" Type="http://schemas.openxmlformats.org/officeDocument/2006/relationships/hyperlink" Target="https://lcsc.com/product-detail/wire-to-board-connector_molex-22112032_C505163.html" TargetMode="External"/><Relationship Id="rId82" Type="http://schemas.openxmlformats.org/officeDocument/2006/relationships/hyperlink" Target="https://lcsc.com/product-detail/buzzers_fengming-ys-sbz9032c03r16_C409828.html" TargetMode="External"/><Relationship Id="rId152" Type="http://schemas.openxmlformats.org/officeDocument/2006/relationships/hyperlink" Target="https://lcsc.com/product-detail/buffers-drivers-receivers-transceivers_ti-sn74lv1t34dbvr_C100024.html" TargetMode="External"/><Relationship Id="rId173" Type="http://schemas.openxmlformats.org/officeDocument/2006/relationships/hyperlink" Target="https://lcsc.com/product-detail/Chip-Resistor-Surface-Mount_YAGEO-RT0603BRB07120RL_C860088.html?s_z=n_C860088" TargetMode="External"/><Relationship Id="rId19" Type="http://schemas.openxmlformats.org/officeDocument/2006/relationships/hyperlink" Target="https://lcsc.com/product-detail/multilayer-ceramic-capacitors-mlcc-smd-smt_samsung-electro-mechanics-cl05b104kb54pnc_C307331.html" TargetMode="External"/><Relationship Id="rId14" Type="http://schemas.openxmlformats.org/officeDocument/2006/relationships/hyperlink" Target="https://lcsc.com/product-detail/multilayer-ceramic-capacitors-mlcc-smd-smt_yageo-cc0402jrx7r7bb104_C541464.html" TargetMode="External"/><Relationship Id="rId30" Type="http://schemas.openxmlformats.org/officeDocument/2006/relationships/hyperlink" Target="https://lcsc.com/product-detail/multilayer-ceramic-capacitors-mlcc-smd-smt_yageo-cc0603mrx5r6bb226_C109447.html" TargetMode="External"/><Relationship Id="rId35" Type="http://schemas.openxmlformats.org/officeDocument/2006/relationships/hyperlink" Target="https://lcsc.com/product-detail/multilayer-ceramic-capacitors-mlcc-smd-smt_yageo-cc0402krx5r8bb105_C326568.html" TargetMode="External"/><Relationship Id="rId56" Type="http://schemas.openxmlformats.org/officeDocument/2006/relationships/hyperlink" Target="https://www.digikey.com/en/products/detail/kyocera-avx/SCCU25B256SRB/6165963" TargetMode="External"/><Relationship Id="rId77" Type="http://schemas.openxmlformats.org/officeDocument/2006/relationships/hyperlink" Target="https://lcsc.com/product-detail/power-inductors_murata-dfe252012f-r47m-p2_C703140.html" TargetMode="External"/><Relationship Id="rId100" Type="http://schemas.openxmlformats.org/officeDocument/2006/relationships/hyperlink" Target="https://lcsc.com/product-detail/chip-resistor-surface-mount_uni-royal-0603waf2214t5e_C422956.html" TargetMode="External"/><Relationship Id="rId105" Type="http://schemas.openxmlformats.org/officeDocument/2006/relationships/hyperlink" Target="https://lcsc.com/product-detail/chip-resistor-surface-mount_koa-speer-elec-rk73g1jttd1002f_C362180.html" TargetMode="External"/><Relationship Id="rId126" Type="http://schemas.openxmlformats.org/officeDocument/2006/relationships/hyperlink" Target="https://lcsc.com/product-detail/chip-resistor-surface-mount_ever-ohms-tech-tr0603b499kp0525z_C149937.html" TargetMode="External"/><Relationship Id="rId147" Type="http://schemas.openxmlformats.org/officeDocument/2006/relationships/hyperlink" Target="https://lcsc.com/product-detail/dc-dc-converters_ti-mc34063adr_C100023.html" TargetMode="External"/><Relationship Id="rId168" Type="http://schemas.openxmlformats.org/officeDocument/2006/relationships/hyperlink" Target="https://lcsc.com/product-detail/Chip-Resistor-Surface-Mount_VISHAY-CRCW0603402KFKEA_C844562.html?s_z=n_CRCW0603402KFKEA" TargetMode="External"/><Relationship Id="rId8" Type="http://schemas.openxmlformats.org/officeDocument/2006/relationships/hyperlink" Target="https://lcsc.com/product-detail/aluminum-electrolytic-capacitors-smd_changzhou-huawei-elec-vt1h471mi135000ce0_C191227.html" TargetMode="External"/><Relationship Id="rId51" Type="http://schemas.openxmlformats.org/officeDocument/2006/relationships/hyperlink" Target="https://lcsc.com/product-detail/esd-and-surge-protection-tvs-esd_littelfuse-smbj12a_C151251.html" TargetMode="External"/><Relationship Id="rId72" Type="http://schemas.openxmlformats.org/officeDocument/2006/relationships/hyperlink" Target="https://lcsc.com/product-detail/inductors-smd_microgate-mgfl2012f100mt-lf_C281113.html" TargetMode="External"/><Relationship Id="rId93" Type="http://schemas.openxmlformats.org/officeDocument/2006/relationships/hyperlink" Target="https://lcsc.com/product-detail/chip-resistor-surface-mount_uni-royal-0603waf3601t5e_C22980.html" TargetMode="External"/><Relationship Id="rId98" Type="http://schemas.openxmlformats.org/officeDocument/2006/relationships/hyperlink" Target="https://lcsc.com/product-detail/chip-resistor-surface-mount_yageo-rt0603bre076k8l_C705876.html" TargetMode="External"/><Relationship Id="rId121" Type="http://schemas.openxmlformats.org/officeDocument/2006/relationships/hyperlink" Target="https://lcsc.com/product-detail/chip-resistor-surface-mount_yageo-rt0402brd0736kl_C852742.html" TargetMode="External"/><Relationship Id="rId142" Type="http://schemas.openxmlformats.org/officeDocument/2006/relationships/hyperlink" Target="https://lcsc.com/product-detail/chip-resistor-surface-mount_yageo-rc0603fr-07100rl_C105588.html" TargetMode="External"/><Relationship Id="rId163" Type="http://schemas.openxmlformats.org/officeDocument/2006/relationships/hyperlink" Target="https://lcsc.com/product-detail/Chip-Resistor-Surface-Mount_YAGEO-RT0603BRD073K3L_C309653.html?s_z=n_C309653" TargetMode="External"/><Relationship Id="rId3" Type="http://schemas.openxmlformats.org/officeDocument/2006/relationships/hyperlink" Target="https://lcsc.com/product-detail/multilayer-ceramic-capacitors-mlcc-smd-smt_yageo-cc0402grnpo9bn300_C277479.html" TargetMode="External"/><Relationship Id="rId25" Type="http://schemas.openxmlformats.org/officeDocument/2006/relationships/hyperlink" Target="https://lcsc.com/product-detail/Aluminum-Electrolytic-Capacitors-SMD_DMBJ-RVT1E100M0405-10UF-25V_C970655.html?s_z=n_C970655" TargetMode="External"/><Relationship Id="rId46" Type="http://schemas.openxmlformats.org/officeDocument/2006/relationships/hyperlink" Target="https://lcsc.com/product-detail/schottky-diodes_onsemi-fsv20150v_C606024.html" TargetMode="External"/><Relationship Id="rId67" Type="http://schemas.openxmlformats.org/officeDocument/2006/relationships/hyperlink" Target="https://lcsc.com/product-detail/wire-to-board-connector_hctl-hc-1-25-6plt_C2845392.html" TargetMode="External"/><Relationship Id="rId116" Type="http://schemas.openxmlformats.org/officeDocument/2006/relationships/hyperlink" Target="https://lcsc.com/product-detail/chip-resistor-surface-mount_yageo-rt0603brd077k5l_C728597.html" TargetMode="External"/><Relationship Id="rId137" Type="http://schemas.openxmlformats.org/officeDocument/2006/relationships/hyperlink" Target="https://lcsc.com/product-detail/chip-resistor-surface-mount_vishay-crcw06031m82fkea_C2076849.html" TargetMode="External"/><Relationship Id="rId158" Type="http://schemas.openxmlformats.org/officeDocument/2006/relationships/hyperlink" Target="https://lcsc.com/product-detail/human-body-sensing-sensor_senba-sensing-tech-as312_C90465.html" TargetMode="External"/><Relationship Id="rId20" Type="http://schemas.openxmlformats.org/officeDocument/2006/relationships/hyperlink" Target="https://lcsc.com/product-detail/multilayer-ceramic-capacitors-mlcc-smd-smt_tdk-c1608x5r1e106m080ac_C2168289.html" TargetMode="External"/><Relationship Id="rId41" Type="http://schemas.openxmlformats.org/officeDocument/2006/relationships/hyperlink" Target="https://lcsc.com/product-detail/zener-diodes_eic-semicon-mm3z3v3b_C2978865.html" TargetMode="External"/><Relationship Id="rId62" Type="http://schemas.openxmlformats.org/officeDocument/2006/relationships/hyperlink" Target="https://lcsc.com/product-detail/wire-to-board-connector_molex-22112022_C505162.html" TargetMode="External"/><Relationship Id="rId83" Type="http://schemas.openxmlformats.org/officeDocument/2006/relationships/hyperlink" Target="https://lcsc.com/product-detail/LED-Indication-Discrete_Amicc-A-SP194DR5C-C01-4T_C19171329.html" TargetMode="External"/><Relationship Id="rId88" Type="http://schemas.openxmlformats.org/officeDocument/2006/relationships/hyperlink" Target="https://lcsc.com/product-detail/mosfets_tech-public-irlml6402trpbf_C5182043.html" TargetMode="External"/><Relationship Id="rId111" Type="http://schemas.openxmlformats.org/officeDocument/2006/relationships/hyperlink" Target="https://lcsc.com/product-detail/chip-resistor-surface-mount_yageo-rc0603jr-070rl_C95177.html" TargetMode="External"/><Relationship Id="rId132" Type="http://schemas.openxmlformats.org/officeDocument/2006/relationships/hyperlink" Target="https://lcsc.com/product-detail/chip-resistor-surface-mount_yageo-rc1206fr-7w1kl_C859155.html" TargetMode="External"/><Relationship Id="rId153" Type="http://schemas.openxmlformats.org/officeDocument/2006/relationships/hyperlink" Target="https://lcsc.com/product-detail/transistor-photovoltaic-output-optoisolators_renesas-ps2801c-1-f3-a_C67112.html" TargetMode="External"/><Relationship Id="rId174" Type="http://schemas.openxmlformats.org/officeDocument/2006/relationships/hyperlink" Target="https://lcsc.com/product-detail/Chip-Resistor-Surface-Mount_YAGEO-RC0402FR-071ML_C138033.html?s_z=n_C138033" TargetMode="External"/><Relationship Id="rId179" Type="http://schemas.openxmlformats.org/officeDocument/2006/relationships/hyperlink" Target="https://www.digikey.com/en/products/detail/texas-instruments/TPS2117DRLR/21737520?s=N4IgTCBcDaICoAUDKYCMqDsARASgGRxAF0BfIA" TargetMode="External"/><Relationship Id="rId15" Type="http://schemas.openxmlformats.org/officeDocument/2006/relationships/hyperlink" Target="https://lcsc.com/product-detail/multilayer-ceramic-capacitors-mlcc-smd-smt_murata-grm188r6ya106ma73d_C194427.html" TargetMode="External"/><Relationship Id="rId36" Type="http://schemas.openxmlformats.org/officeDocument/2006/relationships/hyperlink" Target="https://lcsc.com/product-detail/multilayer-ceramic-capacitors-mlcc-smd-smt_yageo-cc0805kkx5r8bb106_C89831.html" TargetMode="External"/><Relationship Id="rId57" Type="http://schemas.openxmlformats.org/officeDocument/2006/relationships/hyperlink" Target="https://lcsc.com/product-detail/Pin-Headers_Amphenol-20021121-00010C4LF_C150517.html?s_z=n_C150517" TargetMode="External"/><Relationship Id="rId106" Type="http://schemas.openxmlformats.org/officeDocument/2006/relationships/hyperlink" Target="https://lcsc.com/product-detail/chip-resistor-surface-mount_yageo-rc0603dr-07150rl_C471801.html" TargetMode="External"/><Relationship Id="rId127" Type="http://schemas.openxmlformats.org/officeDocument/2006/relationships/hyperlink" Target="https://lcsc.com/product-detail/chip-resistor-surface-mount_yageo-rt0402brd0786k6l_C852935.html" TargetMode="External"/><Relationship Id="rId10" Type="http://schemas.openxmlformats.org/officeDocument/2006/relationships/hyperlink" Target="https://lcsc.com/product-detail/multilayer-ceramic-capacitors-mlcc-smd-smt_yageo-cc0201jrnpo9bn150_C277480.html" TargetMode="External"/><Relationship Id="rId31" Type="http://schemas.openxmlformats.org/officeDocument/2006/relationships/hyperlink" Target="https://lcsc.com/product-detail/multilayer-ceramic-capacitors-mlcc-smd-smt_murata-grm155r61e225ke11d_C385032.html" TargetMode="External"/><Relationship Id="rId52" Type="http://schemas.openxmlformats.org/officeDocument/2006/relationships/hyperlink" Target="https://lcsc.com/product-detail/schottky-diodes_diodes-1n5819hw-7-f_C82544.html" TargetMode="External"/><Relationship Id="rId73" Type="http://schemas.openxmlformats.org/officeDocument/2006/relationships/hyperlink" Target="https://lcsc.com/product-detail/power-inductors_tdk-slf12575t-221m1r3-pf_C93225.html" TargetMode="External"/><Relationship Id="rId78" Type="http://schemas.openxmlformats.org/officeDocument/2006/relationships/hyperlink" Target="https://www.digikey.com/en/products/detail/sunled/XZMDK68W-2/4745956?s=N4IgTCBcDaIBoC0CyARA0gNgBwHUC0EAugL5A" TargetMode="External"/><Relationship Id="rId94" Type="http://schemas.openxmlformats.org/officeDocument/2006/relationships/hyperlink" Target="https://lcsc.com/product-detail/chip-resistor-surface-mount_ralec-rtt03r330ftp_C103893.html" TargetMode="External"/><Relationship Id="rId99" Type="http://schemas.openxmlformats.org/officeDocument/2006/relationships/hyperlink" Target="https://lcsc.com/product-detail/chip-resistor-surface-mount_yageo-rc0603fr-0720kl_C105575.html" TargetMode="External"/><Relationship Id="rId101" Type="http://schemas.openxmlformats.org/officeDocument/2006/relationships/hyperlink" Target="https://lcsc.com/product-detail/chip-resistor-surface-mount_yageo-rc0603fr-0715kl_C114661.html" TargetMode="External"/><Relationship Id="rId122" Type="http://schemas.openxmlformats.org/officeDocument/2006/relationships/hyperlink" Target="https://lcsc.com/product-detail/chip-resistor-surface-mount_yageo-at0603brd0713k7l_C855608.html" TargetMode="External"/><Relationship Id="rId143" Type="http://schemas.openxmlformats.org/officeDocument/2006/relationships/hyperlink" Target="https://lcsc.com/product-detail/chip-resistor-surface-mount_koa-speer-elec-rk73g1jttd1002f_C362180.html" TargetMode="External"/><Relationship Id="rId148" Type="http://schemas.openxmlformats.org/officeDocument/2006/relationships/hyperlink" Target="https://lcsc.com/product-detail/voltage-regulators-linear-low-drop-out-ldo-regulators_ti-lms8117amp-3-3-nopb_C201952.html" TargetMode="External"/><Relationship Id="rId164" Type="http://schemas.openxmlformats.org/officeDocument/2006/relationships/hyperlink" Target="https://lcsc.com/product-detail/Chip-Resistor-Surface-Mount_YAGEO-RC0201JR-07470RL_C163491.html?s_z=n_C163491" TargetMode="External"/><Relationship Id="rId169" Type="http://schemas.openxmlformats.org/officeDocument/2006/relationships/hyperlink" Target="https://lcsc.com/product-detail/Chip-Resistor-Surface-Mount_YAGEO-RC0603FR-07845KL_C246013.html?s_z=n_RC0603FR-07845KL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multilayer-ceramic-capacitors-mlcc-smd-smt_yageo-cc0603krx7r9bb471_C107092.html" TargetMode="External"/><Relationship Id="rId180" Type="http://schemas.openxmlformats.org/officeDocument/2006/relationships/hyperlink" Target="https://lcsc.com/product-detail/Voltage-Regulators-Linear-Low-Drop-Out-LDO-Regulators_ST-LD56100DPU33R_C2969937.html?s_z=n_C2969937" TargetMode="External"/><Relationship Id="rId26" Type="http://schemas.openxmlformats.org/officeDocument/2006/relationships/hyperlink" Target="https://lcsc.com/product-detail/multilayer-ceramic-capacitors-mlcc-smd-smt_murata-grm033c81e104ke14d_C181047.html" TargetMode="External"/><Relationship Id="rId47" Type="http://schemas.openxmlformats.org/officeDocument/2006/relationships/hyperlink" Target="https://lcsc.com/product-detail/schottky-diodes_diodes-zlls350ta_C139441.html" TargetMode="External"/><Relationship Id="rId68" Type="http://schemas.openxmlformats.org/officeDocument/2006/relationships/hyperlink" Target="https://lcsc.com/product-detail/wire-to-board-connector_hctl-hc-1-25-16plt_C3012301.html" TargetMode="External"/><Relationship Id="rId89" Type="http://schemas.openxmlformats.org/officeDocument/2006/relationships/hyperlink" Target="https://lcsc.com/product-detail/bipolar-bjt_diodes-mmbt2222a-7-f_C94515.html" TargetMode="External"/><Relationship Id="rId112" Type="http://schemas.openxmlformats.org/officeDocument/2006/relationships/hyperlink" Target="https://lcsc.com/product-detail/chip-resistor-surface-mount_yageo-rc0603jr-070rl_C95177.html" TargetMode="External"/><Relationship Id="rId133" Type="http://schemas.openxmlformats.org/officeDocument/2006/relationships/hyperlink" Target="https://lcsc.com/product-detail/chip-resistor-surface-mount_yageo-rt0603bre0763k4l_C862245.html" TargetMode="External"/><Relationship Id="rId154" Type="http://schemas.openxmlformats.org/officeDocument/2006/relationships/hyperlink" Target="https://lcsc.com/product-detail/battery-management_ti-bq24650rvar_C53712.html" TargetMode="External"/><Relationship Id="rId175" Type="http://schemas.openxmlformats.org/officeDocument/2006/relationships/hyperlink" Target="https://lcsc.com/product-detail/Chip-Resistor-Surface-Mount_YAGEO-RC0402FR-075K1L_C105872.html?s_z=n_C105872" TargetMode="External"/><Relationship Id="rId16" Type="http://schemas.openxmlformats.org/officeDocument/2006/relationships/hyperlink" Target="https://lcsc.com/product-detail/multilayer-ceramic-capacitors-mlcc-smd-smt_tdk-c2012x5r1v226mt000e_C338080.html" TargetMode="External"/><Relationship Id="rId37" Type="http://schemas.openxmlformats.org/officeDocument/2006/relationships/hyperlink" Target="https://lcsc.com/product-detail/schottky-diodes_guangdong-hottech-ss24a_C2886579.html" TargetMode="External"/><Relationship Id="rId58" Type="http://schemas.openxmlformats.org/officeDocument/2006/relationships/hyperlink" Target="https://eu.mouser.com/ProductDetail/Same-Sky/TB008A-508-02BE?qs=vLWxofP3U2w5I2Hxj8y2hQ%3D%3D" TargetMode="External"/><Relationship Id="rId79" Type="http://schemas.openxmlformats.org/officeDocument/2006/relationships/hyperlink" Target="https://lcsc.com/product-detail/ambient-light-sensors_everlight-als-pt19-315c-l177-tr8_C146233.html" TargetMode="External"/><Relationship Id="rId102" Type="http://schemas.openxmlformats.org/officeDocument/2006/relationships/hyperlink" Target="https://lcsc.com/product-detail/chip-resistor-surface-mount_yageo-rc0603dr-073k3l_C723574.html" TargetMode="External"/><Relationship Id="rId123" Type="http://schemas.openxmlformats.org/officeDocument/2006/relationships/hyperlink" Target="https://lcsc.com/product-detail/chip-resistor-surface-mount_yageo-rc0402fr-070rl_C106231.html" TargetMode="External"/><Relationship Id="rId144" Type="http://schemas.openxmlformats.org/officeDocument/2006/relationships/hyperlink" Target="https://lcsc.com/product-detail/tactile-switches_e-switch-tl3300cf160q_C273516.html" TargetMode="External"/><Relationship Id="rId90" Type="http://schemas.openxmlformats.org/officeDocument/2006/relationships/hyperlink" Target="https://lcsc.com/product-detail/mosfets_tech-public-si2302cds_C5310968.html" TargetMode="External"/><Relationship Id="rId165" Type="http://schemas.openxmlformats.org/officeDocument/2006/relationships/hyperlink" Target="https://lcsc.com/product-detail/Chip-Resistor-Surface-Mount_UNI-ROYAL-25121WJ0000T4E_C25469.html?s_z=n_C25469" TargetMode="External"/><Relationship Id="rId27" Type="http://schemas.openxmlformats.org/officeDocument/2006/relationships/hyperlink" Target="https://lcsc.com/product-detail/multilayer-ceramic-capacitors-mlcc-smd-smt_tdk-c3216x5r1e476m160ac_C2167787.html" TargetMode="External"/><Relationship Id="rId48" Type="http://schemas.openxmlformats.org/officeDocument/2006/relationships/hyperlink" Target="https://lcsc.com/product-detail/esd-and-surge-protection-tvs-esd_lrc-lesd8d3-3cat5g_C172409.html" TargetMode="External"/><Relationship Id="rId69" Type="http://schemas.openxmlformats.org/officeDocument/2006/relationships/hyperlink" Target="https://lcsc.com/product-detail/sd-card-memory-card-connector_hrs-dm3bt-dsf-pejs_C597972.html" TargetMode="External"/><Relationship Id="rId113" Type="http://schemas.openxmlformats.org/officeDocument/2006/relationships/hyperlink" Target="https://lcsc.com/product-detail/chip-resistor-surface-mount_yageo-rt0603brd0720kl_C723637.html" TargetMode="External"/><Relationship Id="rId134" Type="http://schemas.openxmlformats.org/officeDocument/2006/relationships/hyperlink" Target="https://lcsc.com/product-detail/chip-resistor-surface-mount_yageo-rc0603fr-07470rl_C114669.html" TargetMode="External"/><Relationship Id="rId80" Type="http://schemas.openxmlformats.org/officeDocument/2006/relationships/hyperlink" Target="https://lcsc.com/product-detail/led-indication-discrete_foshan-nationstar-optoelectronics-ncd0603r3_C3151730.html" TargetMode="External"/><Relationship Id="rId155" Type="http://schemas.openxmlformats.org/officeDocument/2006/relationships/hyperlink" Target="https://lcsc.com/product-detail/comparators_ti-tps3700ddcr_C33002.html" TargetMode="External"/><Relationship Id="rId176" Type="http://schemas.openxmlformats.org/officeDocument/2006/relationships/hyperlink" Target="https://lcsc.com/product-detail/Chip-Resistor-Surface-Mount_YAGEO-RC0603FR-07120RL_C114640.html?s_z=n_C114640" TargetMode="External"/><Relationship Id="rId17" Type="http://schemas.openxmlformats.org/officeDocument/2006/relationships/hyperlink" Target="https://lcsc.com/product-detail/aluminum-electrolytic-capacitors-smd_nichicon-uud1a102mnl1gs_C445277.html" TargetMode="External"/><Relationship Id="rId38" Type="http://schemas.openxmlformats.org/officeDocument/2006/relationships/hyperlink" Target="https://lcsc.com/product-detail/zener-diodes_onsemi-1sma5930bt3g_C128848.html" TargetMode="External"/><Relationship Id="rId59" Type="http://schemas.openxmlformats.org/officeDocument/2006/relationships/hyperlink" Target="https://eu.mouser.com/ProductDetail/Same-Sky/TB008A-508-04BE?qs=vLWxofP3U2wE%252BeCFz1tLxg%3D%3D" TargetMode="External"/><Relationship Id="rId103" Type="http://schemas.openxmlformats.org/officeDocument/2006/relationships/hyperlink" Target="https://lcsc.com/product-detail/chip-resistor-surface-mount_yageo-rc0603fr-07680rl_C112310.html" TargetMode="External"/><Relationship Id="rId124" Type="http://schemas.openxmlformats.org/officeDocument/2006/relationships/hyperlink" Target="https://lcsc.com/product-detail/chip-resistor-surface-mount_yageo-rc0805fr-075k23l_C274009.html" TargetMode="External"/><Relationship Id="rId70" Type="http://schemas.openxmlformats.org/officeDocument/2006/relationships/hyperlink" Target="https://eu.mouser.com/ProductDetail/Same-Sky/TB008A-508-04BE?qs=vLWxofP3U2wE%252BeCFz1tLxg%3D%3D" TargetMode="External"/><Relationship Id="rId91" Type="http://schemas.openxmlformats.org/officeDocument/2006/relationships/hyperlink" Target="https://lcsc.com/product-detail/mosfets_guangdong-hottech-ao3407_C181093.html" TargetMode="External"/><Relationship Id="rId145" Type="http://schemas.openxmlformats.org/officeDocument/2006/relationships/hyperlink" Target="https://lcsc.com/product-detail/slide-switches_g-switch-ss-12d02-g040_C2876023.html" TargetMode="External"/><Relationship Id="rId166" Type="http://schemas.openxmlformats.org/officeDocument/2006/relationships/hyperlink" Target="https://lcsc.com/product-detail/Chip-Resistor-Surface-Mount_YAGEO-RC0201FR-0710KL_C106225.html?s_z=n_C106225" TargetMode="External"/><Relationship Id="rId1" Type="http://schemas.openxmlformats.org/officeDocument/2006/relationships/hyperlink" Target="https://lcsc.com/product-detail/multilayer-ceramic-capacitors-mlcc-smd-smt_yageo-cc1206kkx7r0bb104_C107181.html" TargetMode="External"/><Relationship Id="rId28" Type="http://schemas.openxmlformats.org/officeDocument/2006/relationships/hyperlink" Target="https://lcsc.com/product-detail/multilayer-ceramic-capacitors-mlcc-smd-smt_yageo-cc0603krx5r9bb474_C513651.html" TargetMode="External"/><Relationship Id="rId49" Type="http://schemas.openxmlformats.org/officeDocument/2006/relationships/hyperlink" Target="https://lcsc.com/product-detail/diodes-general-purpose_twgmc-1n4007_C727081.html" TargetMode="External"/><Relationship Id="rId114" Type="http://schemas.openxmlformats.org/officeDocument/2006/relationships/hyperlink" Target="https://lcsc.com/product-detail/chip-resistor-surface-mount_yageo-rc0805fr-07100kl_C9634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10"/>
  <sheetViews>
    <sheetView topLeftCell="H192" workbookViewId="0">
      <selection activeCell="J206" sqref="J206"/>
    </sheetView>
  </sheetViews>
  <sheetFormatPr defaultColWidth="9" defaultRowHeight="15"/>
  <cols>
    <col min="2" max="2" width="4" style="31" customWidth="1"/>
    <col min="3" max="3" width="18" style="31" customWidth="1"/>
    <col min="4" max="4" width="27.42578125" customWidth="1"/>
    <col min="5" max="5" width="30.85546875" customWidth="1"/>
    <col min="6" max="6" width="20" customWidth="1"/>
    <col min="7" max="7" width="33.42578125" customWidth="1"/>
    <col min="8" max="8" width="21.42578125" customWidth="1"/>
    <col min="9" max="9" width="21.5703125" customWidth="1"/>
    <col min="10" max="10" width="17" customWidth="1"/>
    <col min="11" max="11" width="9.85546875" customWidth="1"/>
    <col min="12" max="12" width="8.7109375" customWidth="1"/>
    <col min="13" max="13" width="18.28515625" customWidth="1"/>
    <col min="14" max="14" width="15.5703125" customWidth="1"/>
    <col min="15" max="15" width="10.28515625" customWidth="1"/>
    <col min="16" max="16" width="18.7109375" customWidth="1"/>
    <col min="17" max="17" width="19.28515625" customWidth="1"/>
    <col min="18" max="18" width="16.5703125" customWidth="1"/>
  </cols>
  <sheetData>
    <row r="1" spans="1:18">
      <c r="A1" s="2"/>
      <c r="B1" s="3"/>
      <c r="C1" s="3"/>
      <c r="D1" s="4"/>
      <c r="E1" s="4"/>
      <c r="F1" s="4"/>
      <c r="G1" s="4"/>
      <c r="H1" s="4"/>
      <c r="I1" s="4"/>
      <c r="J1" s="4"/>
      <c r="K1" s="33"/>
      <c r="L1" s="33"/>
      <c r="M1" s="33"/>
      <c r="N1" s="33"/>
      <c r="O1" s="33"/>
      <c r="P1" s="33"/>
      <c r="Q1" s="33"/>
      <c r="R1" s="33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</row>
    <row r="3" spans="1:18" ht="24">
      <c r="A3" s="2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>
        <v>14</v>
      </c>
      <c r="M3" s="9">
        <f>L3*5</f>
        <v>70</v>
      </c>
      <c r="N3" s="9">
        <v>70</v>
      </c>
      <c r="O3" s="16" t="s">
        <v>26</v>
      </c>
      <c r="P3" s="17">
        <v>1.47E-2</v>
      </c>
      <c r="Q3" s="17">
        <f>P3*N3</f>
        <v>1.0289999999999999</v>
      </c>
      <c r="R3" s="9"/>
    </row>
    <row r="4" spans="1:18">
      <c r="A4" s="2"/>
      <c r="B4" s="10">
        <f t="shared" ref="B4:B196" si="0"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12" t="s">
        <v>33</v>
      </c>
      <c r="L4" s="12">
        <v>1</v>
      </c>
      <c r="M4" s="12">
        <f t="shared" ref="M4:M5" si="1">L4*5</f>
        <v>5</v>
      </c>
      <c r="N4" s="12" t="s">
        <v>34</v>
      </c>
      <c r="O4" s="18" t="s">
        <v>26</v>
      </c>
      <c r="P4" s="19" t="s">
        <v>35</v>
      </c>
      <c r="Q4" s="19">
        <f t="shared" ref="Q4:Q5" si="2">P4*N4</f>
        <v>0.64500000000000002</v>
      </c>
      <c r="R4" s="12"/>
    </row>
    <row r="5" spans="1:18">
      <c r="A5" s="2"/>
      <c r="B5" s="7">
        <f>ROW(B5)-ROW($B$2)</f>
        <v>3</v>
      </c>
      <c r="C5" s="8" t="s">
        <v>17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31</v>
      </c>
      <c r="I5" s="9" t="s">
        <v>23</v>
      </c>
      <c r="J5" s="9" t="s">
        <v>40</v>
      </c>
      <c r="K5" s="9" t="s">
        <v>41</v>
      </c>
      <c r="L5" s="9">
        <v>6</v>
      </c>
      <c r="M5" s="9">
        <f t="shared" si="1"/>
        <v>30</v>
      </c>
      <c r="N5" s="9" t="s">
        <v>42</v>
      </c>
      <c r="O5" s="18" t="s">
        <v>26</v>
      </c>
      <c r="P5" s="17" t="s">
        <v>43</v>
      </c>
      <c r="Q5" s="17">
        <f t="shared" si="2"/>
        <v>0.54</v>
      </c>
      <c r="R5" s="9"/>
    </row>
    <row r="6" spans="1:18">
      <c r="A6" s="2"/>
      <c r="B6" s="10">
        <f t="shared" si="0"/>
        <v>4</v>
      </c>
      <c r="C6" s="11" t="s">
        <v>17</v>
      </c>
      <c r="D6" s="12" t="s">
        <v>44</v>
      </c>
      <c r="E6" s="12" t="s">
        <v>45</v>
      </c>
      <c r="F6" s="12" t="s">
        <v>46</v>
      </c>
      <c r="G6" s="12" t="s">
        <v>47</v>
      </c>
      <c r="H6" s="12" t="s">
        <v>31</v>
      </c>
      <c r="I6" s="9" t="s">
        <v>23</v>
      </c>
      <c r="J6" s="12" t="s">
        <v>48</v>
      </c>
      <c r="K6" s="12" t="s">
        <v>49</v>
      </c>
      <c r="L6" s="12">
        <v>2</v>
      </c>
      <c r="M6" s="12">
        <f t="shared" ref="M6:M7" si="3">L6*5</f>
        <v>10</v>
      </c>
      <c r="N6" s="12" t="s">
        <v>42</v>
      </c>
      <c r="O6" s="18" t="s">
        <v>26</v>
      </c>
      <c r="P6" s="19" t="s">
        <v>50</v>
      </c>
      <c r="Q6" s="19">
        <f t="shared" ref="Q6:Q7" si="4">P6*N6</f>
        <v>0.22</v>
      </c>
      <c r="R6" s="12"/>
    </row>
    <row r="7" spans="1:18" ht="36">
      <c r="A7" s="2"/>
      <c r="B7" s="7">
        <f>ROW(B7)-ROW($B$2)</f>
        <v>5</v>
      </c>
      <c r="C7" s="8" t="s">
        <v>17</v>
      </c>
      <c r="D7" s="9" t="s">
        <v>51</v>
      </c>
      <c r="E7" s="9" t="s">
        <v>52</v>
      </c>
      <c r="F7" s="9" t="s">
        <v>38</v>
      </c>
      <c r="G7" s="9" t="s">
        <v>53</v>
      </c>
      <c r="H7" s="9" t="s">
        <v>31</v>
      </c>
      <c r="I7" s="9" t="s">
        <v>23</v>
      </c>
      <c r="J7" s="9" t="s">
        <v>54</v>
      </c>
      <c r="K7" s="9" t="s">
        <v>33</v>
      </c>
      <c r="L7" s="9">
        <v>21</v>
      </c>
      <c r="M7" s="9">
        <f t="shared" si="3"/>
        <v>105</v>
      </c>
      <c r="N7" s="9" t="s">
        <v>42</v>
      </c>
      <c r="O7" s="18" t="s">
        <v>26</v>
      </c>
      <c r="P7" s="17" t="s">
        <v>55</v>
      </c>
      <c r="Q7" s="17">
        <f t="shared" si="4"/>
        <v>0.31</v>
      </c>
      <c r="R7" s="9"/>
    </row>
    <row r="8" spans="1:18">
      <c r="A8" s="2"/>
      <c r="B8" s="10">
        <f t="shared" si="0"/>
        <v>6</v>
      </c>
      <c r="C8" s="11" t="s">
        <v>17</v>
      </c>
      <c r="D8" s="12" t="s">
        <v>56</v>
      </c>
      <c r="E8" s="12" t="s">
        <v>57</v>
      </c>
      <c r="F8" s="12" t="s">
        <v>46</v>
      </c>
      <c r="G8" s="12" t="s">
        <v>58</v>
      </c>
      <c r="H8" s="12" t="s">
        <v>31</v>
      </c>
      <c r="I8" s="9" t="s">
        <v>23</v>
      </c>
      <c r="J8" s="12" t="s">
        <v>59</v>
      </c>
      <c r="K8" s="12" t="s">
        <v>41</v>
      </c>
      <c r="L8" s="12">
        <v>4</v>
      </c>
      <c r="M8" s="12">
        <f t="shared" ref="M8:M9" si="5">L8*5</f>
        <v>20</v>
      </c>
      <c r="N8" s="12" t="s">
        <v>42</v>
      </c>
      <c r="O8" s="18" t="s">
        <v>26</v>
      </c>
      <c r="P8" s="19" t="s">
        <v>60</v>
      </c>
      <c r="Q8" s="19">
        <f t="shared" ref="Q8:Q9" si="6">P8*N8</f>
        <v>0.41</v>
      </c>
      <c r="R8" s="12"/>
    </row>
    <row r="9" spans="1:18">
      <c r="A9" s="2"/>
      <c r="B9" s="7">
        <f>ROW(B9)-ROW($B$2)</f>
        <v>7</v>
      </c>
      <c r="C9" s="8" t="s">
        <v>17</v>
      </c>
      <c r="D9" s="9" t="s">
        <v>61</v>
      </c>
      <c r="E9" s="9" t="s">
        <v>62</v>
      </c>
      <c r="F9" s="9" t="s">
        <v>20</v>
      </c>
      <c r="G9" s="13" t="s">
        <v>63</v>
      </c>
      <c r="H9" s="9" t="s">
        <v>64</v>
      </c>
      <c r="I9" s="9" t="s">
        <v>65</v>
      </c>
      <c r="J9" s="9" t="s">
        <v>23</v>
      </c>
      <c r="K9" s="9" t="s">
        <v>66</v>
      </c>
      <c r="L9" s="9">
        <v>1</v>
      </c>
      <c r="M9" s="9">
        <f t="shared" si="5"/>
        <v>5</v>
      </c>
      <c r="N9" s="9">
        <v>5</v>
      </c>
      <c r="O9" s="18" t="s">
        <v>67</v>
      </c>
      <c r="P9" s="17">
        <v>0.38</v>
      </c>
      <c r="Q9" s="17">
        <f t="shared" si="6"/>
        <v>1.9</v>
      </c>
      <c r="R9" s="9"/>
    </row>
    <row r="10" spans="1:18">
      <c r="A10" s="2"/>
      <c r="B10" s="10">
        <f t="shared" si="0"/>
        <v>8</v>
      </c>
      <c r="C10" s="11" t="s">
        <v>17</v>
      </c>
      <c r="D10" s="12" t="s">
        <v>68</v>
      </c>
      <c r="E10" s="12" t="s">
        <v>69</v>
      </c>
      <c r="F10" s="12" t="s">
        <v>46</v>
      </c>
      <c r="G10" s="12" t="s">
        <v>70</v>
      </c>
      <c r="H10" s="12" t="s">
        <v>71</v>
      </c>
      <c r="I10" s="12" t="s">
        <v>23</v>
      </c>
      <c r="J10" s="12" t="s">
        <v>72</v>
      </c>
      <c r="K10" s="12" t="s">
        <v>73</v>
      </c>
      <c r="L10" s="12">
        <v>2</v>
      </c>
      <c r="M10" s="12">
        <f t="shared" ref="M10:M11" si="7">L10*5</f>
        <v>10</v>
      </c>
      <c r="N10" s="12" t="s">
        <v>34</v>
      </c>
      <c r="O10" s="18" t="s">
        <v>26</v>
      </c>
      <c r="P10" s="19" t="s">
        <v>74</v>
      </c>
      <c r="Q10" s="19">
        <f t="shared" ref="Q10:Q11" si="8">P10*N10</f>
        <v>0.46</v>
      </c>
      <c r="R10" s="12"/>
    </row>
    <row r="11" spans="1:18" ht="36">
      <c r="A11" s="2"/>
      <c r="B11" s="7">
        <f>ROW(B11)-ROW($B$2)</f>
        <v>9</v>
      </c>
      <c r="C11" s="11" t="s">
        <v>17</v>
      </c>
      <c r="D11" s="9" t="s">
        <v>75</v>
      </c>
      <c r="E11" s="9" t="s">
        <v>76</v>
      </c>
      <c r="F11" s="9" t="s">
        <v>46</v>
      </c>
      <c r="G11" s="9" t="s">
        <v>77</v>
      </c>
      <c r="H11" s="9" t="s">
        <v>71</v>
      </c>
      <c r="I11" s="12" t="s">
        <v>23</v>
      </c>
      <c r="J11" s="9" t="s">
        <v>78</v>
      </c>
      <c r="K11" s="9" t="s">
        <v>33</v>
      </c>
      <c r="L11" s="9">
        <v>15</v>
      </c>
      <c r="M11" s="9">
        <f t="shared" si="7"/>
        <v>75</v>
      </c>
      <c r="N11" s="9" t="s">
        <v>79</v>
      </c>
      <c r="O11" s="18" t="s">
        <v>26</v>
      </c>
      <c r="P11" s="17" t="s">
        <v>80</v>
      </c>
      <c r="Q11" s="17">
        <f t="shared" si="8"/>
        <v>5.9625000000000004</v>
      </c>
      <c r="R11" s="9"/>
    </row>
    <row r="12" spans="1:18" ht="36">
      <c r="A12" s="2"/>
      <c r="B12" s="10">
        <f t="shared" si="0"/>
        <v>10</v>
      </c>
      <c r="C12" s="11" t="s">
        <v>17</v>
      </c>
      <c r="D12" s="12" t="s">
        <v>81</v>
      </c>
      <c r="E12" s="12" t="s">
        <v>82</v>
      </c>
      <c r="F12" s="9" t="s">
        <v>20</v>
      </c>
      <c r="G12" s="12" t="s">
        <v>83</v>
      </c>
      <c r="H12" s="12" t="s">
        <v>84</v>
      </c>
      <c r="I12" s="12" t="s">
        <v>23</v>
      </c>
      <c r="J12" s="12" t="s">
        <v>85</v>
      </c>
      <c r="K12" s="12" t="s">
        <v>86</v>
      </c>
      <c r="L12" s="12">
        <v>1</v>
      </c>
      <c r="M12" s="12">
        <f t="shared" ref="M12:M13" si="9">L12*5</f>
        <v>5</v>
      </c>
      <c r="N12" s="12" t="s">
        <v>87</v>
      </c>
      <c r="O12" s="18" t="s">
        <v>26</v>
      </c>
      <c r="P12" s="19" t="s">
        <v>88</v>
      </c>
      <c r="Q12" s="19">
        <f t="shared" ref="Q12:Q13" si="10">P12*N12</f>
        <v>1.8979999999999999</v>
      </c>
      <c r="R12" s="12"/>
    </row>
    <row r="13" spans="1:18">
      <c r="A13" s="2"/>
      <c r="B13" s="7">
        <f>ROW(B13)-ROW($B$2)</f>
        <v>11</v>
      </c>
      <c r="C13" s="11" t="s">
        <v>17</v>
      </c>
      <c r="D13" s="9" t="s">
        <v>89</v>
      </c>
      <c r="E13" s="9" t="s">
        <v>90</v>
      </c>
      <c r="F13" s="9" t="s">
        <v>38</v>
      </c>
      <c r="G13" s="9" t="s">
        <v>91</v>
      </c>
      <c r="H13" s="9" t="s">
        <v>31</v>
      </c>
      <c r="I13" s="12" t="s">
        <v>23</v>
      </c>
      <c r="J13" s="9" t="s">
        <v>92</v>
      </c>
      <c r="K13" s="9" t="s">
        <v>93</v>
      </c>
      <c r="L13" s="9">
        <v>1</v>
      </c>
      <c r="M13" s="9">
        <f t="shared" si="9"/>
        <v>5</v>
      </c>
      <c r="N13" s="9" t="s">
        <v>42</v>
      </c>
      <c r="O13" s="18" t="s">
        <v>26</v>
      </c>
      <c r="P13" s="17" t="s">
        <v>94</v>
      </c>
      <c r="Q13" s="17">
        <f t="shared" si="10"/>
        <v>0.26</v>
      </c>
      <c r="R13" s="9"/>
    </row>
    <row r="14" spans="1:18">
      <c r="A14" s="2"/>
      <c r="B14" s="10">
        <f t="shared" si="0"/>
        <v>12</v>
      </c>
      <c r="C14" s="11" t="s">
        <v>17</v>
      </c>
      <c r="D14" s="12" t="s">
        <v>95</v>
      </c>
      <c r="E14" s="12" t="s">
        <v>96</v>
      </c>
      <c r="F14" s="12" t="s">
        <v>97</v>
      </c>
      <c r="G14" s="12" t="s">
        <v>98</v>
      </c>
      <c r="H14" s="12" t="s">
        <v>31</v>
      </c>
      <c r="I14" s="12" t="s">
        <v>23</v>
      </c>
      <c r="J14" s="12" t="s">
        <v>99</v>
      </c>
      <c r="K14" s="12" t="s">
        <v>100</v>
      </c>
      <c r="L14" s="12">
        <v>4</v>
      </c>
      <c r="M14" s="12">
        <f t="shared" ref="M14:M15" si="11">L14*5</f>
        <v>20</v>
      </c>
      <c r="N14" s="12" t="s">
        <v>42</v>
      </c>
      <c r="O14" s="18" t="s">
        <v>26</v>
      </c>
      <c r="P14" s="19" t="s">
        <v>101</v>
      </c>
      <c r="Q14" s="19">
        <f t="shared" ref="Q14:Q15" si="12">P14*N14</f>
        <v>0.1</v>
      </c>
      <c r="R14" s="12"/>
    </row>
    <row r="15" spans="1:18">
      <c r="A15" s="2"/>
      <c r="B15" s="7">
        <f>ROW(B15)-ROW($B$2)</f>
        <v>13</v>
      </c>
      <c r="C15" s="11" t="s">
        <v>17</v>
      </c>
      <c r="D15" s="9" t="s">
        <v>102</v>
      </c>
      <c r="E15" s="9" t="s">
        <v>103</v>
      </c>
      <c r="F15" s="9" t="s">
        <v>38</v>
      </c>
      <c r="G15" s="9" t="s">
        <v>104</v>
      </c>
      <c r="H15" s="9" t="s">
        <v>31</v>
      </c>
      <c r="I15" s="12" t="s">
        <v>23</v>
      </c>
      <c r="J15" s="9" t="s">
        <v>105</v>
      </c>
      <c r="K15" s="9" t="s">
        <v>41</v>
      </c>
      <c r="L15" s="9">
        <v>5</v>
      </c>
      <c r="M15" s="9">
        <f t="shared" si="11"/>
        <v>25</v>
      </c>
      <c r="N15" s="9" t="s">
        <v>106</v>
      </c>
      <c r="O15" s="18" t="s">
        <v>26</v>
      </c>
      <c r="P15" s="17" t="s">
        <v>107</v>
      </c>
      <c r="Q15" s="17">
        <f t="shared" si="12"/>
        <v>0.96799999999999997</v>
      </c>
      <c r="R15" s="9"/>
    </row>
    <row r="16" spans="1:18">
      <c r="A16" s="2"/>
      <c r="B16" s="10">
        <f t="shared" si="0"/>
        <v>14</v>
      </c>
      <c r="C16" s="11" t="s">
        <v>17</v>
      </c>
      <c r="D16" s="12" t="s">
        <v>108</v>
      </c>
      <c r="E16" s="12" t="s">
        <v>109</v>
      </c>
      <c r="F16" s="12" t="s">
        <v>29</v>
      </c>
      <c r="G16" s="12" t="s">
        <v>110</v>
      </c>
      <c r="H16" s="12" t="s">
        <v>31</v>
      </c>
      <c r="I16" s="12" t="s">
        <v>23</v>
      </c>
      <c r="J16" s="12" t="s">
        <v>111</v>
      </c>
      <c r="K16" s="12" t="s">
        <v>112</v>
      </c>
      <c r="L16" s="12">
        <v>1</v>
      </c>
      <c r="M16" s="12">
        <f t="shared" ref="M16:M17" si="13">L16*5</f>
        <v>5</v>
      </c>
      <c r="N16" s="12" t="s">
        <v>113</v>
      </c>
      <c r="O16" s="18" t="s">
        <v>26</v>
      </c>
      <c r="P16" s="19" t="s">
        <v>114</v>
      </c>
      <c r="Q16" s="19">
        <f t="shared" ref="Q16:Q17" si="14">P16*N16</f>
        <v>0.56799999999999995</v>
      </c>
      <c r="R16" s="12"/>
    </row>
    <row r="17" spans="1:18">
      <c r="A17" s="2"/>
      <c r="B17" s="7">
        <f>ROW(B17)-ROW($B$2)</f>
        <v>15</v>
      </c>
      <c r="C17" s="11" t="s">
        <v>17</v>
      </c>
      <c r="D17" s="9" t="s">
        <v>115</v>
      </c>
      <c r="E17" s="9" t="s">
        <v>116</v>
      </c>
      <c r="F17" s="9" t="s">
        <v>46</v>
      </c>
      <c r="G17" s="9" t="s">
        <v>117</v>
      </c>
      <c r="H17" s="9" t="s">
        <v>31</v>
      </c>
      <c r="I17" s="12" t="s">
        <v>23</v>
      </c>
      <c r="J17" s="9" t="s">
        <v>118</v>
      </c>
      <c r="K17" s="9" t="s">
        <v>119</v>
      </c>
      <c r="L17" s="9">
        <v>2</v>
      </c>
      <c r="M17" s="9">
        <f t="shared" si="13"/>
        <v>10</v>
      </c>
      <c r="N17" s="9" t="s">
        <v>42</v>
      </c>
      <c r="O17" s="18" t="s">
        <v>26</v>
      </c>
      <c r="P17" s="17" t="s">
        <v>120</v>
      </c>
      <c r="Q17" s="17">
        <f t="shared" si="14"/>
        <v>0.11</v>
      </c>
      <c r="R17" s="9"/>
    </row>
    <row r="18" spans="1:18">
      <c r="A18" s="2"/>
      <c r="B18" s="10">
        <f t="shared" si="0"/>
        <v>16</v>
      </c>
      <c r="C18" s="11" t="s">
        <v>17</v>
      </c>
      <c r="D18" s="12" t="s">
        <v>121</v>
      </c>
      <c r="E18" s="12" t="s">
        <v>122</v>
      </c>
      <c r="F18" s="12" t="s">
        <v>46</v>
      </c>
      <c r="G18" s="12" t="s">
        <v>123</v>
      </c>
      <c r="H18" s="12" t="s">
        <v>31</v>
      </c>
      <c r="I18" s="12" t="s">
        <v>23</v>
      </c>
      <c r="J18" s="12" t="s">
        <v>124</v>
      </c>
      <c r="K18" s="12" t="s">
        <v>33</v>
      </c>
      <c r="L18" s="12">
        <v>6</v>
      </c>
      <c r="M18" s="12">
        <f t="shared" ref="M18:M19" si="15">L18*5</f>
        <v>30</v>
      </c>
      <c r="N18" s="12" t="s">
        <v>42</v>
      </c>
      <c r="O18" s="18" t="s">
        <v>26</v>
      </c>
      <c r="P18" s="19" t="s">
        <v>125</v>
      </c>
      <c r="Q18" s="19">
        <f t="shared" ref="Q18:Q19" si="16">P18*N18</f>
        <v>0.18</v>
      </c>
      <c r="R18" s="12"/>
    </row>
    <row r="19" spans="1:18">
      <c r="A19" s="2"/>
      <c r="B19" s="7">
        <f>ROW(B19)-ROW($B$2)</f>
        <v>17</v>
      </c>
      <c r="C19" s="11" t="s">
        <v>17</v>
      </c>
      <c r="D19" s="9" t="s">
        <v>126</v>
      </c>
      <c r="E19" s="9" t="s">
        <v>127</v>
      </c>
      <c r="F19" s="9" t="s">
        <v>38</v>
      </c>
      <c r="G19" s="9" t="s">
        <v>128</v>
      </c>
      <c r="H19" s="9" t="s">
        <v>129</v>
      </c>
      <c r="I19" s="12" t="s">
        <v>23</v>
      </c>
      <c r="J19" s="9" t="s">
        <v>130</v>
      </c>
      <c r="K19" s="9" t="s">
        <v>25</v>
      </c>
      <c r="L19" s="9">
        <v>1</v>
      </c>
      <c r="M19" s="9">
        <f t="shared" si="15"/>
        <v>5</v>
      </c>
      <c r="N19" s="9" t="s">
        <v>131</v>
      </c>
      <c r="O19" s="18" t="s">
        <v>26</v>
      </c>
      <c r="P19" s="17" t="s">
        <v>132</v>
      </c>
      <c r="Q19" s="17">
        <f t="shared" si="16"/>
        <v>0.372</v>
      </c>
      <c r="R19" s="9"/>
    </row>
    <row r="20" spans="1:18">
      <c r="A20" s="2"/>
      <c r="B20" s="10">
        <f t="shared" si="0"/>
        <v>18</v>
      </c>
      <c r="C20" s="11" t="s">
        <v>17</v>
      </c>
      <c r="D20" s="12" t="s">
        <v>133</v>
      </c>
      <c r="E20" s="12" t="s">
        <v>134</v>
      </c>
      <c r="F20" s="12" t="s">
        <v>135</v>
      </c>
      <c r="G20" s="12" t="s">
        <v>136</v>
      </c>
      <c r="H20" s="12" t="s">
        <v>137</v>
      </c>
      <c r="I20" s="12" t="s">
        <v>23</v>
      </c>
      <c r="J20" s="12" t="s">
        <v>138</v>
      </c>
      <c r="K20" s="12" t="s">
        <v>139</v>
      </c>
      <c r="L20" s="12">
        <v>5</v>
      </c>
      <c r="M20" s="12">
        <f t="shared" ref="M20:M21" si="17">L20*5</f>
        <v>25</v>
      </c>
      <c r="N20" s="12" t="s">
        <v>140</v>
      </c>
      <c r="O20" s="18" t="s">
        <v>26</v>
      </c>
      <c r="P20" s="19" t="s">
        <v>141</v>
      </c>
      <c r="Q20" s="19">
        <f t="shared" ref="Q20:Q21" si="18">P20*N20</f>
        <v>3.76</v>
      </c>
      <c r="R20" s="12"/>
    </row>
    <row r="21" spans="1:18">
      <c r="A21" s="2"/>
      <c r="B21" s="7">
        <f>ROW(B21)-ROW($B$2)</f>
        <v>19</v>
      </c>
      <c r="C21" s="11" t="s">
        <v>17</v>
      </c>
      <c r="D21" s="9" t="s">
        <v>142</v>
      </c>
      <c r="E21" s="9" t="s">
        <v>143</v>
      </c>
      <c r="F21" s="9" t="s">
        <v>20</v>
      </c>
      <c r="G21" s="9" t="s">
        <v>144</v>
      </c>
      <c r="H21" s="9" t="s">
        <v>64</v>
      </c>
      <c r="I21" s="12" t="s">
        <v>23</v>
      </c>
      <c r="J21" s="9" t="s">
        <v>145</v>
      </c>
      <c r="K21" s="9" t="s">
        <v>146</v>
      </c>
      <c r="L21" s="9">
        <v>1</v>
      </c>
      <c r="M21" s="9">
        <f t="shared" si="17"/>
        <v>5</v>
      </c>
      <c r="N21" s="9" t="s">
        <v>87</v>
      </c>
      <c r="O21" s="18" t="s">
        <v>26</v>
      </c>
      <c r="P21" s="17" t="s">
        <v>147</v>
      </c>
      <c r="Q21" s="17">
        <f t="shared" si="18"/>
        <v>2.0505</v>
      </c>
      <c r="R21" s="9"/>
    </row>
    <row r="22" spans="1:18">
      <c r="A22" s="2"/>
      <c r="B22" s="10">
        <f t="shared" si="0"/>
        <v>20</v>
      </c>
      <c r="C22" s="11" t="s">
        <v>17</v>
      </c>
      <c r="D22" s="12" t="s">
        <v>148</v>
      </c>
      <c r="E22" s="12" t="s">
        <v>149</v>
      </c>
      <c r="F22" s="12" t="s">
        <v>38</v>
      </c>
      <c r="G22" s="12" t="s">
        <v>150</v>
      </c>
      <c r="H22" s="12" t="s">
        <v>31</v>
      </c>
      <c r="I22" s="12" t="s">
        <v>23</v>
      </c>
      <c r="J22" s="12" t="s">
        <v>151</v>
      </c>
      <c r="K22" s="12" t="s">
        <v>25</v>
      </c>
      <c r="L22" s="12">
        <v>1</v>
      </c>
      <c r="M22" s="12">
        <f t="shared" ref="M22:M23" si="19">L22*5</f>
        <v>5</v>
      </c>
      <c r="N22" s="12" t="s">
        <v>87</v>
      </c>
      <c r="O22" s="18" t="s">
        <v>26</v>
      </c>
      <c r="P22" s="19" t="s">
        <v>152</v>
      </c>
      <c r="Q22" s="19">
        <f t="shared" ref="Q22:Q23" si="20">P22*N22</f>
        <v>0.71799999999999997</v>
      </c>
      <c r="R22" s="12"/>
    </row>
    <row r="23" spans="1:18">
      <c r="A23" s="2"/>
      <c r="B23" s="7">
        <f>ROW(B23)-ROW($B$2)</f>
        <v>21</v>
      </c>
      <c r="C23" s="11" t="s">
        <v>17</v>
      </c>
      <c r="D23" s="9" t="s">
        <v>153</v>
      </c>
      <c r="E23" s="9" t="s">
        <v>154</v>
      </c>
      <c r="F23" s="9" t="s">
        <v>46</v>
      </c>
      <c r="G23" s="9" t="s">
        <v>155</v>
      </c>
      <c r="H23" s="9" t="s">
        <v>156</v>
      </c>
      <c r="I23" s="12" t="s">
        <v>23</v>
      </c>
      <c r="J23" s="9" t="s">
        <v>157</v>
      </c>
      <c r="K23" s="9" t="s">
        <v>33</v>
      </c>
      <c r="L23" s="9">
        <v>1</v>
      </c>
      <c r="M23" s="9">
        <f t="shared" si="19"/>
        <v>5</v>
      </c>
      <c r="N23" s="9" t="s">
        <v>34</v>
      </c>
      <c r="O23" s="18" t="s">
        <v>26</v>
      </c>
      <c r="P23" s="17" t="s">
        <v>158</v>
      </c>
      <c r="Q23" s="17">
        <f t="shared" si="20"/>
        <v>0.23</v>
      </c>
      <c r="R23" s="9"/>
    </row>
    <row r="24" spans="1:18">
      <c r="A24" s="2"/>
      <c r="B24" s="10">
        <f t="shared" si="0"/>
        <v>22</v>
      </c>
      <c r="C24" s="11" t="s">
        <v>17</v>
      </c>
      <c r="D24" s="12" t="s">
        <v>159</v>
      </c>
      <c r="E24" s="12" t="s">
        <v>160</v>
      </c>
      <c r="F24" s="12" t="s">
        <v>38</v>
      </c>
      <c r="G24" s="12" t="s">
        <v>161</v>
      </c>
      <c r="H24" s="12" t="s">
        <v>71</v>
      </c>
      <c r="I24" s="12" t="s">
        <v>23</v>
      </c>
      <c r="J24" s="12" t="s">
        <v>162</v>
      </c>
      <c r="K24" s="12" t="s">
        <v>25</v>
      </c>
      <c r="L24" s="12">
        <v>1</v>
      </c>
      <c r="M24" s="12">
        <f t="shared" ref="M24:M25" si="21">L24*5</f>
        <v>5</v>
      </c>
      <c r="N24" s="12" t="s">
        <v>87</v>
      </c>
      <c r="O24" s="18" t="s">
        <v>26</v>
      </c>
      <c r="P24" s="19" t="s">
        <v>163</v>
      </c>
      <c r="Q24" s="19">
        <f t="shared" ref="Q24:Q25" si="22">P24*N24</f>
        <v>4.2190000000000003</v>
      </c>
      <c r="R24" s="12"/>
    </row>
    <row r="25" spans="1:18">
      <c r="A25" s="2"/>
      <c r="B25" s="7">
        <f>ROW(B25)-ROW($B$2)</f>
        <v>23</v>
      </c>
      <c r="C25" s="11" t="s">
        <v>17</v>
      </c>
      <c r="D25" s="9" t="s">
        <v>164</v>
      </c>
      <c r="E25" s="9" t="s">
        <v>165</v>
      </c>
      <c r="F25" s="9" t="s">
        <v>46</v>
      </c>
      <c r="G25" s="9" t="s">
        <v>166</v>
      </c>
      <c r="H25" s="9" t="s">
        <v>129</v>
      </c>
      <c r="I25" s="12" t="s">
        <v>23</v>
      </c>
      <c r="J25" s="9" t="s">
        <v>167</v>
      </c>
      <c r="K25" s="9" t="s">
        <v>33</v>
      </c>
      <c r="L25" s="9">
        <v>2</v>
      </c>
      <c r="M25" s="9">
        <f t="shared" si="21"/>
        <v>10</v>
      </c>
      <c r="N25" s="9" t="s">
        <v>34</v>
      </c>
      <c r="O25" s="18" t="s">
        <v>26</v>
      </c>
      <c r="P25" s="17" t="s">
        <v>168</v>
      </c>
      <c r="Q25" s="17">
        <f t="shared" si="22"/>
        <v>0.48</v>
      </c>
      <c r="R25" s="9"/>
    </row>
    <row r="26" spans="1:18">
      <c r="A26" s="2"/>
      <c r="B26" s="10">
        <f t="shared" si="0"/>
        <v>24</v>
      </c>
      <c r="C26" s="11" t="s">
        <v>17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173</v>
      </c>
      <c r="I26" s="12" t="s">
        <v>23</v>
      </c>
      <c r="J26" s="12" t="s">
        <v>174</v>
      </c>
      <c r="K26" s="12" t="s">
        <v>175</v>
      </c>
      <c r="L26" s="12">
        <v>1</v>
      </c>
      <c r="M26" s="12">
        <f t="shared" ref="M26:M27" si="23">L26*5</f>
        <v>5</v>
      </c>
      <c r="N26" s="12" t="s">
        <v>87</v>
      </c>
      <c r="O26" s="18" t="s">
        <v>26</v>
      </c>
      <c r="P26" s="19" t="s">
        <v>176</v>
      </c>
      <c r="Q26" s="19">
        <f t="shared" ref="Q26:Q27" si="24">P26*N26</f>
        <v>8.5024999999999995</v>
      </c>
      <c r="R26" s="12"/>
    </row>
    <row r="27" spans="1:18">
      <c r="A27" s="2"/>
      <c r="B27" s="7">
        <f>ROW(B27)-ROW($B$2)</f>
        <v>25</v>
      </c>
      <c r="C27" s="11" t="s">
        <v>17</v>
      </c>
      <c r="D27" s="9" t="s">
        <v>177</v>
      </c>
      <c r="E27" s="9" t="s">
        <v>178</v>
      </c>
      <c r="F27" s="9" t="s">
        <v>179</v>
      </c>
      <c r="G27" s="9" t="s">
        <v>180</v>
      </c>
      <c r="H27" s="9" t="s">
        <v>173</v>
      </c>
      <c r="I27" s="12" t="s">
        <v>23</v>
      </c>
      <c r="J27" s="9" t="s">
        <v>181</v>
      </c>
      <c r="K27" s="9" t="s">
        <v>66</v>
      </c>
      <c r="L27" s="9">
        <v>1</v>
      </c>
      <c r="M27" s="9">
        <f t="shared" si="23"/>
        <v>5</v>
      </c>
      <c r="N27" s="9" t="s">
        <v>87</v>
      </c>
      <c r="O27" s="18" t="s">
        <v>26</v>
      </c>
      <c r="P27" s="17" t="s">
        <v>182</v>
      </c>
      <c r="Q27" s="17">
        <f t="shared" si="24"/>
        <v>1.3089999999999999</v>
      </c>
      <c r="R27" s="9"/>
    </row>
    <row r="28" spans="1:18">
      <c r="A28" s="2"/>
      <c r="B28" s="10">
        <f t="shared" si="0"/>
        <v>26</v>
      </c>
      <c r="C28" s="11" t="s">
        <v>17</v>
      </c>
      <c r="D28" s="12" t="s">
        <v>183</v>
      </c>
      <c r="E28" s="12" t="s">
        <v>184</v>
      </c>
      <c r="F28" s="12" t="s">
        <v>46</v>
      </c>
      <c r="G28" s="12" t="s">
        <v>185</v>
      </c>
      <c r="H28" s="12" t="s">
        <v>31</v>
      </c>
      <c r="I28" s="12" t="s">
        <v>23</v>
      </c>
      <c r="J28" s="12" t="s">
        <v>186</v>
      </c>
      <c r="K28" s="12" t="s">
        <v>25</v>
      </c>
      <c r="L28" s="12">
        <v>2</v>
      </c>
      <c r="M28" s="12">
        <f t="shared" ref="M28:M29" si="25">L28*5</f>
        <v>10</v>
      </c>
      <c r="N28" s="12" t="s">
        <v>113</v>
      </c>
      <c r="O28" s="18" t="s">
        <v>26</v>
      </c>
      <c r="P28" s="19" t="s">
        <v>187</v>
      </c>
      <c r="Q28" s="19">
        <f t="shared" ref="Q28:Q29" si="26">P28*N28</f>
        <v>0.50800000000000001</v>
      </c>
      <c r="R28" s="12"/>
    </row>
    <row r="29" spans="1:18">
      <c r="A29" s="2"/>
      <c r="B29" s="7">
        <f>ROW(B29)-ROW($B$2)</f>
        <v>27</v>
      </c>
      <c r="C29" s="11" t="s">
        <v>17</v>
      </c>
      <c r="D29" s="9" t="s">
        <v>188</v>
      </c>
      <c r="E29" s="9" t="s">
        <v>189</v>
      </c>
      <c r="F29" s="9" t="s">
        <v>190</v>
      </c>
      <c r="G29" s="9" t="s">
        <v>191</v>
      </c>
      <c r="H29" s="9" t="s">
        <v>129</v>
      </c>
      <c r="I29" s="12" t="s">
        <v>23</v>
      </c>
      <c r="J29" s="9" t="s">
        <v>192</v>
      </c>
      <c r="K29" s="9" t="s">
        <v>33</v>
      </c>
      <c r="L29" s="9">
        <v>1</v>
      </c>
      <c r="M29" s="9">
        <f t="shared" si="25"/>
        <v>5</v>
      </c>
      <c r="N29" s="9" t="s">
        <v>34</v>
      </c>
      <c r="O29" s="18" t="s">
        <v>26</v>
      </c>
      <c r="P29" s="17" t="s">
        <v>193</v>
      </c>
      <c r="Q29" s="17">
        <f t="shared" si="26"/>
        <v>0.44500000000000001</v>
      </c>
      <c r="R29" s="9"/>
    </row>
    <row r="30" spans="1:18">
      <c r="A30" s="2"/>
      <c r="B30" s="10">
        <f t="shared" si="0"/>
        <v>28</v>
      </c>
      <c r="C30" s="11" t="s">
        <v>194</v>
      </c>
      <c r="D30" s="12" t="s">
        <v>195</v>
      </c>
      <c r="E30" s="12" t="s">
        <v>196</v>
      </c>
      <c r="F30" s="9" t="s">
        <v>20</v>
      </c>
      <c r="G30" s="12" t="s">
        <v>197</v>
      </c>
      <c r="H30" s="12" t="s">
        <v>173</v>
      </c>
      <c r="I30" s="12" t="s">
        <v>23</v>
      </c>
      <c r="J30" s="12" t="s">
        <v>23</v>
      </c>
      <c r="K30" s="12" t="s">
        <v>198</v>
      </c>
      <c r="L30" s="12">
        <v>1</v>
      </c>
      <c r="M30" s="12">
        <f t="shared" ref="M30:M31" si="27">L30*5</f>
        <v>5</v>
      </c>
      <c r="N30" s="12">
        <v>5</v>
      </c>
      <c r="O30" s="20" t="s">
        <v>67</v>
      </c>
      <c r="P30" s="19">
        <v>2.54</v>
      </c>
      <c r="Q30" s="19">
        <f t="shared" ref="Q30:Q31" si="28">P30*N30</f>
        <v>12.7</v>
      </c>
      <c r="R30" s="12"/>
    </row>
    <row r="31" spans="1:18">
      <c r="A31" s="2"/>
      <c r="B31" s="7">
        <f>ROW(B31)-ROW($B$2)</f>
        <v>29</v>
      </c>
      <c r="C31" s="11" t="s">
        <v>17</v>
      </c>
      <c r="D31" s="9" t="s">
        <v>199</v>
      </c>
      <c r="E31" s="9" t="s">
        <v>200</v>
      </c>
      <c r="F31" s="9" t="s">
        <v>29</v>
      </c>
      <c r="G31" s="9" t="s">
        <v>201</v>
      </c>
      <c r="H31" s="9" t="s">
        <v>71</v>
      </c>
      <c r="I31" s="12" t="s">
        <v>23</v>
      </c>
      <c r="J31" s="9" t="s">
        <v>202</v>
      </c>
      <c r="K31" s="9" t="s">
        <v>203</v>
      </c>
      <c r="L31" s="9">
        <v>2</v>
      </c>
      <c r="M31" s="9">
        <f t="shared" si="27"/>
        <v>10</v>
      </c>
      <c r="N31" s="9" t="s">
        <v>131</v>
      </c>
      <c r="O31" s="18" t="s">
        <v>26</v>
      </c>
      <c r="P31" s="17" t="s">
        <v>204</v>
      </c>
      <c r="Q31" s="17">
        <f t="shared" si="28"/>
        <v>17.440999999999999</v>
      </c>
      <c r="R31" s="9"/>
    </row>
    <row r="32" spans="1:18">
      <c r="A32" s="2"/>
      <c r="B32" s="10">
        <f t="shared" si="0"/>
        <v>30</v>
      </c>
      <c r="C32" s="11" t="s">
        <v>17</v>
      </c>
      <c r="D32" s="12" t="s">
        <v>205</v>
      </c>
      <c r="E32" s="12" t="s">
        <v>206</v>
      </c>
      <c r="F32" s="12" t="s">
        <v>38</v>
      </c>
      <c r="G32" s="12" t="s">
        <v>207</v>
      </c>
      <c r="H32" s="12" t="s">
        <v>31</v>
      </c>
      <c r="I32" s="12" t="s">
        <v>23</v>
      </c>
      <c r="J32" s="12" t="s">
        <v>208</v>
      </c>
      <c r="K32" s="12" t="s">
        <v>209</v>
      </c>
      <c r="L32" s="12">
        <v>1</v>
      </c>
      <c r="M32" s="12">
        <f t="shared" ref="M32:M33" si="29">L32*5</f>
        <v>5</v>
      </c>
      <c r="N32" s="12" t="s">
        <v>34</v>
      </c>
      <c r="O32" s="18" t="s">
        <v>26</v>
      </c>
      <c r="P32" s="19" t="s">
        <v>74</v>
      </c>
      <c r="Q32" s="19">
        <f t="shared" ref="Q32:Q33" si="30">P32*N32</f>
        <v>0.46</v>
      </c>
      <c r="R32" s="12"/>
    </row>
    <row r="33" spans="1:18">
      <c r="A33" s="2"/>
      <c r="B33" s="7">
        <f>ROW(B33)-ROW($B$2)</f>
        <v>31</v>
      </c>
      <c r="C33" s="8" t="s">
        <v>17</v>
      </c>
      <c r="D33" s="9" t="s">
        <v>210</v>
      </c>
      <c r="E33" s="9" t="s">
        <v>211</v>
      </c>
      <c r="F33" s="9" t="s">
        <v>38</v>
      </c>
      <c r="G33" s="9" t="s">
        <v>212</v>
      </c>
      <c r="H33" s="9" t="s">
        <v>31</v>
      </c>
      <c r="I33" s="12" t="s">
        <v>23</v>
      </c>
      <c r="J33" s="9" t="s">
        <v>213</v>
      </c>
      <c r="K33" s="9" t="s">
        <v>214</v>
      </c>
      <c r="L33" s="9">
        <v>1</v>
      </c>
      <c r="M33" s="9">
        <f t="shared" si="29"/>
        <v>5</v>
      </c>
      <c r="N33" s="9" t="s">
        <v>42</v>
      </c>
      <c r="O33" s="18" t="s">
        <v>26</v>
      </c>
      <c r="P33" s="17" t="s">
        <v>94</v>
      </c>
      <c r="Q33" s="17">
        <f t="shared" si="30"/>
        <v>0.26</v>
      </c>
      <c r="R33" s="9"/>
    </row>
    <row r="34" spans="1:18">
      <c r="A34" s="2"/>
      <c r="B34" s="10">
        <f t="shared" si="0"/>
        <v>32</v>
      </c>
      <c r="C34" s="11" t="s">
        <v>17</v>
      </c>
      <c r="D34" s="12" t="s">
        <v>215</v>
      </c>
      <c r="E34" s="12" t="s">
        <v>216</v>
      </c>
      <c r="F34" s="12" t="s">
        <v>38</v>
      </c>
      <c r="G34" s="12" t="s">
        <v>217</v>
      </c>
      <c r="H34" s="12" t="s">
        <v>31</v>
      </c>
      <c r="I34" s="12" t="s">
        <v>23</v>
      </c>
      <c r="J34" s="12" t="s">
        <v>218</v>
      </c>
      <c r="K34" s="12" t="s">
        <v>139</v>
      </c>
      <c r="L34" s="12">
        <v>2</v>
      </c>
      <c r="M34" s="12">
        <f t="shared" ref="M34:M35" si="31">L34*5</f>
        <v>10</v>
      </c>
      <c r="N34" s="12" t="s">
        <v>131</v>
      </c>
      <c r="O34" s="18" t="s">
        <v>26</v>
      </c>
      <c r="P34" s="19" t="s">
        <v>219</v>
      </c>
      <c r="Q34" s="19">
        <f t="shared" ref="Q34:Q35" si="32">P34*N34</f>
        <v>0.39300000000000002</v>
      </c>
      <c r="R34" s="12"/>
    </row>
    <row r="35" spans="1:18">
      <c r="A35" s="2"/>
      <c r="B35" s="7">
        <f>ROW(B35)-ROW($B$2)</f>
        <v>33</v>
      </c>
      <c r="C35" s="8" t="s">
        <v>17</v>
      </c>
      <c r="D35" s="9" t="s">
        <v>220</v>
      </c>
      <c r="E35" s="9" t="s">
        <v>221</v>
      </c>
      <c r="F35" s="9" t="s">
        <v>46</v>
      </c>
      <c r="G35" s="9" t="s">
        <v>222</v>
      </c>
      <c r="H35" s="9" t="s">
        <v>129</v>
      </c>
      <c r="I35" s="12" t="s">
        <v>23</v>
      </c>
      <c r="J35" s="9" t="s">
        <v>223</v>
      </c>
      <c r="K35" s="9" t="s">
        <v>224</v>
      </c>
      <c r="L35" s="9">
        <v>2</v>
      </c>
      <c r="M35" s="9">
        <f t="shared" si="31"/>
        <v>10</v>
      </c>
      <c r="N35" s="9" t="s">
        <v>34</v>
      </c>
      <c r="O35" s="18" t="s">
        <v>26</v>
      </c>
      <c r="P35" s="17" t="s">
        <v>225</v>
      </c>
      <c r="Q35" s="17">
        <f t="shared" si="32"/>
        <v>0.89500000000000002</v>
      </c>
      <c r="R35" s="9"/>
    </row>
    <row r="36" spans="1:18">
      <c r="A36" s="2"/>
      <c r="B36" s="10">
        <f t="shared" si="0"/>
        <v>34</v>
      </c>
      <c r="C36" s="11" t="s">
        <v>17</v>
      </c>
      <c r="D36" s="12" t="s">
        <v>226</v>
      </c>
      <c r="E36" s="12" t="s">
        <v>227</v>
      </c>
      <c r="F36" s="12" t="s">
        <v>38</v>
      </c>
      <c r="G36" s="12" t="s">
        <v>228</v>
      </c>
      <c r="H36" s="12" t="s">
        <v>31</v>
      </c>
      <c r="I36" s="12" t="s">
        <v>23</v>
      </c>
      <c r="J36" s="12" t="s">
        <v>229</v>
      </c>
      <c r="K36" s="12" t="s">
        <v>119</v>
      </c>
      <c r="L36" s="12">
        <v>1</v>
      </c>
      <c r="M36" s="12">
        <f t="shared" ref="M36:M37" si="33">L36*5</f>
        <v>5</v>
      </c>
      <c r="N36" s="12" t="s">
        <v>42</v>
      </c>
      <c r="O36" s="18" t="s">
        <v>26</v>
      </c>
      <c r="P36" s="19" t="s">
        <v>230</v>
      </c>
      <c r="Q36" s="19">
        <f t="shared" ref="Q36:Q37" si="34">P36*N36</f>
        <v>0.34</v>
      </c>
      <c r="R36" s="12"/>
    </row>
    <row r="37" spans="1:18">
      <c r="A37" s="2"/>
      <c r="B37" s="7">
        <f>ROW(B37)-ROW($B$2)</f>
        <v>35</v>
      </c>
      <c r="C37" s="11" t="s">
        <v>17</v>
      </c>
      <c r="D37" s="9" t="s">
        <v>231</v>
      </c>
      <c r="E37" s="9" t="s">
        <v>232</v>
      </c>
      <c r="F37" s="9" t="s">
        <v>46</v>
      </c>
      <c r="G37" s="9" t="s">
        <v>233</v>
      </c>
      <c r="H37" s="9" t="s">
        <v>31</v>
      </c>
      <c r="I37" s="12" t="s">
        <v>23</v>
      </c>
      <c r="J37" s="9" t="s">
        <v>234</v>
      </c>
      <c r="K37" s="9" t="s">
        <v>33</v>
      </c>
      <c r="L37" s="9">
        <v>3</v>
      </c>
      <c r="M37" s="9">
        <f t="shared" si="33"/>
        <v>15</v>
      </c>
      <c r="N37" s="9" t="s">
        <v>42</v>
      </c>
      <c r="O37" s="18" t="s">
        <v>26</v>
      </c>
      <c r="P37" s="17" t="s">
        <v>235</v>
      </c>
      <c r="Q37" s="17">
        <f t="shared" si="34"/>
        <v>0.15</v>
      </c>
      <c r="R37" s="9"/>
    </row>
    <row r="38" spans="1:18">
      <c r="A38" s="2"/>
      <c r="B38" s="10">
        <f t="shared" si="0"/>
        <v>36</v>
      </c>
      <c r="C38" s="11" t="s">
        <v>17</v>
      </c>
      <c r="D38" s="12" t="s">
        <v>236</v>
      </c>
      <c r="E38" s="12" t="s">
        <v>237</v>
      </c>
      <c r="F38" s="12" t="s">
        <v>135</v>
      </c>
      <c r="G38" s="12" t="s">
        <v>238</v>
      </c>
      <c r="H38" s="12" t="s">
        <v>239</v>
      </c>
      <c r="I38" s="12" t="s">
        <v>23</v>
      </c>
      <c r="J38" s="12" t="s">
        <v>240</v>
      </c>
      <c r="K38" s="12" t="s">
        <v>25</v>
      </c>
      <c r="L38" s="12">
        <v>1</v>
      </c>
      <c r="M38" s="12">
        <f t="shared" ref="M38:M39" si="35">L38*5</f>
        <v>5</v>
      </c>
      <c r="N38" s="12" t="s">
        <v>131</v>
      </c>
      <c r="O38" s="18" t="s">
        <v>26</v>
      </c>
      <c r="P38" s="19" t="s">
        <v>241</v>
      </c>
      <c r="Q38" s="19">
        <f t="shared" ref="Q38:Q39" si="36">P38*N38</f>
        <v>0.53500000000000003</v>
      </c>
      <c r="R38" s="12"/>
    </row>
    <row r="39" spans="1:18">
      <c r="A39" s="2"/>
      <c r="B39" s="7">
        <f>ROW(B39)-ROW($B$2)</f>
        <v>37</v>
      </c>
      <c r="C39" s="11" t="s">
        <v>17</v>
      </c>
      <c r="D39" s="9" t="s">
        <v>242</v>
      </c>
      <c r="E39" s="9" t="s">
        <v>243</v>
      </c>
      <c r="F39" s="9" t="s">
        <v>46</v>
      </c>
      <c r="G39" s="9" t="s">
        <v>244</v>
      </c>
      <c r="H39" s="9" t="s">
        <v>31</v>
      </c>
      <c r="I39" s="12" t="s">
        <v>23</v>
      </c>
      <c r="J39" s="9" t="s">
        <v>245</v>
      </c>
      <c r="K39" s="9" t="s">
        <v>41</v>
      </c>
      <c r="L39" s="9">
        <v>1</v>
      </c>
      <c r="M39" s="9">
        <f t="shared" si="35"/>
        <v>5</v>
      </c>
      <c r="N39" s="9" t="s">
        <v>42</v>
      </c>
      <c r="O39" s="18" t="s">
        <v>26</v>
      </c>
      <c r="P39" s="17" t="s">
        <v>246</v>
      </c>
      <c r="Q39" s="17">
        <f t="shared" si="36"/>
        <v>0.74</v>
      </c>
      <c r="R39" s="9"/>
    </row>
    <row r="40" spans="1:18">
      <c r="A40" s="2"/>
      <c r="B40" s="10">
        <f t="shared" si="0"/>
        <v>38</v>
      </c>
      <c r="C40" s="11" t="s">
        <v>17</v>
      </c>
      <c r="D40" s="12" t="s">
        <v>247</v>
      </c>
      <c r="E40" s="12" t="s">
        <v>248</v>
      </c>
      <c r="F40" s="12" t="s">
        <v>135</v>
      </c>
      <c r="G40" s="12" t="s">
        <v>249</v>
      </c>
      <c r="H40" s="12" t="s">
        <v>31</v>
      </c>
      <c r="I40" s="12" t="s">
        <v>23</v>
      </c>
      <c r="J40" s="12" t="s">
        <v>250</v>
      </c>
      <c r="K40" s="12" t="s">
        <v>25</v>
      </c>
      <c r="L40" s="12">
        <v>1</v>
      </c>
      <c r="M40" s="12">
        <f t="shared" ref="M40:M41" si="37">L40*5</f>
        <v>5</v>
      </c>
      <c r="N40" s="12" t="s">
        <v>113</v>
      </c>
      <c r="O40" s="18" t="s">
        <v>26</v>
      </c>
      <c r="P40" s="19" t="s">
        <v>251</v>
      </c>
      <c r="Q40" s="19">
        <f t="shared" ref="Q40:Q41" si="38">P40*N40</f>
        <v>0.59199999999999997</v>
      </c>
      <c r="R40" s="12"/>
    </row>
    <row r="41" spans="1:18" ht="24">
      <c r="A41" s="2"/>
      <c r="B41" s="7">
        <f>ROW(B41)-ROW($B$2)</f>
        <v>39</v>
      </c>
      <c r="C41" s="8" t="s">
        <v>252</v>
      </c>
      <c r="D41" s="9" t="s">
        <v>253</v>
      </c>
      <c r="E41" s="9" t="s">
        <v>254</v>
      </c>
      <c r="F41" s="9" t="s">
        <v>255</v>
      </c>
      <c r="G41" s="9" t="s">
        <v>256</v>
      </c>
      <c r="H41" s="9" t="s">
        <v>257</v>
      </c>
      <c r="I41" s="12" t="s">
        <v>23</v>
      </c>
      <c r="J41" s="9" t="s">
        <v>258</v>
      </c>
      <c r="K41" s="9" t="s">
        <v>23</v>
      </c>
      <c r="L41" s="9">
        <v>1</v>
      </c>
      <c r="M41" s="9">
        <f t="shared" si="37"/>
        <v>5</v>
      </c>
      <c r="N41" s="9" t="s">
        <v>106</v>
      </c>
      <c r="O41" s="18" t="s">
        <v>26</v>
      </c>
      <c r="P41" s="17" t="s">
        <v>259</v>
      </c>
      <c r="Q41" s="17">
        <f t="shared" si="38"/>
        <v>0.84</v>
      </c>
      <c r="R41" s="9"/>
    </row>
    <row r="42" spans="1:18">
      <c r="A42" s="2"/>
      <c r="B42" s="10">
        <f t="shared" si="0"/>
        <v>40</v>
      </c>
      <c r="C42" s="11" t="s">
        <v>260</v>
      </c>
      <c r="D42" s="12" t="s">
        <v>261</v>
      </c>
      <c r="E42" s="12" t="s">
        <v>262</v>
      </c>
      <c r="F42" s="12" t="s">
        <v>255</v>
      </c>
      <c r="G42" s="12" t="s">
        <v>263</v>
      </c>
      <c r="H42" s="12" t="s">
        <v>264</v>
      </c>
      <c r="I42" s="12" t="s">
        <v>23</v>
      </c>
      <c r="J42" s="12" t="s">
        <v>265</v>
      </c>
      <c r="K42" s="9" t="s">
        <v>23</v>
      </c>
      <c r="L42" s="12">
        <v>1</v>
      </c>
      <c r="M42" s="12">
        <f t="shared" ref="M42:M43" si="39">L42*5</f>
        <v>5</v>
      </c>
      <c r="N42" s="12" t="s">
        <v>131</v>
      </c>
      <c r="O42" s="18" t="s">
        <v>26</v>
      </c>
      <c r="P42" s="19" t="s">
        <v>266</v>
      </c>
      <c r="Q42" s="19">
        <f t="shared" ref="Q42:Q43" si="40">P42*N42</f>
        <v>1.7110000000000001</v>
      </c>
      <c r="R42" s="12"/>
    </row>
    <row r="43" spans="1:18">
      <c r="A43" s="2"/>
      <c r="B43" s="7">
        <f>ROW(B43)-ROW($B$2)</f>
        <v>41</v>
      </c>
      <c r="C43" s="8" t="s">
        <v>252</v>
      </c>
      <c r="D43" s="9" t="s">
        <v>267</v>
      </c>
      <c r="E43" s="9" t="s">
        <v>268</v>
      </c>
      <c r="F43" s="9" t="s">
        <v>269</v>
      </c>
      <c r="G43" s="9" t="s">
        <v>270</v>
      </c>
      <c r="H43" s="9" t="s">
        <v>271</v>
      </c>
      <c r="I43" s="12" t="s">
        <v>23</v>
      </c>
      <c r="J43" s="9" t="s">
        <v>272</v>
      </c>
      <c r="K43" s="9" t="s">
        <v>23</v>
      </c>
      <c r="L43" s="9">
        <v>2</v>
      </c>
      <c r="M43" s="9">
        <f t="shared" si="39"/>
        <v>10</v>
      </c>
      <c r="N43" s="9" t="s">
        <v>131</v>
      </c>
      <c r="O43" s="18" t="s">
        <v>26</v>
      </c>
      <c r="P43" s="17" t="s">
        <v>273</v>
      </c>
      <c r="Q43" s="17">
        <f t="shared" si="40"/>
        <v>0.38700000000000001</v>
      </c>
      <c r="R43" s="9"/>
    </row>
    <row r="44" spans="1:18" ht="24">
      <c r="A44" s="2"/>
      <c r="B44" s="10">
        <f t="shared" si="0"/>
        <v>42</v>
      </c>
      <c r="C44" s="11" t="s">
        <v>252</v>
      </c>
      <c r="D44" s="12" t="s">
        <v>274</v>
      </c>
      <c r="E44" s="12" t="s">
        <v>275</v>
      </c>
      <c r="F44" s="12" t="s">
        <v>276</v>
      </c>
      <c r="G44" s="12" t="s">
        <v>277</v>
      </c>
      <c r="H44" s="12" t="s">
        <v>278</v>
      </c>
      <c r="I44" s="12" t="s">
        <v>23</v>
      </c>
      <c r="J44" s="12" t="s">
        <v>279</v>
      </c>
      <c r="K44" s="9" t="s">
        <v>23</v>
      </c>
      <c r="L44" s="12">
        <v>1</v>
      </c>
      <c r="M44" s="12">
        <f t="shared" ref="M44:M45" si="41">L44*5</f>
        <v>5</v>
      </c>
      <c r="N44" s="12" t="s">
        <v>131</v>
      </c>
      <c r="O44" s="18" t="s">
        <v>26</v>
      </c>
      <c r="P44" s="19" t="s">
        <v>280</v>
      </c>
      <c r="Q44" s="19">
        <f t="shared" ref="Q44:Q45" si="42">P44*N44</f>
        <v>0.82</v>
      </c>
      <c r="R44" s="12"/>
    </row>
    <row r="45" spans="1:18" ht="24">
      <c r="A45" s="2"/>
      <c r="B45" s="7">
        <f>ROW(B45)-ROW($B$2)</f>
        <v>43</v>
      </c>
      <c r="C45" s="8" t="s">
        <v>252</v>
      </c>
      <c r="D45" s="9" t="s">
        <v>281</v>
      </c>
      <c r="E45" s="9" t="s">
        <v>282</v>
      </c>
      <c r="F45" s="9" t="s">
        <v>283</v>
      </c>
      <c r="G45" s="9" t="s">
        <v>284</v>
      </c>
      <c r="H45" s="9" t="s">
        <v>285</v>
      </c>
      <c r="I45" s="12" t="s">
        <v>23</v>
      </c>
      <c r="J45" s="9" t="s">
        <v>286</v>
      </c>
      <c r="K45" s="9" t="s">
        <v>23</v>
      </c>
      <c r="L45" s="9">
        <v>2</v>
      </c>
      <c r="M45" s="9">
        <f t="shared" si="41"/>
        <v>10</v>
      </c>
      <c r="N45" s="9" t="s">
        <v>131</v>
      </c>
      <c r="O45" s="18" t="s">
        <v>26</v>
      </c>
      <c r="P45" s="17" t="s">
        <v>287</v>
      </c>
      <c r="Q45" s="17">
        <f t="shared" si="42"/>
        <v>0.44800000000000001</v>
      </c>
      <c r="R45" s="9"/>
    </row>
    <row r="46" spans="1:18" ht="36">
      <c r="A46" s="2"/>
      <c r="B46" s="10">
        <f t="shared" si="0"/>
        <v>44</v>
      </c>
      <c r="C46" s="11" t="s">
        <v>252</v>
      </c>
      <c r="D46" s="12" t="s">
        <v>288</v>
      </c>
      <c r="E46" s="12" t="s">
        <v>289</v>
      </c>
      <c r="F46" s="12" t="s">
        <v>290</v>
      </c>
      <c r="G46" s="12" t="s">
        <v>291</v>
      </c>
      <c r="H46" s="12" t="s">
        <v>292</v>
      </c>
      <c r="I46" s="12" t="s">
        <v>23</v>
      </c>
      <c r="J46" s="12" t="s">
        <v>293</v>
      </c>
      <c r="K46" s="9" t="s">
        <v>23</v>
      </c>
      <c r="L46" s="12">
        <v>1</v>
      </c>
      <c r="M46" s="12">
        <f t="shared" ref="M46:M47" si="43">L46*5</f>
        <v>5</v>
      </c>
      <c r="N46" s="12" t="s">
        <v>131</v>
      </c>
      <c r="O46" s="18" t="s">
        <v>26</v>
      </c>
      <c r="P46" s="19" t="s">
        <v>294</v>
      </c>
      <c r="Q46" s="19">
        <f t="shared" ref="Q46:Q47" si="44">P46*N46</f>
        <v>0.58699999999999997</v>
      </c>
      <c r="R46" s="12"/>
    </row>
    <row r="47" spans="1:18">
      <c r="A47" s="2"/>
      <c r="B47" s="7">
        <f>ROW(B47)-ROW($B$2)</f>
        <v>45</v>
      </c>
      <c r="C47" s="8" t="s">
        <v>252</v>
      </c>
      <c r="D47" s="9" t="s">
        <v>295</v>
      </c>
      <c r="E47" s="9" t="s">
        <v>296</v>
      </c>
      <c r="F47" s="9" t="s">
        <v>290</v>
      </c>
      <c r="G47" s="9" t="s">
        <v>297</v>
      </c>
      <c r="H47" s="9" t="s">
        <v>298</v>
      </c>
      <c r="I47" s="12" t="s">
        <v>23</v>
      </c>
      <c r="J47" s="9" t="s">
        <v>299</v>
      </c>
      <c r="K47" s="9" t="s">
        <v>23</v>
      </c>
      <c r="L47" s="9">
        <v>1</v>
      </c>
      <c r="M47" s="9">
        <f t="shared" si="43"/>
        <v>5</v>
      </c>
      <c r="N47" s="9" t="s">
        <v>131</v>
      </c>
      <c r="O47" s="18" t="s">
        <v>26</v>
      </c>
      <c r="P47" s="17" t="s">
        <v>300</v>
      </c>
      <c r="Q47" s="17">
        <f t="shared" si="44"/>
        <v>0.36199999999999999</v>
      </c>
      <c r="R47" s="9"/>
    </row>
    <row r="48" spans="1:18">
      <c r="A48" s="2"/>
      <c r="B48" s="10">
        <f t="shared" si="0"/>
        <v>46</v>
      </c>
      <c r="C48" s="11" t="s">
        <v>252</v>
      </c>
      <c r="D48" s="12" t="s">
        <v>301</v>
      </c>
      <c r="E48" s="12" t="s">
        <v>302</v>
      </c>
      <c r="F48" s="12" t="s">
        <v>303</v>
      </c>
      <c r="G48" s="12" t="s">
        <v>304</v>
      </c>
      <c r="H48" s="12" t="s">
        <v>305</v>
      </c>
      <c r="I48" s="12" t="s">
        <v>23</v>
      </c>
      <c r="J48" s="12" t="s">
        <v>306</v>
      </c>
      <c r="K48" s="9" t="s">
        <v>23</v>
      </c>
      <c r="L48" s="12">
        <v>2</v>
      </c>
      <c r="M48" s="12">
        <f t="shared" ref="M48:M49" si="45">L48*5</f>
        <v>10</v>
      </c>
      <c r="N48" s="12" t="s">
        <v>34</v>
      </c>
      <c r="O48" s="18" t="s">
        <v>26</v>
      </c>
      <c r="P48" s="19" t="s">
        <v>307</v>
      </c>
      <c r="Q48" s="19">
        <f t="shared" ref="Q48:Q49" si="46">P48*N48</f>
        <v>0.80500000000000005</v>
      </c>
      <c r="R48" s="12"/>
    </row>
    <row r="49" spans="1:18" ht="24">
      <c r="A49" s="2"/>
      <c r="B49" s="7">
        <f>ROW(B49)-ROW($B$2)</f>
        <v>47</v>
      </c>
      <c r="C49" s="8" t="s">
        <v>252</v>
      </c>
      <c r="D49" s="9" t="s">
        <v>308</v>
      </c>
      <c r="E49" s="9" t="s">
        <v>309</v>
      </c>
      <c r="F49" s="9" t="s">
        <v>310</v>
      </c>
      <c r="G49" s="9" t="s">
        <v>311</v>
      </c>
      <c r="H49" s="9" t="s">
        <v>298</v>
      </c>
      <c r="I49" s="12" t="s">
        <v>23</v>
      </c>
      <c r="J49" s="9" t="s">
        <v>312</v>
      </c>
      <c r="K49" s="9" t="s">
        <v>23</v>
      </c>
      <c r="L49" s="9">
        <v>1</v>
      </c>
      <c r="M49" s="9">
        <f t="shared" si="45"/>
        <v>5</v>
      </c>
      <c r="N49" s="9" t="s">
        <v>87</v>
      </c>
      <c r="O49" s="18" t="s">
        <v>26</v>
      </c>
      <c r="P49" s="17" t="s">
        <v>313</v>
      </c>
      <c r="Q49" s="17">
        <f t="shared" si="46"/>
        <v>0.78949999999999998</v>
      </c>
      <c r="R49" s="9"/>
    </row>
    <row r="50" spans="1:18" ht="24">
      <c r="A50" s="2"/>
      <c r="B50" s="10">
        <f t="shared" si="0"/>
        <v>48</v>
      </c>
      <c r="C50" s="11" t="s">
        <v>305</v>
      </c>
      <c r="D50" s="12" t="s">
        <v>314</v>
      </c>
      <c r="E50" s="12" t="s">
        <v>315</v>
      </c>
      <c r="F50" s="12" t="s">
        <v>316</v>
      </c>
      <c r="G50" s="12" t="s">
        <v>317</v>
      </c>
      <c r="H50" s="12" t="s">
        <v>285</v>
      </c>
      <c r="I50" s="12" t="s">
        <v>23</v>
      </c>
      <c r="J50" s="12" t="s">
        <v>318</v>
      </c>
      <c r="K50" s="9" t="s">
        <v>23</v>
      </c>
      <c r="L50" s="12">
        <v>2</v>
      </c>
      <c r="M50" s="12">
        <f t="shared" ref="M50:M51" si="47">L50*5</f>
        <v>10</v>
      </c>
      <c r="N50" s="12" t="s">
        <v>131</v>
      </c>
      <c r="O50" s="18" t="s">
        <v>26</v>
      </c>
      <c r="P50" s="19" t="s">
        <v>319</v>
      </c>
      <c r="Q50" s="19">
        <f t="shared" ref="Q50:Q51" si="48">P50*N50</f>
        <v>9.1820000000000004</v>
      </c>
      <c r="R50" s="12"/>
    </row>
    <row r="51" spans="1:18">
      <c r="A51" s="2"/>
      <c r="B51" s="7">
        <f>ROW(B51)-ROW($B$2)</f>
        <v>49</v>
      </c>
      <c r="C51" s="8" t="s">
        <v>252</v>
      </c>
      <c r="D51" s="9" t="s">
        <v>320</v>
      </c>
      <c r="E51" s="9" t="s">
        <v>321</v>
      </c>
      <c r="F51" s="9" t="s">
        <v>322</v>
      </c>
      <c r="G51" s="9" t="s">
        <v>323</v>
      </c>
      <c r="H51" s="9" t="s">
        <v>324</v>
      </c>
      <c r="I51" s="12" t="s">
        <v>23</v>
      </c>
      <c r="J51" s="9" t="s">
        <v>325</v>
      </c>
      <c r="K51" s="9" t="s">
        <v>23</v>
      </c>
      <c r="L51" s="9">
        <v>1</v>
      </c>
      <c r="M51" s="9">
        <f t="shared" si="47"/>
        <v>5</v>
      </c>
      <c r="N51" s="9" t="s">
        <v>87</v>
      </c>
      <c r="O51" s="18" t="s">
        <v>26</v>
      </c>
      <c r="P51" s="17" t="s">
        <v>326</v>
      </c>
      <c r="Q51" s="17">
        <f t="shared" si="48"/>
        <v>0.42849999999999999</v>
      </c>
      <c r="R51" s="9"/>
    </row>
    <row r="52" spans="1:18" ht="72">
      <c r="A52" s="2"/>
      <c r="B52" s="10">
        <f t="shared" si="0"/>
        <v>50</v>
      </c>
      <c r="C52" s="11" t="s">
        <v>327</v>
      </c>
      <c r="D52" s="12" t="s">
        <v>328</v>
      </c>
      <c r="E52" s="12" t="s">
        <v>329</v>
      </c>
      <c r="F52" s="12" t="s">
        <v>330</v>
      </c>
      <c r="G52" s="12" t="s">
        <v>331</v>
      </c>
      <c r="H52" s="12" t="s">
        <v>332</v>
      </c>
      <c r="I52" s="12" t="s">
        <v>23</v>
      </c>
      <c r="J52" s="12" t="s">
        <v>333</v>
      </c>
      <c r="K52" s="9" t="s">
        <v>23</v>
      </c>
      <c r="L52" s="12">
        <v>42</v>
      </c>
      <c r="M52" s="12">
        <f t="shared" ref="M52:M53" si="49">L52*5</f>
        <v>210</v>
      </c>
      <c r="N52" s="12" t="s">
        <v>334</v>
      </c>
      <c r="O52" s="18" t="s">
        <v>26</v>
      </c>
      <c r="P52" s="19" t="s">
        <v>335</v>
      </c>
      <c r="Q52" s="19">
        <f t="shared" ref="Q52:Q53" si="50">P52*N52</f>
        <v>2.2000000000000002</v>
      </c>
      <c r="R52" s="12"/>
    </row>
    <row r="53" spans="1:18" ht="36">
      <c r="A53" s="2"/>
      <c r="B53" s="7">
        <f>ROW(B53)-ROW($B$2)</f>
        <v>51</v>
      </c>
      <c r="C53" s="8" t="s">
        <v>252</v>
      </c>
      <c r="D53" s="9" t="s">
        <v>336</v>
      </c>
      <c r="E53" s="9" t="s">
        <v>337</v>
      </c>
      <c r="F53" s="9" t="s">
        <v>338</v>
      </c>
      <c r="G53" s="9" t="s">
        <v>339</v>
      </c>
      <c r="H53" s="9" t="s">
        <v>340</v>
      </c>
      <c r="I53" s="12" t="s">
        <v>23</v>
      </c>
      <c r="J53" s="9" t="s">
        <v>341</v>
      </c>
      <c r="K53" s="9" t="s">
        <v>23</v>
      </c>
      <c r="L53" s="9">
        <v>1</v>
      </c>
      <c r="M53" s="9">
        <f t="shared" si="49"/>
        <v>5</v>
      </c>
      <c r="N53" s="9" t="s">
        <v>34</v>
      </c>
      <c r="O53" s="18" t="s">
        <v>26</v>
      </c>
      <c r="P53" s="17" t="s">
        <v>342</v>
      </c>
      <c r="Q53" s="17">
        <f t="shared" si="50"/>
        <v>0.435</v>
      </c>
      <c r="R53" s="9"/>
    </row>
    <row r="54" spans="1:18">
      <c r="A54" s="2"/>
      <c r="B54" s="10">
        <f t="shared" si="0"/>
        <v>52</v>
      </c>
      <c r="C54" s="11" t="s">
        <v>252</v>
      </c>
      <c r="D54" s="12" t="s">
        <v>343</v>
      </c>
      <c r="E54" s="12" t="s">
        <v>344</v>
      </c>
      <c r="F54" s="12" t="s">
        <v>345</v>
      </c>
      <c r="G54" s="12" t="s">
        <v>346</v>
      </c>
      <c r="H54" s="12" t="s">
        <v>347</v>
      </c>
      <c r="I54" s="12" t="s">
        <v>23</v>
      </c>
      <c r="J54" s="12" t="s">
        <v>348</v>
      </c>
      <c r="K54" s="9" t="s">
        <v>23</v>
      </c>
      <c r="L54" s="12">
        <v>2</v>
      </c>
      <c r="M54" s="12">
        <f t="shared" ref="M54:M55" si="51">L54*5</f>
        <v>10</v>
      </c>
      <c r="N54" s="12" t="s">
        <v>131</v>
      </c>
      <c r="O54" s="18" t="s">
        <v>26</v>
      </c>
      <c r="P54" s="19" t="s">
        <v>349</v>
      </c>
      <c r="Q54" s="19">
        <f t="shared" ref="Q54:Q55" si="52">P54*N54</f>
        <v>0.39700000000000002</v>
      </c>
      <c r="R54" s="12"/>
    </row>
    <row r="55" spans="1:18">
      <c r="A55" s="2"/>
      <c r="B55" s="7">
        <f>ROW(B55)-ROW($B$2)</f>
        <v>53</v>
      </c>
      <c r="C55" s="8" t="s">
        <v>350</v>
      </c>
      <c r="D55" s="9" t="s">
        <v>351</v>
      </c>
      <c r="E55" s="9" t="s">
        <v>352</v>
      </c>
      <c r="F55" s="9" t="s">
        <v>290</v>
      </c>
      <c r="G55" s="9" t="s">
        <v>353</v>
      </c>
      <c r="H55" s="9" t="s">
        <v>354</v>
      </c>
      <c r="I55" s="12" t="s">
        <v>23</v>
      </c>
      <c r="J55" s="9" t="s">
        <v>355</v>
      </c>
      <c r="K55" s="9" t="s">
        <v>23</v>
      </c>
      <c r="L55" s="9">
        <v>1</v>
      </c>
      <c r="M55" s="9">
        <f t="shared" si="51"/>
        <v>5</v>
      </c>
      <c r="N55" s="9" t="s">
        <v>87</v>
      </c>
      <c r="O55" s="18" t="s">
        <v>26</v>
      </c>
      <c r="P55" s="17" t="s">
        <v>356</v>
      </c>
      <c r="Q55" s="17">
        <f t="shared" si="52"/>
        <v>0.47499999999999998</v>
      </c>
      <c r="R55" s="9"/>
    </row>
    <row r="56" spans="1:18">
      <c r="A56" s="2"/>
      <c r="B56" s="10">
        <f t="shared" si="0"/>
        <v>54</v>
      </c>
      <c r="C56" s="11" t="s">
        <v>252</v>
      </c>
      <c r="D56" s="12" t="s">
        <v>357</v>
      </c>
      <c r="E56" s="12" t="s">
        <v>358</v>
      </c>
      <c r="F56" s="12" t="s">
        <v>303</v>
      </c>
      <c r="G56" s="12" t="s">
        <v>359</v>
      </c>
      <c r="H56" s="12" t="s">
        <v>305</v>
      </c>
      <c r="I56" s="12" t="s">
        <v>23</v>
      </c>
      <c r="J56" s="12" t="s">
        <v>360</v>
      </c>
      <c r="K56" s="9" t="s">
        <v>23</v>
      </c>
      <c r="L56" s="12">
        <v>1</v>
      </c>
      <c r="M56" s="12">
        <f t="shared" ref="M56:M57" si="53">L56*5</f>
        <v>5</v>
      </c>
      <c r="N56" s="12" t="s">
        <v>113</v>
      </c>
      <c r="O56" s="18" t="s">
        <v>26</v>
      </c>
      <c r="P56" s="19" t="s">
        <v>361</v>
      </c>
      <c r="Q56" s="19">
        <f t="shared" ref="Q56:Q57" si="54">P56*N56</f>
        <v>0.54</v>
      </c>
      <c r="R56" s="12"/>
    </row>
    <row r="57" spans="1:18" ht="24">
      <c r="A57" s="2"/>
      <c r="B57" s="7">
        <f>ROW(B57)-ROW($B$2)</f>
        <v>55</v>
      </c>
      <c r="C57" s="8" t="s">
        <v>362</v>
      </c>
      <c r="D57" s="9" t="s">
        <v>363</v>
      </c>
      <c r="E57" s="9" t="s">
        <v>364</v>
      </c>
      <c r="F57" s="9" t="s">
        <v>365</v>
      </c>
      <c r="G57" s="9" t="s">
        <v>366</v>
      </c>
      <c r="H57" s="9" t="s">
        <v>367</v>
      </c>
      <c r="I57" s="12" t="s">
        <v>23</v>
      </c>
      <c r="J57" s="9" t="s">
        <v>368</v>
      </c>
      <c r="K57" s="9" t="s">
        <v>23</v>
      </c>
      <c r="L57" s="9">
        <v>3</v>
      </c>
      <c r="M57" s="9">
        <f t="shared" si="53"/>
        <v>15</v>
      </c>
      <c r="N57" s="9" t="s">
        <v>113</v>
      </c>
      <c r="O57" s="18" t="s">
        <v>26</v>
      </c>
      <c r="P57" s="17" t="s">
        <v>369</v>
      </c>
      <c r="Q57" s="17">
        <f t="shared" si="54"/>
        <v>0.45800000000000002</v>
      </c>
      <c r="R57" s="9"/>
    </row>
    <row r="58" spans="1:18">
      <c r="A58" s="2"/>
      <c r="B58" s="10">
        <f t="shared" si="0"/>
        <v>56</v>
      </c>
      <c r="C58" s="11" t="s">
        <v>305</v>
      </c>
      <c r="D58" s="12" t="s">
        <v>370</v>
      </c>
      <c r="E58" s="12" t="s">
        <v>371</v>
      </c>
      <c r="F58" s="12" t="s">
        <v>372</v>
      </c>
      <c r="G58" s="12" t="s">
        <v>373</v>
      </c>
      <c r="H58" s="12" t="s">
        <v>305</v>
      </c>
      <c r="I58" s="12" t="s">
        <v>23</v>
      </c>
      <c r="J58" s="12" t="s">
        <v>374</v>
      </c>
      <c r="K58" s="9" t="s">
        <v>23</v>
      </c>
      <c r="L58" s="12">
        <v>1</v>
      </c>
      <c r="M58" s="12">
        <f t="shared" ref="M58:M59" si="55">L58*5</f>
        <v>5</v>
      </c>
      <c r="N58" s="12" t="s">
        <v>113</v>
      </c>
      <c r="O58" s="18" t="s">
        <v>26</v>
      </c>
      <c r="P58" s="19" t="s">
        <v>375</v>
      </c>
      <c r="Q58" s="19">
        <f t="shared" ref="Q58:Q59" si="56">P58*N58</f>
        <v>0.69399999999999995</v>
      </c>
      <c r="R58" s="12"/>
    </row>
    <row r="59" spans="1:18">
      <c r="A59" s="2"/>
      <c r="B59" s="7">
        <f>ROW(B59)-ROW($B$2)</f>
        <v>57</v>
      </c>
      <c r="C59" s="8" t="s">
        <v>376</v>
      </c>
      <c r="D59" s="9" t="s">
        <v>377</v>
      </c>
      <c r="E59" s="9" t="s">
        <v>378</v>
      </c>
      <c r="F59" s="9" t="s">
        <v>20</v>
      </c>
      <c r="G59" s="9" t="s">
        <v>379</v>
      </c>
      <c r="H59" s="9" t="s">
        <v>380</v>
      </c>
      <c r="I59" s="12" t="s">
        <v>23</v>
      </c>
      <c r="J59" s="9" t="s">
        <v>381</v>
      </c>
      <c r="K59" s="9" t="s">
        <v>23</v>
      </c>
      <c r="L59" s="9">
        <v>1</v>
      </c>
      <c r="M59" s="9">
        <f t="shared" si="55"/>
        <v>5</v>
      </c>
      <c r="N59" s="9" t="s">
        <v>131</v>
      </c>
      <c r="O59" s="18" t="s">
        <v>26</v>
      </c>
      <c r="P59" s="17" t="s">
        <v>382</v>
      </c>
      <c r="Q59" s="17">
        <f t="shared" si="56"/>
        <v>6.8760000000000003</v>
      </c>
      <c r="R59" s="9"/>
    </row>
    <row r="60" spans="1:18" ht="36">
      <c r="A60" s="2"/>
      <c r="B60" s="10">
        <f t="shared" si="0"/>
        <v>58</v>
      </c>
      <c r="C60" s="11" t="s">
        <v>383</v>
      </c>
      <c r="D60" s="12" t="s">
        <v>384</v>
      </c>
      <c r="E60" s="12" t="s">
        <v>385</v>
      </c>
      <c r="F60" s="9" t="s">
        <v>20</v>
      </c>
      <c r="G60" s="12" t="s">
        <v>386</v>
      </c>
      <c r="H60" s="12" t="s">
        <v>387</v>
      </c>
      <c r="I60" s="12" t="s">
        <v>23</v>
      </c>
      <c r="J60" s="12" t="s">
        <v>388</v>
      </c>
      <c r="K60" s="9" t="s">
        <v>23</v>
      </c>
      <c r="L60" s="12">
        <v>1</v>
      </c>
      <c r="M60" s="12">
        <f t="shared" ref="M60:M61" si="57">L60*5</f>
        <v>5</v>
      </c>
      <c r="N60" s="12" t="s">
        <v>87</v>
      </c>
      <c r="O60" s="18" t="s">
        <v>26</v>
      </c>
      <c r="P60" s="19" t="s">
        <v>389</v>
      </c>
      <c r="Q60" s="19">
        <f t="shared" ref="Q60:Q61" si="58">P60*N60</f>
        <v>3.3559999999999999</v>
      </c>
      <c r="R60" s="12"/>
    </row>
    <row r="61" spans="1:18">
      <c r="A61" s="2"/>
      <c r="B61" s="7">
        <f>ROW(B61)-ROW($B$2)</f>
        <v>59</v>
      </c>
      <c r="C61" s="8" t="s">
        <v>390</v>
      </c>
      <c r="D61" s="9" t="s">
        <v>391</v>
      </c>
      <c r="E61" s="9" t="s">
        <v>392</v>
      </c>
      <c r="F61" s="9" t="s">
        <v>20</v>
      </c>
      <c r="G61" s="9" t="s">
        <v>393</v>
      </c>
      <c r="H61" s="9" t="s">
        <v>394</v>
      </c>
      <c r="I61" s="12" t="s">
        <v>23</v>
      </c>
      <c r="J61" s="9" t="s">
        <v>23</v>
      </c>
      <c r="K61" s="9" t="s">
        <v>23</v>
      </c>
      <c r="L61" s="9">
        <v>9</v>
      </c>
      <c r="M61" s="9">
        <f t="shared" si="57"/>
        <v>45</v>
      </c>
      <c r="N61" s="9">
        <v>45</v>
      </c>
      <c r="O61" s="30" t="s">
        <v>395</v>
      </c>
      <c r="P61" s="22">
        <v>0.63</v>
      </c>
      <c r="Q61" s="17">
        <f t="shared" si="58"/>
        <v>28.35</v>
      </c>
      <c r="R61" s="9"/>
    </row>
    <row r="62" spans="1:18">
      <c r="A62" s="2"/>
      <c r="B62" s="10">
        <f t="shared" si="0"/>
        <v>60</v>
      </c>
      <c r="C62" s="11" t="s">
        <v>396</v>
      </c>
      <c r="D62" s="12" t="s">
        <v>397</v>
      </c>
      <c r="E62" s="12" t="s">
        <v>398</v>
      </c>
      <c r="F62" s="9" t="s">
        <v>20</v>
      </c>
      <c r="G62" s="12" t="s">
        <v>399</v>
      </c>
      <c r="H62" s="12" t="s">
        <v>380</v>
      </c>
      <c r="I62" s="12" t="s">
        <v>23</v>
      </c>
      <c r="J62" s="12" t="s">
        <v>400</v>
      </c>
      <c r="K62" s="12" t="s">
        <v>23</v>
      </c>
      <c r="L62" s="12">
        <v>1</v>
      </c>
      <c r="M62" s="12">
        <f t="shared" ref="M62:M63" si="59">L62*5</f>
        <v>5</v>
      </c>
      <c r="N62" s="12">
        <v>5</v>
      </c>
      <c r="O62" s="18" t="s">
        <v>26</v>
      </c>
      <c r="P62" s="19" t="s">
        <v>401</v>
      </c>
      <c r="Q62" s="19">
        <f t="shared" ref="Q62:Q63" si="60">P62*N62</f>
        <v>1.0740000000000001</v>
      </c>
      <c r="R62" s="12"/>
    </row>
    <row r="63" spans="1:18">
      <c r="A63" s="2"/>
      <c r="B63" s="7">
        <f>ROW(B63)-ROW($B$2)</f>
        <v>61</v>
      </c>
      <c r="C63" s="8" t="s">
        <v>390</v>
      </c>
      <c r="D63" s="9" t="s">
        <v>402</v>
      </c>
      <c r="E63" s="9" t="s">
        <v>403</v>
      </c>
      <c r="F63" s="9" t="s">
        <v>20</v>
      </c>
      <c r="G63" s="9" t="s">
        <v>404</v>
      </c>
      <c r="H63" s="9" t="s">
        <v>405</v>
      </c>
      <c r="I63" s="12" t="s">
        <v>23</v>
      </c>
      <c r="J63" s="9" t="s">
        <v>23</v>
      </c>
      <c r="K63" s="9" t="s">
        <v>23</v>
      </c>
      <c r="L63" s="9">
        <v>1</v>
      </c>
      <c r="M63" s="9">
        <f t="shared" si="59"/>
        <v>5</v>
      </c>
      <c r="N63" s="9">
        <v>5</v>
      </c>
      <c r="O63" s="30" t="s">
        <v>395</v>
      </c>
      <c r="P63" s="22">
        <v>1.1399999999999999</v>
      </c>
      <c r="Q63" s="17">
        <f t="shared" si="60"/>
        <v>5.7</v>
      </c>
      <c r="R63" s="9"/>
    </row>
    <row r="64" spans="1:18">
      <c r="A64" s="2"/>
      <c r="B64" s="10">
        <f t="shared" si="0"/>
        <v>62</v>
      </c>
      <c r="C64" s="11" t="s">
        <v>406</v>
      </c>
      <c r="D64" s="12" t="s">
        <v>407</v>
      </c>
      <c r="E64" s="12" t="s">
        <v>408</v>
      </c>
      <c r="F64" s="9" t="s">
        <v>20</v>
      </c>
      <c r="G64" s="12">
        <v>22112032</v>
      </c>
      <c r="H64" s="12" t="s">
        <v>409</v>
      </c>
      <c r="I64" s="12" t="s">
        <v>23</v>
      </c>
      <c r="J64" s="12" t="s">
        <v>410</v>
      </c>
      <c r="K64" s="12" t="s">
        <v>23</v>
      </c>
      <c r="L64" s="12">
        <v>1</v>
      </c>
      <c r="M64" s="12">
        <f t="shared" ref="M64:M65" si="61">L64*5</f>
        <v>5</v>
      </c>
      <c r="N64" s="12" t="s">
        <v>87</v>
      </c>
      <c r="O64" s="18" t="s">
        <v>26</v>
      </c>
      <c r="P64" s="19" t="s">
        <v>411</v>
      </c>
      <c r="Q64" s="19">
        <f t="shared" ref="Q64:Q65" si="62">P64*N64</f>
        <v>1.637</v>
      </c>
      <c r="R64" s="12"/>
    </row>
    <row r="65" spans="1:18">
      <c r="A65" s="2"/>
      <c r="B65" s="7">
        <f>ROW(B65)-ROW($B$2)</f>
        <v>63</v>
      </c>
      <c r="C65" s="8" t="s">
        <v>406</v>
      </c>
      <c r="D65" s="9" t="s">
        <v>412</v>
      </c>
      <c r="E65" s="9" t="s">
        <v>413</v>
      </c>
      <c r="F65" s="9" t="s">
        <v>20</v>
      </c>
      <c r="G65" s="9">
        <v>22112022</v>
      </c>
      <c r="H65" s="9" t="s">
        <v>409</v>
      </c>
      <c r="I65" s="12" t="s">
        <v>23</v>
      </c>
      <c r="J65" s="9" t="s">
        <v>414</v>
      </c>
      <c r="K65" s="12" t="s">
        <v>23</v>
      </c>
      <c r="L65" s="9">
        <v>1</v>
      </c>
      <c r="M65" s="9">
        <f t="shared" si="61"/>
        <v>5</v>
      </c>
      <c r="N65" s="9" t="s">
        <v>87</v>
      </c>
      <c r="O65" s="18" t="s">
        <v>26</v>
      </c>
      <c r="P65" s="17" t="s">
        <v>415</v>
      </c>
      <c r="Q65" s="17">
        <f t="shared" si="62"/>
        <v>1.2195</v>
      </c>
      <c r="R65" s="9"/>
    </row>
    <row r="66" spans="1:18" ht="48">
      <c r="A66" s="2"/>
      <c r="B66" s="10">
        <f t="shared" si="0"/>
        <v>64</v>
      </c>
      <c r="C66" s="11" t="s">
        <v>416</v>
      </c>
      <c r="D66" s="12" t="s">
        <v>417</v>
      </c>
      <c r="E66" s="12" t="s">
        <v>418</v>
      </c>
      <c r="F66" s="9" t="s">
        <v>20</v>
      </c>
      <c r="G66" s="12" t="s">
        <v>419</v>
      </c>
      <c r="H66" s="12" t="s">
        <v>420</v>
      </c>
      <c r="I66" s="12" t="s">
        <v>23</v>
      </c>
      <c r="J66" s="12" t="s">
        <v>421</v>
      </c>
      <c r="K66" s="12" t="s">
        <v>23</v>
      </c>
      <c r="L66" s="12">
        <v>3</v>
      </c>
      <c r="M66" s="12">
        <f t="shared" ref="M66:M67" si="63">L66*5</f>
        <v>15</v>
      </c>
      <c r="N66" s="12" t="s">
        <v>422</v>
      </c>
      <c r="O66" s="18" t="s">
        <v>26</v>
      </c>
      <c r="P66" s="19" t="s">
        <v>423</v>
      </c>
      <c r="Q66" s="19">
        <f t="shared" ref="Q66:Q67" si="64">P66*N66</f>
        <v>2.5590000000000002</v>
      </c>
      <c r="R66" s="12"/>
    </row>
    <row r="67" spans="1:18" ht="48">
      <c r="A67" s="2"/>
      <c r="B67" s="7">
        <f>ROW(B67)-ROW($B$2)</f>
        <v>65</v>
      </c>
      <c r="C67" s="8" t="s">
        <v>424</v>
      </c>
      <c r="D67" s="9" t="s">
        <v>425</v>
      </c>
      <c r="E67" s="9" t="s">
        <v>426</v>
      </c>
      <c r="F67" s="9" t="s">
        <v>427</v>
      </c>
      <c r="G67" s="9" t="s">
        <v>428</v>
      </c>
      <c r="H67" s="9" t="s">
        <v>429</v>
      </c>
      <c r="I67" s="12" t="s">
        <v>23</v>
      </c>
      <c r="J67" s="9" t="s">
        <v>430</v>
      </c>
      <c r="K67" s="12" t="s">
        <v>23</v>
      </c>
      <c r="L67" s="9">
        <v>2</v>
      </c>
      <c r="M67" s="9">
        <f t="shared" si="63"/>
        <v>10</v>
      </c>
      <c r="N67" s="9" t="s">
        <v>34</v>
      </c>
      <c r="O67" s="18" t="s">
        <v>26</v>
      </c>
      <c r="P67" s="17" t="s">
        <v>431</v>
      </c>
      <c r="Q67" s="17">
        <f t="shared" si="64"/>
        <v>0.83499999999999996</v>
      </c>
      <c r="R67" s="9"/>
    </row>
    <row r="68" spans="1:18" ht="36">
      <c r="A68" s="2"/>
      <c r="B68" s="10">
        <f t="shared" si="0"/>
        <v>66</v>
      </c>
      <c r="C68" s="11" t="s">
        <v>255</v>
      </c>
      <c r="D68" s="12" t="s">
        <v>432</v>
      </c>
      <c r="E68" s="12" t="s">
        <v>433</v>
      </c>
      <c r="F68" s="9" t="s">
        <v>20</v>
      </c>
      <c r="G68" s="12" t="s">
        <v>434</v>
      </c>
      <c r="H68" s="12" t="s">
        <v>435</v>
      </c>
      <c r="I68" s="12" t="s">
        <v>23</v>
      </c>
      <c r="J68" s="12" t="s">
        <v>436</v>
      </c>
      <c r="K68" s="12" t="s">
        <v>23</v>
      </c>
      <c r="L68" s="12">
        <v>1</v>
      </c>
      <c r="M68" s="12">
        <f t="shared" ref="M68:M69" si="65">L68*5</f>
        <v>5</v>
      </c>
      <c r="N68" s="12" t="s">
        <v>87</v>
      </c>
      <c r="O68" s="18" t="s">
        <v>26</v>
      </c>
      <c r="P68" s="19" t="s">
        <v>437</v>
      </c>
      <c r="Q68" s="19">
        <f t="shared" ref="Q68:Q69" si="66">P68*N68</f>
        <v>4.9269999999999996</v>
      </c>
      <c r="R68" s="12"/>
    </row>
    <row r="69" spans="1:18">
      <c r="A69" s="2"/>
      <c r="B69" s="7">
        <f>ROW(B69)-ROW($B$2)</f>
        <v>67</v>
      </c>
      <c r="C69" s="8" t="s">
        <v>390</v>
      </c>
      <c r="D69" s="9" t="s">
        <v>438</v>
      </c>
      <c r="E69" s="9" t="s">
        <v>392</v>
      </c>
      <c r="F69" s="9" t="s">
        <v>20</v>
      </c>
      <c r="G69" s="9" t="s">
        <v>439</v>
      </c>
      <c r="H69" s="9" t="s">
        <v>394</v>
      </c>
      <c r="I69" s="12" t="s">
        <v>23</v>
      </c>
      <c r="J69" s="9" t="s">
        <v>23</v>
      </c>
      <c r="K69" s="9" t="s">
        <v>23</v>
      </c>
      <c r="L69" s="9">
        <v>1</v>
      </c>
      <c r="M69" s="9">
        <f t="shared" si="65"/>
        <v>5</v>
      </c>
      <c r="N69" s="9">
        <v>5</v>
      </c>
      <c r="O69" s="18" t="s">
        <v>395</v>
      </c>
      <c r="P69" s="17">
        <v>0.75</v>
      </c>
      <c r="Q69" s="17">
        <f t="shared" si="66"/>
        <v>3.75</v>
      </c>
      <c r="R69" s="9"/>
    </row>
    <row r="70" spans="1:18" ht="48">
      <c r="A70" s="2"/>
      <c r="B70" s="10">
        <f t="shared" si="0"/>
        <v>68</v>
      </c>
      <c r="C70" s="11" t="s">
        <v>440</v>
      </c>
      <c r="D70" s="12" t="s">
        <v>441</v>
      </c>
      <c r="E70" s="12" t="s">
        <v>442</v>
      </c>
      <c r="F70" s="9" t="s">
        <v>20</v>
      </c>
      <c r="G70" s="12" t="s">
        <v>443</v>
      </c>
      <c r="H70" s="12" t="s">
        <v>420</v>
      </c>
      <c r="I70" s="12" t="s">
        <v>23</v>
      </c>
      <c r="J70" s="12" t="s">
        <v>444</v>
      </c>
      <c r="K70" s="9" t="s">
        <v>23</v>
      </c>
      <c r="L70" s="12">
        <v>2</v>
      </c>
      <c r="M70" s="12">
        <f t="shared" ref="M70:M71" si="67">L70*5</f>
        <v>10</v>
      </c>
      <c r="N70" s="12" t="s">
        <v>131</v>
      </c>
      <c r="O70" s="18" t="s">
        <v>26</v>
      </c>
      <c r="P70" s="19" t="s">
        <v>445</v>
      </c>
      <c r="Q70" s="19">
        <f t="shared" ref="Q70:Q71" si="68">P70*N70</f>
        <v>1.0880000000000001</v>
      </c>
      <c r="R70" s="12"/>
    </row>
    <row r="71" spans="1:18" ht="48">
      <c r="A71" s="2"/>
      <c r="B71" s="7">
        <f>ROW(B71)-ROW($B$2)</f>
        <v>69</v>
      </c>
      <c r="C71" s="8" t="s">
        <v>416</v>
      </c>
      <c r="D71" s="9" t="s">
        <v>446</v>
      </c>
      <c r="E71" s="9" t="s">
        <v>447</v>
      </c>
      <c r="F71" s="9" t="s">
        <v>20</v>
      </c>
      <c r="G71" s="9" t="s">
        <v>448</v>
      </c>
      <c r="H71" s="9" t="s">
        <v>420</v>
      </c>
      <c r="I71" s="12" t="s">
        <v>23</v>
      </c>
      <c r="J71" s="9" t="s">
        <v>449</v>
      </c>
      <c r="K71" s="9" t="s">
        <v>23</v>
      </c>
      <c r="L71" s="9">
        <v>1</v>
      </c>
      <c r="M71" s="9">
        <f t="shared" si="67"/>
        <v>5</v>
      </c>
      <c r="N71" s="9" t="s">
        <v>87</v>
      </c>
      <c r="O71" s="18" t="s">
        <v>26</v>
      </c>
      <c r="P71" s="17" t="s">
        <v>450</v>
      </c>
      <c r="Q71" s="17">
        <f t="shared" si="68"/>
        <v>0.99750000000000005</v>
      </c>
      <c r="R71" s="9"/>
    </row>
    <row r="72" spans="1:18">
      <c r="A72" s="2"/>
      <c r="B72" s="10">
        <f t="shared" si="0"/>
        <v>70</v>
      </c>
      <c r="C72" s="11" t="s">
        <v>451</v>
      </c>
      <c r="D72" s="12" t="s">
        <v>452</v>
      </c>
      <c r="E72" s="12" t="s">
        <v>453</v>
      </c>
      <c r="F72" s="9" t="s">
        <v>20</v>
      </c>
      <c r="G72" s="12" t="s">
        <v>454</v>
      </c>
      <c r="H72" s="12" t="s">
        <v>455</v>
      </c>
      <c r="I72" s="12" t="s">
        <v>23</v>
      </c>
      <c r="J72" s="12" t="s">
        <v>456</v>
      </c>
      <c r="K72" s="9" t="s">
        <v>23</v>
      </c>
      <c r="L72" s="12">
        <v>1</v>
      </c>
      <c r="M72" s="12">
        <f t="shared" ref="M72:M73" si="69">L72*5</f>
        <v>5</v>
      </c>
      <c r="N72" s="12" t="s">
        <v>87</v>
      </c>
      <c r="O72" s="18" t="s">
        <v>26</v>
      </c>
      <c r="P72" s="19" t="s">
        <v>457</v>
      </c>
      <c r="Q72" s="19">
        <f t="shared" ref="Q72:Q73" si="70">P72*N72</f>
        <v>11.141</v>
      </c>
      <c r="R72" s="12"/>
    </row>
    <row r="73" spans="1:18">
      <c r="A73" s="2"/>
      <c r="B73" s="7">
        <f>ROW(B73)-ROW($B$2)</f>
        <v>71</v>
      </c>
      <c r="C73" s="8" t="s">
        <v>390</v>
      </c>
      <c r="D73" s="9" t="s">
        <v>458</v>
      </c>
      <c r="E73" s="9" t="s">
        <v>392</v>
      </c>
      <c r="F73" s="9" t="s">
        <v>20</v>
      </c>
      <c r="G73" s="9" t="s">
        <v>459</v>
      </c>
      <c r="H73" s="9" t="s">
        <v>394</v>
      </c>
      <c r="I73" s="12" t="s">
        <v>23</v>
      </c>
      <c r="J73" s="9" t="s">
        <v>23</v>
      </c>
      <c r="K73" s="9" t="s">
        <v>23</v>
      </c>
      <c r="L73" s="9">
        <v>2</v>
      </c>
      <c r="M73" s="9">
        <f t="shared" si="69"/>
        <v>10</v>
      </c>
      <c r="N73" s="9">
        <v>10</v>
      </c>
      <c r="O73" s="18" t="s">
        <v>395</v>
      </c>
      <c r="P73" s="17">
        <v>1.1399999999999999</v>
      </c>
      <c r="Q73" s="17">
        <f t="shared" si="70"/>
        <v>11.4</v>
      </c>
      <c r="R73" s="9"/>
    </row>
    <row r="74" spans="1:18" ht="48">
      <c r="A74" s="2"/>
      <c r="B74" s="10">
        <f t="shared" si="0"/>
        <v>72</v>
      </c>
      <c r="C74" s="11" t="s">
        <v>460</v>
      </c>
      <c r="D74" s="12" t="s">
        <v>461</v>
      </c>
      <c r="E74" s="12" t="s">
        <v>462</v>
      </c>
      <c r="F74" s="12" t="s">
        <v>463</v>
      </c>
      <c r="G74" s="12" t="s">
        <v>464</v>
      </c>
      <c r="H74" s="12" t="s">
        <v>465</v>
      </c>
      <c r="I74" s="12" t="s">
        <v>23</v>
      </c>
      <c r="J74" s="12" t="s">
        <v>466</v>
      </c>
      <c r="K74" s="9" t="s">
        <v>23</v>
      </c>
      <c r="L74" s="12">
        <v>2</v>
      </c>
      <c r="M74" s="12">
        <f t="shared" ref="M74:M75" si="71">L74*5</f>
        <v>10</v>
      </c>
      <c r="N74" s="9" t="s">
        <v>113</v>
      </c>
      <c r="O74" s="18" t="s">
        <v>26</v>
      </c>
      <c r="P74" s="17" t="s">
        <v>467</v>
      </c>
      <c r="Q74" s="19">
        <f t="shared" ref="Q74:Q75" si="72">P74*N74</f>
        <v>0.61599999999999999</v>
      </c>
      <c r="R74" s="12"/>
    </row>
    <row r="75" spans="1:18">
      <c r="A75" s="2"/>
      <c r="B75" s="7">
        <f>ROW(B75)-ROW($B$2)</f>
        <v>73</v>
      </c>
      <c r="C75" s="8" t="s">
        <v>468</v>
      </c>
      <c r="D75" s="9" t="s">
        <v>469</v>
      </c>
      <c r="E75" s="9" t="s">
        <v>470</v>
      </c>
      <c r="F75" s="9" t="s">
        <v>471</v>
      </c>
      <c r="G75" s="9" t="s">
        <v>472</v>
      </c>
      <c r="H75" s="9" t="s">
        <v>473</v>
      </c>
      <c r="I75" s="12" t="s">
        <v>23</v>
      </c>
      <c r="J75" s="9" t="s">
        <v>474</v>
      </c>
      <c r="K75" s="9" t="s">
        <v>475</v>
      </c>
      <c r="L75" s="9">
        <v>1</v>
      </c>
      <c r="M75" s="9">
        <f t="shared" si="71"/>
        <v>5</v>
      </c>
      <c r="N75" s="12" t="s">
        <v>131</v>
      </c>
      <c r="O75" s="18" t="s">
        <v>26</v>
      </c>
      <c r="P75" s="19" t="s">
        <v>476</v>
      </c>
      <c r="Q75" s="17">
        <f t="shared" si="72"/>
        <v>0.39400000000000002</v>
      </c>
      <c r="R75" s="9"/>
    </row>
    <row r="76" spans="1:18" ht="36">
      <c r="A76" s="2"/>
      <c r="B76" s="10">
        <f t="shared" si="0"/>
        <v>74</v>
      </c>
      <c r="C76" s="11" t="s">
        <v>468</v>
      </c>
      <c r="D76" s="12" t="s">
        <v>477</v>
      </c>
      <c r="E76" s="12" t="s">
        <v>478</v>
      </c>
      <c r="F76" s="9" t="s">
        <v>20</v>
      </c>
      <c r="G76" s="12" t="s">
        <v>479</v>
      </c>
      <c r="H76" s="12" t="s">
        <v>71</v>
      </c>
      <c r="I76" s="12" t="s">
        <v>23</v>
      </c>
      <c r="J76" s="12" t="s">
        <v>480</v>
      </c>
      <c r="K76" s="12" t="s">
        <v>481</v>
      </c>
      <c r="L76" s="12">
        <v>1</v>
      </c>
      <c r="M76" s="12">
        <f t="shared" ref="M76:M77" si="73">L76*5</f>
        <v>5</v>
      </c>
      <c r="N76" s="9" t="s">
        <v>87</v>
      </c>
      <c r="O76" s="18" t="s">
        <v>26</v>
      </c>
      <c r="P76" s="17" t="s">
        <v>482</v>
      </c>
      <c r="Q76" s="19">
        <f t="shared" ref="Q76:Q77" si="74">P76*N76</f>
        <v>2.1575000000000002</v>
      </c>
      <c r="R76" s="12"/>
    </row>
    <row r="77" spans="1:18" ht="24">
      <c r="A77" s="2"/>
      <c r="B77" s="7">
        <f>ROW(B77)-ROW($B$2)</f>
        <v>75</v>
      </c>
      <c r="C77" s="8" t="s">
        <v>468</v>
      </c>
      <c r="D77" s="9" t="s">
        <v>483</v>
      </c>
      <c r="E77" s="9" t="s">
        <v>484</v>
      </c>
      <c r="F77" s="9" t="s">
        <v>20</v>
      </c>
      <c r="G77" s="9" t="s">
        <v>485</v>
      </c>
      <c r="H77" s="9" t="s">
        <v>486</v>
      </c>
      <c r="I77" s="12" t="s">
        <v>23</v>
      </c>
      <c r="J77" s="9" t="s">
        <v>487</v>
      </c>
      <c r="K77" s="9" t="s">
        <v>488</v>
      </c>
      <c r="L77" s="9">
        <v>1</v>
      </c>
      <c r="M77" s="9">
        <f t="shared" si="73"/>
        <v>5</v>
      </c>
      <c r="N77" s="12" t="s">
        <v>87</v>
      </c>
      <c r="O77" s="18" t="s">
        <v>26</v>
      </c>
      <c r="P77" s="19" t="s">
        <v>489</v>
      </c>
      <c r="Q77" s="17">
        <f t="shared" si="74"/>
        <v>1.1455</v>
      </c>
      <c r="R77" s="9"/>
    </row>
    <row r="78" spans="1:18" ht="24">
      <c r="A78" s="2"/>
      <c r="B78" s="10">
        <f t="shared" si="0"/>
        <v>76</v>
      </c>
      <c r="C78" s="11" t="s">
        <v>468</v>
      </c>
      <c r="D78" s="12" t="s">
        <v>490</v>
      </c>
      <c r="E78" s="12" t="s">
        <v>491</v>
      </c>
      <c r="F78" s="9" t="s">
        <v>20</v>
      </c>
      <c r="G78" s="12" t="s">
        <v>492</v>
      </c>
      <c r="H78" s="12" t="s">
        <v>486</v>
      </c>
      <c r="I78" s="12" t="s">
        <v>23</v>
      </c>
      <c r="J78" s="12" t="s">
        <v>493</v>
      </c>
      <c r="K78" s="12" t="s">
        <v>494</v>
      </c>
      <c r="L78" s="12">
        <v>1</v>
      </c>
      <c r="M78" s="12">
        <f t="shared" ref="M78:M79" si="75">L78*5</f>
        <v>5</v>
      </c>
      <c r="N78" s="9" t="s">
        <v>131</v>
      </c>
      <c r="O78" s="18" t="s">
        <v>26</v>
      </c>
      <c r="P78" s="17" t="s">
        <v>495</v>
      </c>
      <c r="Q78" s="19">
        <f t="shared" ref="Q78:Q79" si="76">P78*N78</f>
        <v>0.59499999999999997</v>
      </c>
      <c r="R78" s="12"/>
    </row>
    <row r="79" spans="1:18">
      <c r="A79" s="2"/>
      <c r="B79" s="7">
        <f>ROW(B79)-ROW($B$2)</f>
        <v>77</v>
      </c>
      <c r="C79" s="8" t="s">
        <v>468</v>
      </c>
      <c r="D79" s="9" t="s">
        <v>496</v>
      </c>
      <c r="E79" s="9" t="s">
        <v>497</v>
      </c>
      <c r="F79" s="9" t="s">
        <v>20</v>
      </c>
      <c r="G79" s="9" t="s">
        <v>498</v>
      </c>
      <c r="H79" s="9" t="s">
        <v>499</v>
      </c>
      <c r="I79" s="12" t="s">
        <v>23</v>
      </c>
      <c r="J79" s="9" t="s">
        <v>23</v>
      </c>
      <c r="K79" s="9" t="s">
        <v>500</v>
      </c>
      <c r="L79" s="9">
        <v>1</v>
      </c>
      <c r="M79" s="9">
        <f t="shared" si="75"/>
        <v>5</v>
      </c>
      <c r="N79" s="12" t="s">
        <v>87</v>
      </c>
      <c r="O79" s="18" t="s">
        <v>26</v>
      </c>
      <c r="P79" s="19" t="s">
        <v>501</v>
      </c>
      <c r="Q79" s="17">
        <f t="shared" si="76"/>
        <v>1.679</v>
      </c>
      <c r="R79" s="9"/>
    </row>
    <row r="80" spans="1:18">
      <c r="A80" s="2"/>
      <c r="B80" s="10">
        <f t="shared" si="0"/>
        <v>78</v>
      </c>
      <c r="C80" s="11" t="s">
        <v>468</v>
      </c>
      <c r="D80" s="12" t="s">
        <v>502</v>
      </c>
      <c r="E80" s="12" t="s">
        <v>503</v>
      </c>
      <c r="F80" s="12" t="s">
        <v>504</v>
      </c>
      <c r="G80" s="12" t="s">
        <v>505</v>
      </c>
      <c r="H80" s="12" t="s">
        <v>129</v>
      </c>
      <c r="I80" s="12" t="s">
        <v>23</v>
      </c>
      <c r="J80" s="9" t="s">
        <v>506</v>
      </c>
      <c r="K80" s="12" t="s">
        <v>507</v>
      </c>
      <c r="L80" s="12">
        <v>1</v>
      </c>
      <c r="M80" s="12">
        <f t="shared" ref="M80:M81" si="77">L80*5</f>
        <v>5</v>
      </c>
      <c r="N80" s="9" t="s">
        <v>87</v>
      </c>
      <c r="O80" s="18" t="s">
        <v>26</v>
      </c>
      <c r="P80" s="17" t="s">
        <v>508</v>
      </c>
      <c r="Q80" s="19">
        <f t="shared" ref="Q80:Q81" si="78">P80*N80</f>
        <v>0.67200000000000004</v>
      </c>
      <c r="R80" s="12"/>
    </row>
    <row r="81" spans="1:18">
      <c r="A81" s="2"/>
      <c r="B81" s="7">
        <f>ROW(B81)-ROW($B$2)</f>
        <v>79</v>
      </c>
      <c r="C81" s="8" t="s">
        <v>509</v>
      </c>
      <c r="D81" s="9" t="s">
        <v>510</v>
      </c>
      <c r="E81" s="9" t="s">
        <v>511</v>
      </c>
      <c r="F81" s="9" t="s">
        <v>512</v>
      </c>
      <c r="G81" s="9" t="s">
        <v>513</v>
      </c>
      <c r="H81" s="9" t="s">
        <v>514</v>
      </c>
      <c r="I81" s="12" t="s">
        <v>23</v>
      </c>
      <c r="J81" s="9" t="s">
        <v>23</v>
      </c>
      <c r="K81" s="9" t="s">
        <v>23</v>
      </c>
      <c r="L81" s="9">
        <v>3</v>
      </c>
      <c r="M81" s="9">
        <f t="shared" si="77"/>
        <v>15</v>
      </c>
      <c r="N81" s="9">
        <v>15</v>
      </c>
      <c r="O81" s="18" t="s">
        <v>67</v>
      </c>
      <c r="P81" s="17">
        <v>0.22</v>
      </c>
      <c r="Q81" s="17">
        <f t="shared" si="78"/>
        <v>3.3</v>
      </c>
      <c r="R81" s="9"/>
    </row>
    <row r="82" spans="1:18">
      <c r="A82" s="2"/>
      <c r="B82" s="10">
        <f t="shared" si="0"/>
        <v>80</v>
      </c>
      <c r="C82" s="11" t="s">
        <v>515</v>
      </c>
      <c r="D82" s="12" t="s">
        <v>516</v>
      </c>
      <c r="E82" s="12" t="s">
        <v>517</v>
      </c>
      <c r="F82" s="9" t="s">
        <v>20</v>
      </c>
      <c r="G82" s="12" t="s">
        <v>518</v>
      </c>
      <c r="H82" s="12" t="s">
        <v>519</v>
      </c>
      <c r="I82" s="12" t="s">
        <v>23</v>
      </c>
      <c r="J82" s="12" t="s">
        <v>520</v>
      </c>
      <c r="K82" s="12" t="s">
        <v>23</v>
      </c>
      <c r="L82" s="12">
        <v>1</v>
      </c>
      <c r="M82" s="12">
        <f t="shared" ref="M82:M83" si="79">L82*5</f>
        <v>5</v>
      </c>
      <c r="N82" s="9" t="s">
        <v>87</v>
      </c>
      <c r="O82" s="18" t="s">
        <v>26</v>
      </c>
      <c r="P82" s="17" t="s">
        <v>521</v>
      </c>
      <c r="Q82" s="19">
        <f t="shared" ref="Q82:Q83" si="80">P82*N82</f>
        <v>0.4985</v>
      </c>
      <c r="R82" s="12"/>
    </row>
    <row r="83" spans="1:18" ht="24">
      <c r="A83" s="2"/>
      <c r="B83" s="7">
        <f>ROW(B83)-ROW($B$2)</f>
        <v>81</v>
      </c>
      <c r="C83" s="8" t="s">
        <v>509</v>
      </c>
      <c r="D83" s="9" t="s">
        <v>522</v>
      </c>
      <c r="E83" s="9" t="s">
        <v>523</v>
      </c>
      <c r="F83" s="9" t="s">
        <v>524</v>
      </c>
      <c r="G83" s="9" t="s">
        <v>525</v>
      </c>
      <c r="H83" s="9" t="s">
        <v>526</v>
      </c>
      <c r="I83" s="12" t="s">
        <v>23</v>
      </c>
      <c r="J83" s="9" t="s">
        <v>527</v>
      </c>
      <c r="K83" s="12" t="s">
        <v>23</v>
      </c>
      <c r="L83" s="9">
        <v>1</v>
      </c>
      <c r="M83" s="9">
        <f t="shared" si="79"/>
        <v>5</v>
      </c>
      <c r="N83" s="12" t="s">
        <v>113</v>
      </c>
      <c r="O83" s="18" t="s">
        <v>26</v>
      </c>
      <c r="P83" s="19" t="s">
        <v>528</v>
      </c>
      <c r="Q83" s="17">
        <f t="shared" si="80"/>
        <v>0.50600000000000001</v>
      </c>
      <c r="R83" s="9"/>
    </row>
    <row r="84" spans="1:18" ht="24">
      <c r="A84" s="2"/>
      <c r="B84" s="10">
        <f t="shared" si="0"/>
        <v>82</v>
      </c>
      <c r="C84" s="11" t="s">
        <v>509</v>
      </c>
      <c r="D84" s="12" t="s">
        <v>529</v>
      </c>
      <c r="E84" s="12" t="s">
        <v>530</v>
      </c>
      <c r="F84" s="12" t="s">
        <v>512</v>
      </c>
      <c r="G84" s="12" t="s">
        <v>531</v>
      </c>
      <c r="H84" s="12" t="s">
        <v>532</v>
      </c>
      <c r="I84" s="12" t="s">
        <v>23</v>
      </c>
      <c r="J84" s="12" t="s">
        <v>533</v>
      </c>
      <c r="K84" s="12" t="s">
        <v>23</v>
      </c>
      <c r="L84" s="12">
        <v>1</v>
      </c>
      <c r="M84" s="12">
        <f t="shared" ref="M84:M85" si="81">L84*5</f>
        <v>5</v>
      </c>
      <c r="N84" s="9" t="s">
        <v>131</v>
      </c>
      <c r="O84" s="18" t="s">
        <v>26</v>
      </c>
      <c r="P84" s="17" t="s">
        <v>534</v>
      </c>
      <c r="Q84" s="19">
        <f t="shared" ref="Q84:Q85" si="82">P84*N84</f>
        <v>0.55000000000000004</v>
      </c>
      <c r="R84" s="12"/>
    </row>
    <row r="85" spans="1:18" ht="24">
      <c r="A85" s="2"/>
      <c r="B85" s="7">
        <f>ROW(B85)-ROW($B$2)</f>
        <v>83</v>
      </c>
      <c r="C85" s="8" t="s">
        <v>509</v>
      </c>
      <c r="D85" s="9" t="s">
        <v>535</v>
      </c>
      <c r="E85" s="9" t="s">
        <v>536</v>
      </c>
      <c r="F85" s="9" t="s">
        <v>524</v>
      </c>
      <c r="G85" s="9" t="s">
        <v>537</v>
      </c>
      <c r="H85" s="9" t="s">
        <v>532</v>
      </c>
      <c r="I85" s="12" t="s">
        <v>23</v>
      </c>
      <c r="J85" s="9" t="s">
        <v>538</v>
      </c>
      <c r="K85" s="12" t="s">
        <v>23</v>
      </c>
      <c r="L85" s="9">
        <v>1</v>
      </c>
      <c r="M85" s="9">
        <f t="shared" si="81"/>
        <v>5</v>
      </c>
      <c r="N85" s="12">
        <v>20</v>
      </c>
      <c r="O85" s="18" t="s">
        <v>26</v>
      </c>
      <c r="P85" s="19">
        <v>2.53E-2</v>
      </c>
      <c r="Q85" s="17">
        <f t="shared" si="82"/>
        <v>0.50600000000000001</v>
      </c>
      <c r="R85" s="9"/>
    </row>
    <row r="86" spans="1:18" ht="24">
      <c r="A86" s="2"/>
      <c r="B86" s="10">
        <f t="shared" si="0"/>
        <v>84</v>
      </c>
      <c r="C86" s="11" t="s">
        <v>539</v>
      </c>
      <c r="D86" s="12" t="s">
        <v>540</v>
      </c>
      <c r="E86" s="12" t="s">
        <v>541</v>
      </c>
      <c r="F86" s="9" t="s">
        <v>20</v>
      </c>
      <c r="G86" s="12" t="s">
        <v>542</v>
      </c>
      <c r="H86" s="12" t="s">
        <v>543</v>
      </c>
      <c r="I86" s="12" t="s">
        <v>23</v>
      </c>
      <c r="J86" s="12" t="s">
        <v>544</v>
      </c>
      <c r="K86" s="12" t="s">
        <v>23</v>
      </c>
      <c r="L86" s="12">
        <v>1</v>
      </c>
      <c r="M86" s="12">
        <f t="shared" ref="M86:M87" si="83">L86*5</f>
        <v>5</v>
      </c>
      <c r="N86" s="9" t="s">
        <v>87</v>
      </c>
      <c r="O86" s="18" t="s">
        <v>26</v>
      </c>
      <c r="P86" s="17" t="s">
        <v>545</v>
      </c>
      <c r="Q86" s="19">
        <f t="shared" ref="Q86" si="84">P86*N86</f>
        <v>1.6355</v>
      </c>
      <c r="R86" s="12"/>
    </row>
    <row r="87" spans="1:18">
      <c r="A87" s="2"/>
      <c r="B87" s="7">
        <f>ROW(B87)-ROW($B$2)</f>
        <v>85</v>
      </c>
      <c r="C87" s="8" t="s">
        <v>546</v>
      </c>
      <c r="D87" s="13" t="s">
        <v>547</v>
      </c>
      <c r="E87" s="13" t="s">
        <v>548</v>
      </c>
      <c r="F87" s="13" t="s">
        <v>20</v>
      </c>
      <c r="G87" s="13" t="s">
        <v>549</v>
      </c>
      <c r="H87" s="13" t="s">
        <v>23</v>
      </c>
      <c r="I87" s="13" t="s">
        <v>23</v>
      </c>
      <c r="J87" s="13" t="s">
        <v>23</v>
      </c>
      <c r="K87" s="23" t="s">
        <v>23</v>
      </c>
      <c r="L87" s="13">
        <v>6</v>
      </c>
      <c r="M87" s="13">
        <f t="shared" si="83"/>
        <v>30</v>
      </c>
      <c r="N87" s="13" t="s">
        <v>23</v>
      </c>
      <c r="O87" s="13" t="s">
        <v>23</v>
      </c>
      <c r="P87" s="24" t="s">
        <v>23</v>
      </c>
      <c r="Q87" s="24" t="s">
        <v>23</v>
      </c>
      <c r="R87" s="27" t="s">
        <v>550</v>
      </c>
    </row>
    <row r="88" spans="1:18" ht="24">
      <c r="A88" s="2"/>
      <c r="B88" s="10">
        <f t="shared" si="0"/>
        <v>86</v>
      </c>
      <c r="C88" s="11" t="s">
        <v>551</v>
      </c>
      <c r="D88" s="12" t="s">
        <v>552</v>
      </c>
      <c r="E88" s="12" t="s">
        <v>553</v>
      </c>
      <c r="F88" s="12" t="s">
        <v>554</v>
      </c>
      <c r="G88" s="12" t="s">
        <v>555</v>
      </c>
      <c r="H88" s="12" t="s">
        <v>278</v>
      </c>
      <c r="I88" s="12" t="s">
        <v>23</v>
      </c>
      <c r="J88" s="12" t="s">
        <v>556</v>
      </c>
      <c r="K88" s="12" t="s">
        <v>23</v>
      </c>
      <c r="L88" s="12">
        <v>2</v>
      </c>
      <c r="M88" s="12">
        <f t="shared" ref="M88:M89" si="85">L88*5</f>
        <v>10</v>
      </c>
      <c r="N88" s="9" t="s">
        <v>131</v>
      </c>
      <c r="O88" s="18" t="s">
        <v>26</v>
      </c>
      <c r="P88" s="17" t="s">
        <v>557</v>
      </c>
      <c r="Q88" s="19">
        <f t="shared" ref="Q88:Q89" si="86">P88*N88</f>
        <v>0.63700000000000001</v>
      </c>
      <c r="R88" s="12"/>
    </row>
    <row r="89" spans="1:18">
      <c r="A89" s="2"/>
      <c r="B89" s="7">
        <f>ROW(B89)-ROW($B$2)</f>
        <v>87</v>
      </c>
      <c r="C89" s="8" t="s">
        <v>558</v>
      </c>
      <c r="D89" s="9" t="s">
        <v>559</v>
      </c>
      <c r="E89" s="9" t="s">
        <v>560</v>
      </c>
      <c r="F89" s="9" t="s">
        <v>345</v>
      </c>
      <c r="G89" s="9" t="s">
        <v>561</v>
      </c>
      <c r="H89" s="9" t="s">
        <v>562</v>
      </c>
      <c r="I89" s="12" t="s">
        <v>23</v>
      </c>
      <c r="J89" s="9" t="s">
        <v>563</v>
      </c>
      <c r="K89" s="12" t="s">
        <v>23</v>
      </c>
      <c r="L89" s="9">
        <v>3</v>
      </c>
      <c r="M89" s="9">
        <f t="shared" si="85"/>
        <v>15</v>
      </c>
      <c r="N89" s="12" t="s">
        <v>34</v>
      </c>
      <c r="O89" s="18" t="s">
        <v>26</v>
      </c>
      <c r="P89" s="19" t="s">
        <v>168</v>
      </c>
      <c r="Q89" s="17">
        <f t="shared" si="86"/>
        <v>0.48</v>
      </c>
      <c r="R89" s="9"/>
    </row>
    <row r="90" spans="1:18">
      <c r="A90" s="2"/>
      <c r="B90" s="10">
        <f t="shared" si="0"/>
        <v>88</v>
      </c>
      <c r="C90" s="11" t="s">
        <v>551</v>
      </c>
      <c r="D90" s="12" t="s">
        <v>564</v>
      </c>
      <c r="E90" s="12" t="s">
        <v>565</v>
      </c>
      <c r="F90" s="12" t="s">
        <v>345</v>
      </c>
      <c r="G90" s="12" t="s">
        <v>566</v>
      </c>
      <c r="H90" s="12" t="s">
        <v>567</v>
      </c>
      <c r="I90" s="12" t="s">
        <v>23</v>
      </c>
      <c r="J90" s="12" t="s">
        <v>568</v>
      </c>
      <c r="K90" s="12" t="s">
        <v>23</v>
      </c>
      <c r="L90" s="12">
        <v>1</v>
      </c>
      <c r="M90" s="12">
        <f t="shared" ref="M90:M91" si="87">L90*5</f>
        <v>5</v>
      </c>
      <c r="N90" s="9" t="s">
        <v>87</v>
      </c>
      <c r="O90" s="18" t="s">
        <v>26</v>
      </c>
      <c r="P90" s="17" t="s">
        <v>569</v>
      </c>
      <c r="Q90" s="19">
        <f t="shared" ref="Q90:Q91" si="88">P90*N90</f>
        <v>0.98</v>
      </c>
      <c r="R90" s="12"/>
    </row>
    <row r="91" spans="1:18">
      <c r="A91" s="2"/>
      <c r="B91" s="7">
        <f>ROW(B91)-ROW($B$2)</f>
        <v>89</v>
      </c>
      <c r="C91" s="8" t="s">
        <v>551</v>
      </c>
      <c r="D91" s="9" t="s">
        <v>570</v>
      </c>
      <c r="E91" s="9" t="s">
        <v>571</v>
      </c>
      <c r="F91" s="9" t="s">
        <v>572</v>
      </c>
      <c r="G91" s="9" t="s">
        <v>573</v>
      </c>
      <c r="H91" s="9" t="s">
        <v>574</v>
      </c>
      <c r="I91" s="12" t="s">
        <v>23</v>
      </c>
      <c r="J91" s="9" t="s">
        <v>575</v>
      </c>
      <c r="K91" s="12" t="s">
        <v>23</v>
      </c>
      <c r="L91" s="9">
        <v>2</v>
      </c>
      <c r="M91" s="9">
        <f t="shared" si="87"/>
        <v>10</v>
      </c>
      <c r="N91" s="12" t="s">
        <v>131</v>
      </c>
      <c r="O91" s="18" t="s">
        <v>26</v>
      </c>
      <c r="P91" s="19" t="s">
        <v>576</v>
      </c>
      <c r="Q91" s="17">
        <f t="shared" si="88"/>
        <v>6.2779999999999996</v>
      </c>
      <c r="R91" s="9"/>
    </row>
    <row r="92" spans="1:18">
      <c r="A92" s="2"/>
      <c r="B92" s="10">
        <f t="shared" si="0"/>
        <v>90</v>
      </c>
      <c r="C92" s="11" t="s">
        <v>551</v>
      </c>
      <c r="D92" s="12" t="s">
        <v>577</v>
      </c>
      <c r="E92" s="12" t="s">
        <v>578</v>
      </c>
      <c r="F92" s="12" t="s">
        <v>345</v>
      </c>
      <c r="G92" s="12" t="s">
        <v>579</v>
      </c>
      <c r="H92" s="12" t="s">
        <v>580</v>
      </c>
      <c r="I92" s="12" t="s">
        <v>23</v>
      </c>
      <c r="J92" s="12" t="s">
        <v>581</v>
      </c>
      <c r="K92" s="12" t="s">
        <v>23</v>
      </c>
      <c r="L92" s="12">
        <v>1</v>
      </c>
      <c r="M92" s="12">
        <f t="shared" ref="M92:M93" si="89">L92*5</f>
        <v>5</v>
      </c>
      <c r="N92" s="9" t="s">
        <v>87</v>
      </c>
      <c r="O92" s="18" t="s">
        <v>26</v>
      </c>
      <c r="P92" s="17" t="s">
        <v>582</v>
      </c>
      <c r="Q92" s="19">
        <f t="shared" ref="Q92:Q93" si="90">P92*N92</f>
        <v>0.41399999999999998</v>
      </c>
      <c r="R92" s="12"/>
    </row>
    <row r="93" spans="1:18">
      <c r="A93" s="2"/>
      <c r="B93" s="7">
        <f>ROW(B93)-ROW($B$2)</f>
        <v>91</v>
      </c>
      <c r="C93" s="8" t="s">
        <v>551</v>
      </c>
      <c r="D93" s="9" t="s">
        <v>583</v>
      </c>
      <c r="E93" s="9" t="s">
        <v>584</v>
      </c>
      <c r="F93" s="9" t="s">
        <v>345</v>
      </c>
      <c r="G93" s="9" t="s">
        <v>585</v>
      </c>
      <c r="H93" s="9" t="s">
        <v>305</v>
      </c>
      <c r="I93" s="12" t="s">
        <v>23</v>
      </c>
      <c r="J93" s="9" t="s">
        <v>586</v>
      </c>
      <c r="K93" s="12" t="s">
        <v>23</v>
      </c>
      <c r="L93" s="9">
        <v>1</v>
      </c>
      <c r="M93" s="9">
        <f t="shared" si="89"/>
        <v>5</v>
      </c>
      <c r="N93" s="12" t="s">
        <v>113</v>
      </c>
      <c r="O93" s="18" t="s">
        <v>26</v>
      </c>
      <c r="P93" s="19" t="s">
        <v>587</v>
      </c>
      <c r="Q93" s="17">
        <f t="shared" si="90"/>
        <v>0.55000000000000004</v>
      </c>
      <c r="R93" s="9"/>
    </row>
    <row r="94" spans="1:18">
      <c r="A94" s="2"/>
      <c r="B94" s="10">
        <f t="shared" si="0"/>
        <v>92</v>
      </c>
      <c r="C94" s="11" t="s">
        <v>588</v>
      </c>
      <c r="D94" s="12" t="s">
        <v>589</v>
      </c>
      <c r="E94" s="12" t="s">
        <v>590</v>
      </c>
      <c r="F94" s="12" t="s">
        <v>591</v>
      </c>
      <c r="G94" s="12" t="s">
        <v>592</v>
      </c>
      <c r="H94" s="12" t="s">
        <v>593</v>
      </c>
      <c r="I94" s="12" t="s">
        <v>23</v>
      </c>
      <c r="J94" s="12" t="s">
        <v>594</v>
      </c>
      <c r="K94" s="12" t="s">
        <v>23</v>
      </c>
      <c r="L94" s="12">
        <v>1</v>
      </c>
      <c r="M94" s="12">
        <f t="shared" ref="M94:M95" si="91">L94*5</f>
        <v>5</v>
      </c>
      <c r="N94" s="9">
        <v>5</v>
      </c>
      <c r="O94" s="18" t="s">
        <v>26</v>
      </c>
      <c r="P94" s="17">
        <v>1.5448</v>
      </c>
      <c r="Q94" s="19">
        <f t="shared" ref="Q94:Q95" si="92">P94*N94</f>
        <v>7.7240000000000002</v>
      </c>
      <c r="R94" s="12"/>
    </row>
    <row r="95" spans="1:18">
      <c r="A95" s="2"/>
      <c r="B95" s="7">
        <f>ROW(B95)-ROW($B$2)</f>
        <v>93</v>
      </c>
      <c r="C95" s="8" t="s">
        <v>551</v>
      </c>
      <c r="D95" s="9" t="s">
        <v>595</v>
      </c>
      <c r="E95" s="9" t="s">
        <v>596</v>
      </c>
      <c r="F95" s="9" t="s">
        <v>276</v>
      </c>
      <c r="G95" s="9" t="s">
        <v>597</v>
      </c>
      <c r="H95" s="9" t="s">
        <v>347</v>
      </c>
      <c r="I95" s="12" t="s">
        <v>23</v>
      </c>
      <c r="J95" s="9" t="s">
        <v>598</v>
      </c>
      <c r="K95" s="12" t="s">
        <v>23</v>
      </c>
      <c r="L95" s="9">
        <v>1</v>
      </c>
      <c r="M95" s="9">
        <f t="shared" si="91"/>
        <v>5</v>
      </c>
      <c r="N95" s="12" t="s">
        <v>113</v>
      </c>
      <c r="O95" s="18" t="s">
        <v>26</v>
      </c>
      <c r="P95" s="19" t="s">
        <v>107</v>
      </c>
      <c r="Q95" s="17">
        <f t="shared" si="92"/>
        <v>0.48399999999999999</v>
      </c>
      <c r="R95" s="9"/>
    </row>
    <row r="96" spans="1:18" ht="36">
      <c r="A96" s="2"/>
      <c r="B96" s="10">
        <f t="shared" si="0"/>
        <v>94</v>
      </c>
      <c r="C96" s="11" t="s">
        <v>551</v>
      </c>
      <c r="D96" s="12" t="s">
        <v>599</v>
      </c>
      <c r="E96" s="12" t="s">
        <v>600</v>
      </c>
      <c r="F96" s="12" t="s">
        <v>345</v>
      </c>
      <c r="G96" s="12" t="s">
        <v>601</v>
      </c>
      <c r="H96" s="12" t="s">
        <v>257</v>
      </c>
      <c r="I96" s="12" t="s">
        <v>23</v>
      </c>
      <c r="J96" s="12" t="s">
        <v>602</v>
      </c>
      <c r="K96" s="12" t="s">
        <v>23</v>
      </c>
      <c r="L96" s="12">
        <v>1</v>
      </c>
      <c r="M96" s="12">
        <f t="shared" ref="M96:M97" si="93">L96*5</f>
        <v>5</v>
      </c>
      <c r="N96" s="9" t="s">
        <v>113</v>
      </c>
      <c r="O96" s="18" t="s">
        <v>26</v>
      </c>
      <c r="P96" s="17" t="s">
        <v>603</v>
      </c>
      <c r="Q96" s="19">
        <f t="shared" ref="Q96:Q97" si="94">P96*N96</f>
        <v>0.54800000000000004</v>
      </c>
      <c r="R96" s="12"/>
    </row>
    <row r="97" spans="1:18">
      <c r="A97" s="2"/>
      <c r="B97" s="7">
        <f>ROW(B97)-ROW($B$2)</f>
        <v>95</v>
      </c>
      <c r="C97" s="8" t="s">
        <v>588</v>
      </c>
      <c r="D97" s="9" t="s">
        <v>604</v>
      </c>
      <c r="E97" s="9" t="s">
        <v>605</v>
      </c>
      <c r="F97" s="9" t="s">
        <v>345</v>
      </c>
      <c r="G97" s="9" t="s">
        <v>606</v>
      </c>
      <c r="H97" s="9" t="s">
        <v>305</v>
      </c>
      <c r="I97" s="12" t="s">
        <v>23</v>
      </c>
      <c r="J97" s="9" t="s">
        <v>607</v>
      </c>
      <c r="K97" s="12" t="s">
        <v>23</v>
      </c>
      <c r="L97" s="9">
        <v>1</v>
      </c>
      <c r="M97" s="9">
        <f t="shared" si="93"/>
        <v>5</v>
      </c>
      <c r="N97" s="12" t="s">
        <v>113</v>
      </c>
      <c r="O97" s="18" t="s">
        <v>26</v>
      </c>
      <c r="P97" s="19" t="s">
        <v>608</v>
      </c>
      <c r="Q97" s="17">
        <f t="shared" si="94"/>
        <v>0.46200000000000002</v>
      </c>
      <c r="R97" s="9"/>
    </row>
    <row r="98" spans="1:18" ht="36">
      <c r="A98" s="2"/>
      <c r="B98" s="10">
        <f t="shared" si="0"/>
        <v>96</v>
      </c>
      <c r="C98" s="11" t="s">
        <v>609</v>
      </c>
      <c r="D98" s="12" t="s">
        <v>610</v>
      </c>
      <c r="E98" s="12" t="s">
        <v>611</v>
      </c>
      <c r="F98" s="12" t="s">
        <v>612</v>
      </c>
      <c r="G98" s="12" t="s">
        <v>613</v>
      </c>
      <c r="H98" s="12" t="s">
        <v>614</v>
      </c>
      <c r="I98" s="12" t="s">
        <v>23</v>
      </c>
      <c r="J98" s="12" t="s">
        <v>615</v>
      </c>
      <c r="K98" s="12" t="s">
        <v>616</v>
      </c>
      <c r="L98" s="12">
        <v>1</v>
      </c>
      <c r="M98" s="12">
        <f t="shared" ref="M98:M99" si="95">L98*5</f>
        <v>5</v>
      </c>
      <c r="N98" s="9" t="s">
        <v>42</v>
      </c>
      <c r="O98" s="18" t="s">
        <v>26</v>
      </c>
      <c r="P98" s="17" t="s">
        <v>617</v>
      </c>
      <c r="Q98" s="19">
        <f t="shared" ref="Q98:Q99" si="96">P98*N98</f>
        <v>0.12</v>
      </c>
      <c r="R98" s="12"/>
    </row>
    <row r="99" spans="1:18" ht="36">
      <c r="A99" s="2"/>
      <c r="B99" s="7">
        <f>ROW(B99)-ROW($B$2)</f>
        <v>97</v>
      </c>
      <c r="C99" s="8" t="s">
        <v>609</v>
      </c>
      <c r="D99" s="9" t="s">
        <v>618</v>
      </c>
      <c r="E99" s="9" t="s">
        <v>619</v>
      </c>
      <c r="F99" s="9" t="s">
        <v>612</v>
      </c>
      <c r="G99" s="9" t="s">
        <v>620</v>
      </c>
      <c r="H99" s="9" t="s">
        <v>621</v>
      </c>
      <c r="I99" s="12" t="s">
        <v>23</v>
      </c>
      <c r="J99" s="9" t="s">
        <v>622</v>
      </c>
      <c r="K99" s="9" t="s">
        <v>623</v>
      </c>
      <c r="L99" s="9">
        <v>1</v>
      </c>
      <c r="M99" s="9">
        <f t="shared" si="95"/>
        <v>5</v>
      </c>
      <c r="N99" s="12" t="s">
        <v>42</v>
      </c>
      <c r="O99" s="18" t="s">
        <v>26</v>
      </c>
      <c r="P99" s="19" t="s">
        <v>158</v>
      </c>
      <c r="Q99" s="17">
        <f t="shared" si="96"/>
        <v>0.46</v>
      </c>
      <c r="R99" s="9"/>
    </row>
    <row r="100" spans="1:18">
      <c r="A100" s="2"/>
      <c r="B100" s="10">
        <f t="shared" si="0"/>
        <v>98</v>
      </c>
      <c r="C100" s="8" t="s">
        <v>609</v>
      </c>
      <c r="D100" s="12" t="s">
        <v>624</v>
      </c>
      <c r="E100" s="12" t="s">
        <v>625</v>
      </c>
      <c r="F100" s="12" t="s">
        <v>612</v>
      </c>
      <c r="G100" s="12" t="s">
        <v>626</v>
      </c>
      <c r="H100" s="12" t="s">
        <v>31</v>
      </c>
      <c r="I100" s="12" t="s">
        <v>23</v>
      </c>
      <c r="J100" s="12" t="s">
        <v>627</v>
      </c>
      <c r="K100" s="12" t="s">
        <v>628</v>
      </c>
      <c r="L100" s="12">
        <v>1</v>
      </c>
      <c r="M100" s="12">
        <f t="shared" ref="M100:M101" si="97">L100*5</f>
        <v>5</v>
      </c>
      <c r="N100" s="9" t="s">
        <v>42</v>
      </c>
      <c r="O100" s="18" t="s">
        <v>26</v>
      </c>
      <c r="P100" s="17" t="s">
        <v>617</v>
      </c>
      <c r="Q100" s="19">
        <f t="shared" ref="Q100:Q101" si="98">P100*N100</f>
        <v>0.12</v>
      </c>
      <c r="R100" s="12"/>
    </row>
    <row r="101" spans="1:18">
      <c r="A101" s="2"/>
      <c r="B101" s="7">
        <f>ROW(B101)-ROW($B$2)</f>
        <v>99</v>
      </c>
      <c r="C101" s="8" t="s">
        <v>609</v>
      </c>
      <c r="D101" s="9" t="s">
        <v>629</v>
      </c>
      <c r="E101" s="9" t="s">
        <v>630</v>
      </c>
      <c r="F101" s="9" t="s">
        <v>612</v>
      </c>
      <c r="G101" s="9" t="s">
        <v>631</v>
      </c>
      <c r="H101" s="9" t="s">
        <v>31</v>
      </c>
      <c r="I101" s="12" t="s">
        <v>23</v>
      </c>
      <c r="J101" s="9" t="s">
        <v>632</v>
      </c>
      <c r="K101" s="9" t="s">
        <v>633</v>
      </c>
      <c r="L101" s="9">
        <v>2</v>
      </c>
      <c r="M101" s="9">
        <f t="shared" si="97"/>
        <v>10</v>
      </c>
      <c r="N101" s="12" t="s">
        <v>42</v>
      </c>
      <c r="O101" s="18" t="s">
        <v>26</v>
      </c>
      <c r="P101" s="19" t="s">
        <v>120</v>
      </c>
      <c r="Q101" s="17">
        <f t="shared" si="98"/>
        <v>0.11</v>
      </c>
      <c r="R101" s="9"/>
    </row>
    <row r="102" spans="1:18">
      <c r="A102" s="2"/>
      <c r="B102" s="10">
        <f t="shared" si="0"/>
        <v>100</v>
      </c>
      <c r="C102" s="8" t="s">
        <v>609</v>
      </c>
      <c r="D102" s="12" t="s">
        <v>634</v>
      </c>
      <c r="E102" s="12" t="s">
        <v>635</v>
      </c>
      <c r="F102" s="12" t="s">
        <v>612</v>
      </c>
      <c r="G102" s="12" t="s">
        <v>636</v>
      </c>
      <c r="H102" s="12" t="s">
        <v>31</v>
      </c>
      <c r="I102" s="12" t="s">
        <v>23</v>
      </c>
      <c r="J102" s="12" t="s">
        <v>637</v>
      </c>
      <c r="K102" s="12" t="s">
        <v>633</v>
      </c>
      <c r="L102" s="12">
        <v>2</v>
      </c>
      <c r="M102" s="12">
        <f t="shared" ref="M102:M103" si="99">L102*5</f>
        <v>10</v>
      </c>
      <c r="N102" s="9" t="s">
        <v>113</v>
      </c>
      <c r="O102" s="18" t="s">
        <v>26</v>
      </c>
      <c r="P102" s="17" t="s">
        <v>638</v>
      </c>
      <c r="Q102" s="19">
        <f t="shared" ref="Q102:Q103" si="100">P102*N102</f>
        <v>0.46600000000000003</v>
      </c>
      <c r="R102" s="12"/>
    </row>
    <row r="103" spans="1:18">
      <c r="A103" s="2"/>
      <c r="B103" s="7">
        <f>ROW(B103)-ROW($B$2)</f>
        <v>101</v>
      </c>
      <c r="C103" s="8" t="s">
        <v>609</v>
      </c>
      <c r="D103" s="9" t="s">
        <v>639</v>
      </c>
      <c r="E103" s="9" t="s">
        <v>640</v>
      </c>
      <c r="F103" s="9" t="s">
        <v>612</v>
      </c>
      <c r="G103" s="9" t="s">
        <v>641</v>
      </c>
      <c r="H103" s="9" t="s">
        <v>31</v>
      </c>
      <c r="I103" s="12" t="s">
        <v>23</v>
      </c>
      <c r="J103" s="9" t="s">
        <v>642</v>
      </c>
      <c r="K103" s="9" t="s">
        <v>643</v>
      </c>
      <c r="L103" s="9">
        <v>2</v>
      </c>
      <c r="M103" s="9">
        <f t="shared" si="99"/>
        <v>10</v>
      </c>
      <c r="N103" s="12" t="s">
        <v>113</v>
      </c>
      <c r="O103" s="18" t="s">
        <v>26</v>
      </c>
      <c r="P103" s="19" t="s">
        <v>644</v>
      </c>
      <c r="Q103" s="17">
        <f t="shared" si="100"/>
        <v>0.48199999999999998</v>
      </c>
      <c r="R103" s="9"/>
    </row>
    <row r="104" spans="1:18">
      <c r="A104" s="2"/>
      <c r="B104" s="10">
        <f t="shared" si="0"/>
        <v>102</v>
      </c>
      <c r="C104" s="8" t="s">
        <v>609</v>
      </c>
      <c r="D104" s="12" t="s">
        <v>645</v>
      </c>
      <c r="E104" s="12" t="s">
        <v>646</v>
      </c>
      <c r="F104" s="12" t="s">
        <v>612</v>
      </c>
      <c r="G104" s="12" t="s">
        <v>647</v>
      </c>
      <c r="H104" s="12" t="s">
        <v>31</v>
      </c>
      <c r="I104" s="12" t="s">
        <v>23</v>
      </c>
      <c r="J104" s="12" t="s">
        <v>648</v>
      </c>
      <c r="K104" s="12" t="s">
        <v>649</v>
      </c>
      <c r="L104" s="12">
        <v>2</v>
      </c>
      <c r="M104" s="12">
        <f t="shared" ref="M104:M105" si="101">L104*5</f>
        <v>10</v>
      </c>
      <c r="N104" s="9" t="s">
        <v>42</v>
      </c>
      <c r="O104" s="18" t="s">
        <v>26</v>
      </c>
      <c r="P104" s="17" t="s">
        <v>617</v>
      </c>
      <c r="Q104" s="19">
        <f t="shared" ref="Q104:Q105" si="102">P104*N104</f>
        <v>0.12</v>
      </c>
      <c r="R104" s="12"/>
    </row>
    <row r="105" spans="1:18" ht="36">
      <c r="A105" s="2"/>
      <c r="B105" s="7">
        <f>ROW(B105)-ROW($B$2)</f>
        <v>103</v>
      </c>
      <c r="C105" s="8" t="s">
        <v>609</v>
      </c>
      <c r="D105" s="9" t="s">
        <v>650</v>
      </c>
      <c r="E105" s="9" t="s">
        <v>651</v>
      </c>
      <c r="F105" s="9" t="s">
        <v>652</v>
      </c>
      <c r="G105" s="9" t="s">
        <v>653</v>
      </c>
      <c r="H105" s="9" t="s">
        <v>614</v>
      </c>
      <c r="I105" s="12" t="s">
        <v>23</v>
      </c>
      <c r="J105" s="9" t="s">
        <v>654</v>
      </c>
      <c r="K105" s="9" t="s">
        <v>655</v>
      </c>
      <c r="L105" s="9">
        <v>1</v>
      </c>
      <c r="M105" s="9">
        <f t="shared" si="101"/>
        <v>5</v>
      </c>
      <c r="N105" s="12" t="s">
        <v>42</v>
      </c>
      <c r="O105" s="18" t="s">
        <v>26</v>
      </c>
      <c r="P105" s="19" t="s">
        <v>125</v>
      </c>
      <c r="Q105" s="17">
        <f t="shared" si="102"/>
        <v>0.18</v>
      </c>
      <c r="R105" s="9"/>
    </row>
    <row r="106" spans="1:18">
      <c r="A106" s="2"/>
      <c r="B106" s="10">
        <f t="shared" si="0"/>
        <v>104</v>
      </c>
      <c r="C106" s="8" t="s">
        <v>609</v>
      </c>
      <c r="D106" s="12" t="s">
        <v>656</v>
      </c>
      <c r="E106" s="12" t="s">
        <v>657</v>
      </c>
      <c r="F106" s="12" t="s">
        <v>612</v>
      </c>
      <c r="G106" s="12" t="s">
        <v>658</v>
      </c>
      <c r="H106" s="12" t="s">
        <v>31</v>
      </c>
      <c r="I106" s="12" t="s">
        <v>23</v>
      </c>
      <c r="J106" s="12" t="s">
        <v>659</v>
      </c>
      <c r="K106" s="12" t="s">
        <v>660</v>
      </c>
      <c r="L106" s="12">
        <v>1</v>
      </c>
      <c r="M106" s="12">
        <f t="shared" ref="M106:M107" si="103">L106*5</f>
        <v>5</v>
      </c>
      <c r="N106" s="9" t="s">
        <v>42</v>
      </c>
      <c r="O106" s="18" t="s">
        <v>26</v>
      </c>
      <c r="P106" s="17" t="s">
        <v>617</v>
      </c>
      <c r="Q106" s="19">
        <f t="shared" ref="Q106:Q107" si="104">P106*N106</f>
        <v>0.12</v>
      </c>
      <c r="R106" s="12"/>
    </row>
    <row r="107" spans="1:18">
      <c r="A107" s="2"/>
      <c r="B107" s="7">
        <f>ROW(B107)-ROW($B$2)</f>
        <v>105</v>
      </c>
      <c r="C107" s="8" t="s">
        <v>609</v>
      </c>
      <c r="D107" s="9" t="s">
        <v>661</v>
      </c>
      <c r="E107" s="9" t="s">
        <v>662</v>
      </c>
      <c r="F107" s="9" t="s">
        <v>612</v>
      </c>
      <c r="G107" s="9" t="s">
        <v>663</v>
      </c>
      <c r="H107" s="9" t="s">
        <v>31</v>
      </c>
      <c r="I107" s="12" t="s">
        <v>23</v>
      </c>
      <c r="J107" s="9" t="s">
        <v>664</v>
      </c>
      <c r="K107" s="9" t="s">
        <v>665</v>
      </c>
      <c r="L107" s="9">
        <v>2</v>
      </c>
      <c r="M107" s="9">
        <f t="shared" si="103"/>
        <v>10</v>
      </c>
      <c r="N107" s="12" t="s">
        <v>42</v>
      </c>
      <c r="O107" s="18" t="s">
        <v>26</v>
      </c>
      <c r="P107" s="19" t="s">
        <v>666</v>
      </c>
      <c r="Q107" s="17">
        <f t="shared" si="104"/>
        <v>0.53</v>
      </c>
      <c r="R107" s="9"/>
    </row>
    <row r="108" spans="1:18">
      <c r="A108" s="2"/>
      <c r="B108" s="10">
        <f t="shared" si="0"/>
        <v>106</v>
      </c>
      <c r="C108" s="8" t="s">
        <v>609</v>
      </c>
      <c r="D108" s="12" t="s">
        <v>667</v>
      </c>
      <c r="E108" s="12" t="s">
        <v>668</v>
      </c>
      <c r="F108" s="12" t="s">
        <v>612</v>
      </c>
      <c r="G108" s="12" t="s">
        <v>669</v>
      </c>
      <c r="H108" s="12" t="s">
        <v>31</v>
      </c>
      <c r="I108" s="12" t="s">
        <v>23</v>
      </c>
      <c r="J108" s="12" t="s">
        <v>670</v>
      </c>
      <c r="K108" s="12" t="s">
        <v>671</v>
      </c>
      <c r="L108" s="12">
        <v>3</v>
      </c>
      <c r="M108" s="12">
        <f t="shared" ref="M108:M109" si="105">L108*5</f>
        <v>15</v>
      </c>
      <c r="N108" s="9" t="s">
        <v>42</v>
      </c>
      <c r="O108" s="18" t="s">
        <v>26</v>
      </c>
      <c r="P108" s="17" t="s">
        <v>617</v>
      </c>
      <c r="Q108" s="19">
        <f t="shared" ref="Q108:Q109" si="106">P108*N108</f>
        <v>0.12</v>
      </c>
      <c r="R108" s="12"/>
    </row>
    <row r="109" spans="1:18" ht="36">
      <c r="A109" s="2"/>
      <c r="B109" s="7">
        <f>ROW(B109)-ROW($B$2)</f>
        <v>107</v>
      </c>
      <c r="C109" s="8" t="s">
        <v>609</v>
      </c>
      <c r="D109" s="9" t="s">
        <v>672</v>
      </c>
      <c r="E109" s="9" t="s">
        <v>673</v>
      </c>
      <c r="F109" s="9" t="s">
        <v>674</v>
      </c>
      <c r="G109" s="9" t="s">
        <v>675</v>
      </c>
      <c r="H109" s="9" t="s">
        <v>31</v>
      </c>
      <c r="I109" s="12" t="s">
        <v>23</v>
      </c>
      <c r="J109" s="9" t="s">
        <v>676</v>
      </c>
      <c r="K109" s="9" t="s">
        <v>633</v>
      </c>
      <c r="L109" s="9">
        <v>17</v>
      </c>
      <c r="M109" s="9">
        <f t="shared" si="105"/>
        <v>85</v>
      </c>
      <c r="N109" s="12" t="s">
        <v>42</v>
      </c>
      <c r="O109" s="18" t="s">
        <v>26</v>
      </c>
      <c r="P109" s="19" t="s">
        <v>677</v>
      </c>
      <c r="Q109" s="17">
        <f t="shared" si="106"/>
        <v>7.0000000000000007E-2</v>
      </c>
      <c r="R109" s="9"/>
    </row>
    <row r="110" spans="1:18">
      <c r="A110" s="2"/>
      <c r="B110" s="10">
        <f t="shared" si="0"/>
        <v>108</v>
      </c>
      <c r="C110" s="8" t="s">
        <v>609</v>
      </c>
      <c r="D110" s="12" t="s">
        <v>678</v>
      </c>
      <c r="E110" s="12" t="s">
        <v>679</v>
      </c>
      <c r="F110" s="12" t="s">
        <v>612</v>
      </c>
      <c r="G110" s="9" t="s">
        <v>680</v>
      </c>
      <c r="H110" s="9" t="s">
        <v>681</v>
      </c>
      <c r="I110" s="12" t="s">
        <v>23</v>
      </c>
      <c r="J110" s="12" t="s">
        <v>682</v>
      </c>
      <c r="K110" s="12" t="s">
        <v>683</v>
      </c>
      <c r="L110" s="12">
        <v>4</v>
      </c>
      <c r="M110" s="12">
        <f t="shared" ref="M110:M111" si="107">L110*5</f>
        <v>20</v>
      </c>
      <c r="N110" s="9" t="s">
        <v>113</v>
      </c>
      <c r="O110" s="18" t="s">
        <v>26</v>
      </c>
      <c r="P110" s="17" t="s">
        <v>684</v>
      </c>
      <c r="Q110" s="19">
        <f t="shared" ref="Q110:Q111" si="108">P110*N110</f>
        <v>0.57399999999999995</v>
      </c>
      <c r="R110" s="12"/>
    </row>
    <row r="111" spans="1:18">
      <c r="A111" s="2"/>
      <c r="B111" s="7">
        <f>ROW(B111)-ROW($B$2)</f>
        <v>109</v>
      </c>
      <c r="C111" s="8" t="s">
        <v>609</v>
      </c>
      <c r="D111" s="9" t="s">
        <v>685</v>
      </c>
      <c r="E111" s="9" t="s">
        <v>686</v>
      </c>
      <c r="F111" s="9" t="s">
        <v>612</v>
      </c>
      <c r="G111" s="9" t="s">
        <v>687</v>
      </c>
      <c r="H111" s="9" t="s">
        <v>31</v>
      </c>
      <c r="I111" s="12" t="s">
        <v>23</v>
      </c>
      <c r="J111" s="9" t="s">
        <v>688</v>
      </c>
      <c r="K111" s="9" t="s">
        <v>689</v>
      </c>
      <c r="L111" s="9">
        <v>1</v>
      </c>
      <c r="M111" s="9">
        <f t="shared" si="107"/>
        <v>5</v>
      </c>
      <c r="N111" s="12" t="s">
        <v>34</v>
      </c>
      <c r="O111" s="18" t="s">
        <v>26</v>
      </c>
      <c r="P111" s="19" t="s">
        <v>690</v>
      </c>
      <c r="Q111" s="17">
        <f t="shared" si="108"/>
        <v>0.41</v>
      </c>
      <c r="R111" s="9"/>
    </row>
    <row r="112" spans="1:18">
      <c r="A112" s="2"/>
      <c r="B112" s="10">
        <f t="shared" si="0"/>
        <v>110</v>
      </c>
      <c r="C112" s="8" t="s">
        <v>609</v>
      </c>
      <c r="D112" s="12" t="s">
        <v>691</v>
      </c>
      <c r="E112" s="12" t="s">
        <v>692</v>
      </c>
      <c r="F112" s="12" t="s">
        <v>612</v>
      </c>
      <c r="G112" s="12" t="s">
        <v>693</v>
      </c>
      <c r="H112" s="12" t="s">
        <v>31</v>
      </c>
      <c r="I112" s="12" t="s">
        <v>23</v>
      </c>
      <c r="J112" s="12" t="s">
        <v>694</v>
      </c>
      <c r="K112" s="12" t="s">
        <v>695</v>
      </c>
      <c r="L112" s="12">
        <v>4</v>
      </c>
      <c r="M112" s="12">
        <f t="shared" ref="M112:M113" si="109">L112*5</f>
        <v>20</v>
      </c>
      <c r="N112" s="9" t="s">
        <v>42</v>
      </c>
      <c r="O112" s="18" t="s">
        <v>26</v>
      </c>
      <c r="P112" s="17" t="s">
        <v>617</v>
      </c>
      <c r="Q112" s="19">
        <f t="shared" ref="Q112:Q113" si="110">P112*N112</f>
        <v>0.12</v>
      </c>
      <c r="R112" s="12"/>
    </row>
    <row r="113" spans="1:18">
      <c r="A113" s="2"/>
      <c r="B113" s="7">
        <f>ROW(B113)-ROW($B$2)</f>
        <v>111</v>
      </c>
      <c r="C113" s="8" t="s">
        <v>609</v>
      </c>
      <c r="D113" s="9" t="s">
        <v>696</v>
      </c>
      <c r="E113" s="9" t="s">
        <v>697</v>
      </c>
      <c r="F113" s="9" t="s">
        <v>612</v>
      </c>
      <c r="G113" s="9" t="s">
        <v>698</v>
      </c>
      <c r="H113" s="9" t="s">
        <v>31</v>
      </c>
      <c r="I113" s="12" t="s">
        <v>23</v>
      </c>
      <c r="J113" s="9" t="s">
        <v>699</v>
      </c>
      <c r="K113" s="9" t="s">
        <v>683</v>
      </c>
      <c r="L113" s="9">
        <v>7</v>
      </c>
      <c r="M113" s="9">
        <f t="shared" si="109"/>
        <v>35</v>
      </c>
      <c r="N113" s="12" t="s">
        <v>42</v>
      </c>
      <c r="O113" s="18" t="s">
        <v>26</v>
      </c>
      <c r="P113" s="19" t="s">
        <v>120</v>
      </c>
      <c r="Q113" s="17">
        <f t="shared" si="110"/>
        <v>0.11</v>
      </c>
      <c r="R113" s="9"/>
    </row>
    <row r="114" spans="1:18">
      <c r="A114" s="2"/>
      <c r="B114" s="10">
        <f t="shared" si="0"/>
        <v>112</v>
      </c>
      <c r="C114" s="8" t="s">
        <v>609</v>
      </c>
      <c r="D114" s="12" t="s">
        <v>700</v>
      </c>
      <c r="E114" s="12" t="s">
        <v>701</v>
      </c>
      <c r="F114" s="12" t="s">
        <v>612</v>
      </c>
      <c r="G114" s="12" t="s">
        <v>702</v>
      </c>
      <c r="H114" s="12" t="s">
        <v>31</v>
      </c>
      <c r="I114" s="12" t="s">
        <v>23</v>
      </c>
      <c r="J114" s="12" t="s">
        <v>703</v>
      </c>
      <c r="K114" s="12" t="s">
        <v>704</v>
      </c>
      <c r="L114" s="12">
        <v>2</v>
      </c>
      <c r="M114" s="12">
        <f t="shared" ref="M114:M115" si="111">L114*5</f>
        <v>10</v>
      </c>
      <c r="N114" s="9" t="s">
        <v>42</v>
      </c>
      <c r="O114" s="18" t="s">
        <v>26</v>
      </c>
      <c r="P114" s="17" t="s">
        <v>617</v>
      </c>
      <c r="Q114" s="19">
        <f t="shared" ref="Q114" si="112">P114*N114</f>
        <v>0.12</v>
      </c>
      <c r="R114" s="12"/>
    </row>
    <row r="115" spans="1:18">
      <c r="A115" s="2"/>
      <c r="B115" s="7">
        <f>ROW(B115)-ROW($B$2)</f>
        <v>113</v>
      </c>
      <c r="C115" s="8" t="s">
        <v>609</v>
      </c>
      <c r="D115" s="13" t="s">
        <v>705</v>
      </c>
      <c r="E115" s="13" t="s">
        <v>706</v>
      </c>
      <c r="F115" s="13" t="s">
        <v>674</v>
      </c>
      <c r="G115" s="13" t="s">
        <v>707</v>
      </c>
      <c r="H115" s="13" t="s">
        <v>31</v>
      </c>
      <c r="I115" s="12" t="s">
        <v>23</v>
      </c>
      <c r="J115" s="13" t="s">
        <v>708</v>
      </c>
      <c r="K115" s="13" t="s">
        <v>709</v>
      </c>
      <c r="L115" s="13">
        <v>1</v>
      </c>
      <c r="M115" s="13">
        <f t="shared" si="111"/>
        <v>5</v>
      </c>
      <c r="N115" s="23" t="s">
        <v>42</v>
      </c>
      <c r="O115" s="25" t="s">
        <v>26</v>
      </c>
      <c r="P115" s="26" t="s">
        <v>23</v>
      </c>
      <c r="Q115" s="24" t="s">
        <v>23</v>
      </c>
      <c r="R115" s="27" t="s">
        <v>550</v>
      </c>
    </row>
    <row r="116" spans="1:18" ht="24">
      <c r="A116" s="2"/>
      <c r="B116" s="10">
        <f t="shared" si="0"/>
        <v>114</v>
      </c>
      <c r="C116" s="8" t="s">
        <v>609</v>
      </c>
      <c r="D116" s="23" t="s">
        <v>710</v>
      </c>
      <c r="E116" s="23" t="s">
        <v>711</v>
      </c>
      <c r="F116" s="23" t="s">
        <v>612</v>
      </c>
      <c r="G116" s="23" t="s">
        <v>712</v>
      </c>
      <c r="H116" s="23" t="s">
        <v>31</v>
      </c>
      <c r="I116" s="12" t="s">
        <v>23</v>
      </c>
      <c r="J116" s="23" t="s">
        <v>713</v>
      </c>
      <c r="K116" s="23" t="s">
        <v>709</v>
      </c>
      <c r="L116" s="23">
        <v>7</v>
      </c>
      <c r="M116" s="23">
        <f t="shared" ref="M116:M117" si="113">L116*5</f>
        <v>35</v>
      </c>
      <c r="N116" s="13" t="s">
        <v>42</v>
      </c>
      <c r="O116" s="25" t="s">
        <v>26</v>
      </c>
      <c r="P116" s="24" t="s">
        <v>23</v>
      </c>
      <c r="Q116" s="26" t="s">
        <v>23</v>
      </c>
      <c r="R116" s="27" t="s">
        <v>550</v>
      </c>
    </row>
    <row r="117" spans="1:18" ht="84">
      <c r="A117" s="2"/>
      <c r="B117" s="7">
        <f>ROW(B117)-ROW($B$2)</f>
        <v>115</v>
      </c>
      <c r="C117" s="8" t="s">
        <v>609</v>
      </c>
      <c r="D117" s="9" t="s">
        <v>714</v>
      </c>
      <c r="E117" s="9" t="s">
        <v>711</v>
      </c>
      <c r="F117" s="9" t="s">
        <v>612</v>
      </c>
      <c r="G117" s="9" t="s">
        <v>712</v>
      </c>
      <c r="H117" s="9" t="s">
        <v>31</v>
      </c>
      <c r="I117" s="12" t="s">
        <v>23</v>
      </c>
      <c r="J117" s="9" t="s">
        <v>713</v>
      </c>
      <c r="K117" s="9" t="s">
        <v>715</v>
      </c>
      <c r="L117" s="9">
        <v>44</v>
      </c>
      <c r="M117" s="9">
        <f t="shared" si="113"/>
        <v>220</v>
      </c>
      <c r="N117" s="12" t="s">
        <v>716</v>
      </c>
      <c r="O117" s="18" t="s">
        <v>26</v>
      </c>
      <c r="P117" s="19" t="s">
        <v>120</v>
      </c>
      <c r="Q117" s="17">
        <f>P117*N117</f>
        <v>0.33</v>
      </c>
      <c r="R117" s="9"/>
    </row>
    <row r="118" spans="1:18">
      <c r="A118" s="2"/>
      <c r="B118" s="10">
        <f t="shared" si="0"/>
        <v>116</v>
      </c>
      <c r="C118" s="8" t="s">
        <v>609</v>
      </c>
      <c r="D118" s="12" t="s">
        <v>717</v>
      </c>
      <c r="E118" s="12" t="s">
        <v>718</v>
      </c>
      <c r="F118" s="12" t="s">
        <v>612</v>
      </c>
      <c r="G118" s="12" t="s">
        <v>719</v>
      </c>
      <c r="H118" s="12" t="s">
        <v>31</v>
      </c>
      <c r="I118" s="12" t="s">
        <v>23</v>
      </c>
      <c r="J118" s="12" t="s">
        <v>720</v>
      </c>
      <c r="K118" s="12" t="s">
        <v>649</v>
      </c>
      <c r="L118" s="12">
        <v>1</v>
      </c>
      <c r="M118" s="12">
        <f t="shared" ref="M118:M119" si="114">L118*5</f>
        <v>5</v>
      </c>
      <c r="N118" s="9" t="s">
        <v>113</v>
      </c>
      <c r="O118" s="18" t="s">
        <v>26</v>
      </c>
      <c r="P118" s="17" t="s">
        <v>721</v>
      </c>
      <c r="Q118" s="19">
        <f t="shared" ref="Q118:Q119" si="115">P118*N118</f>
        <v>0.40600000000000003</v>
      </c>
      <c r="R118" s="12"/>
    </row>
    <row r="119" spans="1:18">
      <c r="A119" s="2"/>
      <c r="B119" s="7">
        <f>ROW(B119)-ROW($B$2)</f>
        <v>117</v>
      </c>
      <c r="C119" s="8" t="s">
        <v>609</v>
      </c>
      <c r="D119" s="9" t="s">
        <v>722</v>
      </c>
      <c r="E119" s="9" t="s">
        <v>723</v>
      </c>
      <c r="F119" s="9" t="s">
        <v>724</v>
      </c>
      <c r="G119" s="9" t="s">
        <v>725</v>
      </c>
      <c r="H119" s="9" t="s">
        <v>31</v>
      </c>
      <c r="I119" s="12" t="s">
        <v>23</v>
      </c>
      <c r="J119" s="9" t="s">
        <v>726</v>
      </c>
      <c r="K119" s="9" t="s">
        <v>727</v>
      </c>
      <c r="L119" s="9">
        <v>1</v>
      </c>
      <c r="M119" s="9">
        <f t="shared" si="114"/>
        <v>5</v>
      </c>
      <c r="N119" s="12" t="s">
        <v>42</v>
      </c>
      <c r="O119" s="18" t="s">
        <v>26</v>
      </c>
      <c r="P119" s="19" t="s">
        <v>50</v>
      </c>
      <c r="Q119" s="17">
        <f t="shared" si="115"/>
        <v>0.22</v>
      </c>
      <c r="R119" s="9"/>
    </row>
    <row r="120" spans="1:18">
      <c r="A120" s="2"/>
      <c r="B120" s="10">
        <f t="shared" si="0"/>
        <v>118</v>
      </c>
      <c r="C120" s="8" t="s">
        <v>609</v>
      </c>
      <c r="D120" s="12" t="s">
        <v>728</v>
      </c>
      <c r="E120" s="12" t="s">
        <v>729</v>
      </c>
      <c r="F120" s="12" t="s">
        <v>612</v>
      </c>
      <c r="G120" s="12" t="s">
        <v>730</v>
      </c>
      <c r="H120" s="12" t="s">
        <v>31</v>
      </c>
      <c r="I120" s="12" t="s">
        <v>23</v>
      </c>
      <c r="J120" s="12" t="s">
        <v>731</v>
      </c>
      <c r="K120" s="12" t="s">
        <v>732</v>
      </c>
      <c r="L120" s="12">
        <v>4</v>
      </c>
      <c r="M120" s="12">
        <f t="shared" ref="M120:M121" si="116">L120*5</f>
        <v>20</v>
      </c>
      <c r="N120" s="9" t="s">
        <v>42</v>
      </c>
      <c r="O120" s="18" t="s">
        <v>26</v>
      </c>
      <c r="P120" s="17" t="s">
        <v>120</v>
      </c>
      <c r="Q120" s="19">
        <f t="shared" ref="Q120:Q121" si="117">P120*N120</f>
        <v>0.11</v>
      </c>
      <c r="R120" s="12"/>
    </row>
    <row r="121" spans="1:18">
      <c r="A121" s="2"/>
      <c r="B121" s="7">
        <f>ROW(B121)-ROW($B$2)</f>
        <v>119</v>
      </c>
      <c r="C121" s="8" t="s">
        <v>609</v>
      </c>
      <c r="D121" s="9" t="s">
        <v>733</v>
      </c>
      <c r="E121" s="9" t="s">
        <v>734</v>
      </c>
      <c r="F121" s="9" t="s">
        <v>612</v>
      </c>
      <c r="G121" s="9" t="s">
        <v>735</v>
      </c>
      <c r="H121" s="9" t="s">
        <v>31</v>
      </c>
      <c r="I121" s="12" t="s">
        <v>23</v>
      </c>
      <c r="J121" s="9" t="s">
        <v>736</v>
      </c>
      <c r="K121" s="9" t="s">
        <v>737</v>
      </c>
      <c r="L121" s="9">
        <v>1</v>
      </c>
      <c r="M121" s="9">
        <f t="shared" si="116"/>
        <v>5</v>
      </c>
      <c r="N121" s="12" t="s">
        <v>113</v>
      </c>
      <c r="O121" s="18" t="s">
        <v>26</v>
      </c>
      <c r="P121" s="19" t="s">
        <v>738</v>
      </c>
      <c r="Q121" s="17">
        <f t="shared" si="117"/>
        <v>0.47599999999999998</v>
      </c>
      <c r="R121" s="9"/>
    </row>
    <row r="122" spans="1:18">
      <c r="A122" s="2"/>
      <c r="B122" s="10">
        <f t="shared" si="0"/>
        <v>120</v>
      </c>
      <c r="C122" s="8" t="s">
        <v>609</v>
      </c>
      <c r="D122" s="12" t="s">
        <v>739</v>
      </c>
      <c r="E122" s="12" t="s">
        <v>740</v>
      </c>
      <c r="F122" s="12" t="s">
        <v>652</v>
      </c>
      <c r="G122" s="12" t="s">
        <v>741</v>
      </c>
      <c r="H122" s="12" t="s">
        <v>742</v>
      </c>
      <c r="I122" s="12" t="s">
        <v>23</v>
      </c>
      <c r="J122" s="12" t="s">
        <v>743</v>
      </c>
      <c r="K122" s="12" t="s">
        <v>744</v>
      </c>
      <c r="L122" s="12">
        <v>2</v>
      </c>
      <c r="M122" s="12">
        <f t="shared" ref="M122:M123" si="118">L122*5</f>
        <v>10</v>
      </c>
      <c r="N122" s="9" t="s">
        <v>131</v>
      </c>
      <c r="O122" s="18" t="s">
        <v>26</v>
      </c>
      <c r="P122" s="17" t="s">
        <v>745</v>
      </c>
      <c r="Q122" s="19">
        <f t="shared" ref="Q122:Q123" si="119">P122*N122</f>
        <v>0.97199999999999998</v>
      </c>
      <c r="R122" s="12"/>
    </row>
    <row r="123" spans="1:18">
      <c r="A123" s="2"/>
      <c r="B123" s="7">
        <f>ROW(B123)-ROW($B$2)</f>
        <v>121</v>
      </c>
      <c r="C123" s="8" t="s">
        <v>609</v>
      </c>
      <c r="D123" s="9" t="s">
        <v>746</v>
      </c>
      <c r="E123" s="9" t="s">
        <v>747</v>
      </c>
      <c r="F123" s="9" t="s">
        <v>612</v>
      </c>
      <c r="G123" s="9" t="s">
        <v>748</v>
      </c>
      <c r="H123" s="9" t="s">
        <v>31</v>
      </c>
      <c r="I123" s="12" t="s">
        <v>23</v>
      </c>
      <c r="J123" s="9" t="s">
        <v>749</v>
      </c>
      <c r="K123" s="9" t="s">
        <v>750</v>
      </c>
      <c r="L123" s="9">
        <v>2</v>
      </c>
      <c r="M123" s="9">
        <f t="shared" si="118"/>
        <v>10</v>
      </c>
      <c r="N123" s="12" t="s">
        <v>42</v>
      </c>
      <c r="O123" s="18" t="s">
        <v>26</v>
      </c>
      <c r="P123" s="19" t="s">
        <v>617</v>
      </c>
      <c r="Q123" s="17">
        <f t="shared" si="119"/>
        <v>0.12</v>
      </c>
      <c r="R123" s="9"/>
    </row>
    <row r="124" spans="1:18">
      <c r="A124" s="2"/>
      <c r="B124" s="10">
        <f t="shared" si="0"/>
        <v>122</v>
      </c>
      <c r="C124" s="8" t="s">
        <v>609</v>
      </c>
      <c r="D124" s="12" t="s">
        <v>751</v>
      </c>
      <c r="E124" s="12" t="s">
        <v>752</v>
      </c>
      <c r="F124" s="12" t="s">
        <v>724</v>
      </c>
      <c r="G124" s="12" t="s">
        <v>753</v>
      </c>
      <c r="H124" s="12" t="s">
        <v>31</v>
      </c>
      <c r="I124" s="12" t="s">
        <v>23</v>
      </c>
      <c r="J124" s="12" t="s">
        <v>754</v>
      </c>
      <c r="K124" s="12" t="s">
        <v>755</v>
      </c>
      <c r="L124" s="12">
        <v>1</v>
      </c>
      <c r="M124" s="12">
        <f t="shared" ref="M124:M125" si="120">L124*5</f>
        <v>5</v>
      </c>
      <c r="N124" s="9" t="s">
        <v>42</v>
      </c>
      <c r="O124" s="18" t="s">
        <v>26</v>
      </c>
      <c r="P124" s="17" t="s">
        <v>756</v>
      </c>
      <c r="Q124" s="19">
        <f t="shared" ref="Q124:Q125" si="121">P124*N124</f>
        <v>0.49</v>
      </c>
      <c r="R124" s="12"/>
    </row>
    <row r="125" spans="1:18">
      <c r="A125" s="2"/>
      <c r="B125" s="7">
        <f>ROW(B125)-ROW($B$2)</f>
        <v>123</v>
      </c>
      <c r="C125" s="8" t="s">
        <v>609</v>
      </c>
      <c r="D125" s="9" t="s">
        <v>757</v>
      </c>
      <c r="E125" s="9" t="s">
        <v>758</v>
      </c>
      <c r="F125" s="9" t="s">
        <v>674</v>
      </c>
      <c r="G125" s="9" t="s">
        <v>759</v>
      </c>
      <c r="H125" s="9" t="s">
        <v>31</v>
      </c>
      <c r="I125" s="12" t="s">
        <v>23</v>
      </c>
      <c r="J125" s="9" t="s">
        <v>760</v>
      </c>
      <c r="K125" s="9" t="s">
        <v>761</v>
      </c>
      <c r="L125" s="9">
        <v>1</v>
      </c>
      <c r="M125" s="9">
        <f t="shared" si="120"/>
        <v>5</v>
      </c>
      <c r="N125" s="12" t="s">
        <v>131</v>
      </c>
      <c r="O125" s="18" t="s">
        <v>26</v>
      </c>
      <c r="P125" s="19" t="s">
        <v>762</v>
      </c>
      <c r="Q125" s="17">
        <f t="shared" si="121"/>
        <v>0.442</v>
      </c>
      <c r="R125" s="9"/>
    </row>
    <row r="126" spans="1:18">
      <c r="A126" s="2"/>
      <c r="B126" s="10">
        <f t="shared" si="0"/>
        <v>124</v>
      </c>
      <c r="C126" s="8" t="s">
        <v>609</v>
      </c>
      <c r="D126" s="12" t="s">
        <v>763</v>
      </c>
      <c r="E126" s="12" t="s">
        <v>764</v>
      </c>
      <c r="F126" s="12" t="s">
        <v>674</v>
      </c>
      <c r="G126" s="12" t="s">
        <v>765</v>
      </c>
      <c r="H126" s="12" t="s">
        <v>31</v>
      </c>
      <c r="I126" s="12" t="s">
        <v>23</v>
      </c>
      <c r="J126" s="12" t="s">
        <v>766</v>
      </c>
      <c r="K126" s="12" t="s">
        <v>767</v>
      </c>
      <c r="L126" s="12">
        <v>1</v>
      </c>
      <c r="M126" s="12">
        <f t="shared" ref="M126:M127" si="122">L126*5</f>
        <v>5</v>
      </c>
      <c r="N126" s="9" t="s">
        <v>34</v>
      </c>
      <c r="O126" s="18" t="s">
        <v>26</v>
      </c>
      <c r="P126" s="17" t="s">
        <v>768</v>
      </c>
      <c r="Q126" s="19">
        <f t="shared" ref="Q126:Q127" si="123">P126*N126</f>
        <v>0.99</v>
      </c>
      <c r="R126" s="12"/>
    </row>
    <row r="127" spans="1:18">
      <c r="A127" s="2"/>
      <c r="B127" s="7">
        <f>ROW(B127)-ROW($B$2)</f>
        <v>125</v>
      </c>
      <c r="C127" s="8" t="s">
        <v>609</v>
      </c>
      <c r="D127" s="9" t="s">
        <v>769</v>
      </c>
      <c r="E127" s="9" t="s">
        <v>770</v>
      </c>
      <c r="F127" s="9" t="s">
        <v>612</v>
      </c>
      <c r="G127" s="9" t="s">
        <v>771</v>
      </c>
      <c r="H127" s="9" t="s">
        <v>31</v>
      </c>
      <c r="I127" s="12" t="s">
        <v>23</v>
      </c>
      <c r="J127" s="9" t="s">
        <v>772</v>
      </c>
      <c r="K127" s="9" t="s">
        <v>773</v>
      </c>
      <c r="L127" s="9">
        <v>1</v>
      </c>
      <c r="M127" s="9">
        <f t="shared" si="122"/>
        <v>5</v>
      </c>
      <c r="N127" s="12" t="s">
        <v>131</v>
      </c>
      <c r="O127" s="18" t="s">
        <v>26</v>
      </c>
      <c r="P127" s="19" t="s">
        <v>774</v>
      </c>
      <c r="Q127" s="17">
        <f t="shared" si="123"/>
        <v>0.65900000000000003</v>
      </c>
      <c r="R127" s="9"/>
    </row>
    <row r="128" spans="1:18" ht="24">
      <c r="A128" s="2"/>
      <c r="B128" s="10">
        <f t="shared" si="0"/>
        <v>126</v>
      </c>
      <c r="C128" s="8" t="s">
        <v>609</v>
      </c>
      <c r="D128" s="12" t="s">
        <v>775</v>
      </c>
      <c r="E128" s="12" t="s">
        <v>776</v>
      </c>
      <c r="F128" s="12" t="s">
        <v>674</v>
      </c>
      <c r="G128" s="12" t="s">
        <v>777</v>
      </c>
      <c r="H128" s="12" t="s">
        <v>31</v>
      </c>
      <c r="I128" s="12" t="s">
        <v>23</v>
      </c>
      <c r="J128" s="12" t="s">
        <v>778</v>
      </c>
      <c r="K128" s="12" t="s">
        <v>715</v>
      </c>
      <c r="L128" s="12">
        <v>10</v>
      </c>
      <c r="M128" s="12">
        <f t="shared" ref="M128:M129" si="124">L128*5</f>
        <v>50</v>
      </c>
      <c r="N128" s="9" t="s">
        <v>42</v>
      </c>
      <c r="O128" s="18" t="s">
        <v>26</v>
      </c>
      <c r="P128" s="17" t="s">
        <v>779</v>
      </c>
      <c r="Q128" s="19">
        <f t="shared" ref="Q128:Q129" si="125">P128*N128</f>
        <v>0.06</v>
      </c>
      <c r="R128" s="12"/>
    </row>
    <row r="129" spans="1:18">
      <c r="A129" s="2"/>
      <c r="B129" s="7">
        <f>ROW(B129)-ROW($B$2)</f>
        <v>127</v>
      </c>
      <c r="C129" s="8" t="s">
        <v>609</v>
      </c>
      <c r="D129" s="9" t="s">
        <v>780</v>
      </c>
      <c r="E129" s="9" t="s">
        <v>781</v>
      </c>
      <c r="F129" s="9" t="s">
        <v>724</v>
      </c>
      <c r="G129" s="9" t="s">
        <v>782</v>
      </c>
      <c r="H129" s="9" t="s">
        <v>31</v>
      </c>
      <c r="I129" s="12" t="s">
        <v>23</v>
      </c>
      <c r="J129" s="9" t="s">
        <v>783</v>
      </c>
      <c r="K129" s="9" t="s">
        <v>784</v>
      </c>
      <c r="L129" s="9">
        <v>1</v>
      </c>
      <c r="M129" s="9">
        <f t="shared" si="124"/>
        <v>5</v>
      </c>
      <c r="N129" s="12" t="s">
        <v>42</v>
      </c>
      <c r="O129" s="18" t="s">
        <v>26</v>
      </c>
      <c r="P129" s="19" t="s">
        <v>785</v>
      </c>
      <c r="Q129" s="17">
        <f t="shared" si="125"/>
        <v>0.27</v>
      </c>
      <c r="R129" s="9"/>
    </row>
    <row r="130" spans="1:18">
      <c r="A130" s="2"/>
      <c r="B130" s="10">
        <f t="shared" si="0"/>
        <v>128</v>
      </c>
      <c r="C130" s="8" t="s">
        <v>609</v>
      </c>
      <c r="D130" s="12" t="s">
        <v>786</v>
      </c>
      <c r="E130" s="12" t="s">
        <v>787</v>
      </c>
      <c r="F130" s="12" t="s">
        <v>612</v>
      </c>
      <c r="G130" s="12" t="s">
        <v>788</v>
      </c>
      <c r="H130" s="12" t="s">
        <v>31</v>
      </c>
      <c r="I130" s="12" t="s">
        <v>23</v>
      </c>
      <c r="J130" s="12" t="s">
        <v>789</v>
      </c>
      <c r="K130" s="12" t="s">
        <v>790</v>
      </c>
      <c r="L130" s="12">
        <v>1</v>
      </c>
      <c r="M130" s="12">
        <f t="shared" ref="M130:M131" si="126">L130*5</f>
        <v>5</v>
      </c>
      <c r="N130" s="9" t="s">
        <v>42</v>
      </c>
      <c r="O130" s="18" t="s">
        <v>26</v>
      </c>
      <c r="P130" s="17" t="s">
        <v>617</v>
      </c>
      <c r="Q130" s="19">
        <f t="shared" ref="Q130:Q131" si="127">P130*N130</f>
        <v>0.12</v>
      </c>
      <c r="R130" s="12"/>
    </row>
    <row r="131" spans="1:18" ht="36">
      <c r="A131" s="2"/>
      <c r="B131" s="7">
        <f>ROW(B131)-ROW($B$2)</f>
        <v>129</v>
      </c>
      <c r="C131" s="8" t="s">
        <v>609</v>
      </c>
      <c r="D131" s="9" t="s">
        <v>791</v>
      </c>
      <c r="E131" s="9" t="s">
        <v>792</v>
      </c>
      <c r="F131" s="9" t="s">
        <v>612</v>
      </c>
      <c r="G131" s="9" t="s">
        <v>793</v>
      </c>
      <c r="H131" s="9" t="s">
        <v>794</v>
      </c>
      <c r="I131" s="12" t="s">
        <v>23</v>
      </c>
      <c r="J131" s="9" t="s">
        <v>795</v>
      </c>
      <c r="K131" s="9" t="s">
        <v>761</v>
      </c>
      <c r="L131" s="9">
        <v>1</v>
      </c>
      <c r="M131" s="9">
        <f t="shared" si="126"/>
        <v>5</v>
      </c>
      <c r="N131" s="12" t="s">
        <v>113</v>
      </c>
      <c r="O131" s="18" t="s">
        <v>26</v>
      </c>
      <c r="P131" s="19" t="s">
        <v>796</v>
      </c>
      <c r="Q131" s="17">
        <f t="shared" si="127"/>
        <v>0.52600000000000002</v>
      </c>
      <c r="R131" s="9"/>
    </row>
    <row r="132" spans="1:18">
      <c r="A132" s="2"/>
      <c r="B132" s="10">
        <f t="shared" si="0"/>
        <v>130</v>
      </c>
      <c r="C132" s="8" t="s">
        <v>609</v>
      </c>
      <c r="D132" s="12" t="s">
        <v>797</v>
      </c>
      <c r="E132" s="12" t="s">
        <v>798</v>
      </c>
      <c r="F132" s="12" t="s">
        <v>674</v>
      </c>
      <c r="G132" s="12" t="s">
        <v>799</v>
      </c>
      <c r="H132" s="12" t="s">
        <v>31</v>
      </c>
      <c r="I132" s="12" t="s">
        <v>23</v>
      </c>
      <c r="J132" s="12" t="s">
        <v>800</v>
      </c>
      <c r="K132" s="12" t="s">
        <v>801</v>
      </c>
      <c r="L132" s="12">
        <v>1</v>
      </c>
      <c r="M132" s="12">
        <f t="shared" ref="M132:M133" si="128">L132*5</f>
        <v>5</v>
      </c>
      <c r="N132" s="9" t="s">
        <v>34</v>
      </c>
      <c r="O132" s="18" t="s">
        <v>26</v>
      </c>
      <c r="P132" s="17" t="s">
        <v>802</v>
      </c>
      <c r="Q132" s="19">
        <f t="shared" ref="Q132:Q133" si="129">P132*N132</f>
        <v>1.0049999999999999</v>
      </c>
      <c r="R132" s="12"/>
    </row>
    <row r="133" spans="1:18">
      <c r="A133" s="2"/>
      <c r="B133" s="7">
        <f>ROW(B133)-ROW($B$2)</f>
        <v>131</v>
      </c>
      <c r="C133" s="8" t="s">
        <v>609</v>
      </c>
      <c r="D133" s="9" t="s">
        <v>803</v>
      </c>
      <c r="E133" s="9" t="s">
        <v>804</v>
      </c>
      <c r="F133" s="9" t="s">
        <v>805</v>
      </c>
      <c r="G133" s="9" t="s">
        <v>806</v>
      </c>
      <c r="H133" s="9" t="s">
        <v>31</v>
      </c>
      <c r="I133" s="12" t="s">
        <v>23</v>
      </c>
      <c r="J133" s="9" t="s">
        <v>807</v>
      </c>
      <c r="K133" s="9" t="s">
        <v>715</v>
      </c>
      <c r="L133" s="9">
        <v>1</v>
      </c>
      <c r="M133" s="9">
        <f t="shared" si="128"/>
        <v>5</v>
      </c>
      <c r="N133" s="12" t="s">
        <v>113</v>
      </c>
      <c r="O133" s="18" t="s">
        <v>26</v>
      </c>
      <c r="P133" s="19" t="s">
        <v>808</v>
      </c>
      <c r="Q133" s="17">
        <f t="shared" si="129"/>
        <v>0.63400000000000001</v>
      </c>
      <c r="R133" s="9"/>
    </row>
    <row r="134" spans="1:18">
      <c r="A134" s="2"/>
      <c r="B134" s="10">
        <f t="shared" si="0"/>
        <v>132</v>
      </c>
      <c r="C134" s="8" t="s">
        <v>609</v>
      </c>
      <c r="D134" s="12" t="s">
        <v>809</v>
      </c>
      <c r="E134" s="12" t="s">
        <v>810</v>
      </c>
      <c r="F134" s="12" t="s">
        <v>674</v>
      </c>
      <c r="G134" s="12" t="s">
        <v>811</v>
      </c>
      <c r="H134" s="12" t="s">
        <v>31</v>
      </c>
      <c r="I134" s="12" t="s">
        <v>23</v>
      </c>
      <c r="J134" s="12" t="s">
        <v>812</v>
      </c>
      <c r="K134" s="12" t="s">
        <v>813</v>
      </c>
      <c r="L134" s="12">
        <v>1</v>
      </c>
      <c r="M134" s="12">
        <f t="shared" ref="M134:M135" si="130">L134*5</f>
        <v>5</v>
      </c>
      <c r="N134" s="9" t="s">
        <v>42</v>
      </c>
      <c r="O134" s="18" t="s">
        <v>26</v>
      </c>
      <c r="P134" s="17" t="s">
        <v>814</v>
      </c>
      <c r="Q134" s="19">
        <f t="shared" ref="Q134:Q135" si="131">P134*N134</f>
        <v>0.16</v>
      </c>
      <c r="R134" s="12"/>
    </row>
    <row r="135" spans="1:18">
      <c r="A135" s="2"/>
      <c r="B135" s="7">
        <f>ROW(B135)-ROW($B$2)</f>
        <v>133</v>
      </c>
      <c r="C135" s="8" t="s">
        <v>609</v>
      </c>
      <c r="D135" s="9" t="s">
        <v>815</v>
      </c>
      <c r="E135" s="9" t="s">
        <v>816</v>
      </c>
      <c r="F135" s="9" t="s">
        <v>817</v>
      </c>
      <c r="G135" s="9" t="s">
        <v>818</v>
      </c>
      <c r="H135" s="9" t="s">
        <v>31</v>
      </c>
      <c r="I135" s="12" t="s">
        <v>23</v>
      </c>
      <c r="J135" s="9" t="s">
        <v>819</v>
      </c>
      <c r="K135" s="9" t="s">
        <v>727</v>
      </c>
      <c r="L135" s="9">
        <v>1</v>
      </c>
      <c r="M135" s="9">
        <f t="shared" si="130"/>
        <v>5</v>
      </c>
      <c r="N135" s="12" t="s">
        <v>42</v>
      </c>
      <c r="O135" s="18" t="s">
        <v>26</v>
      </c>
      <c r="P135" s="19" t="s">
        <v>820</v>
      </c>
      <c r="Q135" s="17">
        <f t="shared" si="131"/>
        <v>0.08</v>
      </c>
      <c r="R135" s="9"/>
    </row>
    <row r="136" spans="1:18">
      <c r="A136" s="2"/>
      <c r="B136" s="10">
        <f t="shared" si="0"/>
        <v>134</v>
      </c>
      <c r="C136" s="8" t="s">
        <v>609</v>
      </c>
      <c r="D136" s="12" t="s">
        <v>821</v>
      </c>
      <c r="E136" s="12" t="s">
        <v>822</v>
      </c>
      <c r="F136" s="12" t="s">
        <v>674</v>
      </c>
      <c r="G136" s="12" t="s">
        <v>823</v>
      </c>
      <c r="H136" s="12" t="s">
        <v>31</v>
      </c>
      <c r="I136" s="12" t="s">
        <v>23</v>
      </c>
      <c r="J136" s="12" t="s">
        <v>824</v>
      </c>
      <c r="K136" s="12" t="s">
        <v>825</v>
      </c>
      <c r="L136" s="12">
        <v>1</v>
      </c>
      <c r="M136" s="12">
        <f t="shared" ref="M136:M137" si="132">L136*5</f>
        <v>5</v>
      </c>
      <c r="N136" s="9" t="s">
        <v>42</v>
      </c>
      <c r="O136" s="18" t="s">
        <v>26</v>
      </c>
      <c r="P136" s="17" t="s">
        <v>677</v>
      </c>
      <c r="Q136" s="19">
        <f t="shared" ref="Q136:Q137" si="133">P136*N136</f>
        <v>7.0000000000000007E-2</v>
      </c>
      <c r="R136" s="12"/>
    </row>
    <row r="137" spans="1:18">
      <c r="A137" s="2"/>
      <c r="B137" s="7">
        <f>ROW(B137)-ROW($B$2)</f>
        <v>135</v>
      </c>
      <c r="C137" s="8" t="s">
        <v>609</v>
      </c>
      <c r="D137" s="9" t="s">
        <v>826</v>
      </c>
      <c r="E137" s="9" t="s">
        <v>827</v>
      </c>
      <c r="F137" s="9" t="s">
        <v>828</v>
      </c>
      <c r="G137" s="9" t="s">
        <v>829</v>
      </c>
      <c r="H137" s="9" t="s">
        <v>31</v>
      </c>
      <c r="I137" s="12" t="s">
        <v>23</v>
      </c>
      <c r="J137" s="9" t="s">
        <v>830</v>
      </c>
      <c r="K137" s="9" t="s">
        <v>732</v>
      </c>
      <c r="L137" s="9">
        <v>1</v>
      </c>
      <c r="M137" s="9">
        <f t="shared" si="132"/>
        <v>5</v>
      </c>
      <c r="N137" s="12" t="s">
        <v>34</v>
      </c>
      <c r="O137" s="18" t="s">
        <v>26</v>
      </c>
      <c r="P137" s="19" t="s">
        <v>831</v>
      </c>
      <c r="Q137" s="17">
        <f t="shared" si="133"/>
        <v>0.52</v>
      </c>
      <c r="R137" s="9"/>
    </row>
    <row r="138" spans="1:18">
      <c r="A138" s="2"/>
      <c r="B138" s="10">
        <f t="shared" si="0"/>
        <v>136</v>
      </c>
      <c r="C138" s="8" t="s">
        <v>609</v>
      </c>
      <c r="D138" s="12" t="s">
        <v>832</v>
      </c>
      <c r="E138" s="12" t="s">
        <v>833</v>
      </c>
      <c r="F138" s="12" t="s">
        <v>612</v>
      </c>
      <c r="G138" s="12" t="s">
        <v>834</v>
      </c>
      <c r="H138" s="12" t="s">
        <v>31</v>
      </c>
      <c r="I138" s="12" t="s">
        <v>23</v>
      </c>
      <c r="J138" s="12" t="s">
        <v>835</v>
      </c>
      <c r="K138" s="12" t="s">
        <v>836</v>
      </c>
      <c r="L138" s="12">
        <v>1</v>
      </c>
      <c r="M138" s="12">
        <f t="shared" ref="M138:M139" si="134">L138*5</f>
        <v>5</v>
      </c>
      <c r="N138" s="9" t="s">
        <v>113</v>
      </c>
      <c r="O138" s="18" t="s">
        <v>26</v>
      </c>
      <c r="P138" s="17" t="s">
        <v>837</v>
      </c>
      <c r="Q138" s="19">
        <f t="shared" ref="Q138:Q139" si="135">P138*N138</f>
        <v>0.496</v>
      </c>
      <c r="R138" s="12"/>
    </row>
    <row r="139" spans="1:18">
      <c r="A139" s="2"/>
      <c r="B139" s="7">
        <f>ROW(B139)-ROW($B$2)</f>
        <v>137</v>
      </c>
      <c r="C139" s="8" t="s">
        <v>609</v>
      </c>
      <c r="D139" s="9" t="s">
        <v>838</v>
      </c>
      <c r="E139" s="9" t="s">
        <v>839</v>
      </c>
      <c r="F139" s="9" t="s">
        <v>612</v>
      </c>
      <c r="G139" s="9" t="s">
        <v>840</v>
      </c>
      <c r="H139" s="9" t="s">
        <v>31</v>
      </c>
      <c r="I139" s="12" t="s">
        <v>23</v>
      </c>
      <c r="J139" s="9" t="s">
        <v>841</v>
      </c>
      <c r="K139" s="9" t="s">
        <v>842</v>
      </c>
      <c r="L139" s="9">
        <v>2</v>
      </c>
      <c r="M139" s="9">
        <f t="shared" si="134"/>
        <v>10</v>
      </c>
      <c r="N139" s="12" t="s">
        <v>42</v>
      </c>
      <c r="O139" s="18" t="s">
        <v>26</v>
      </c>
      <c r="P139" s="19" t="s">
        <v>617</v>
      </c>
      <c r="Q139" s="17">
        <f t="shared" si="135"/>
        <v>0.12</v>
      </c>
      <c r="R139" s="9"/>
    </row>
    <row r="140" spans="1:18" ht="36">
      <c r="A140" s="2"/>
      <c r="B140" s="10">
        <f t="shared" si="0"/>
        <v>138</v>
      </c>
      <c r="C140" s="8" t="s">
        <v>609</v>
      </c>
      <c r="D140" s="12" t="s">
        <v>843</v>
      </c>
      <c r="E140" s="12" t="s">
        <v>844</v>
      </c>
      <c r="F140" s="12" t="s">
        <v>674</v>
      </c>
      <c r="G140" s="12" t="s">
        <v>845</v>
      </c>
      <c r="H140" s="12" t="s">
        <v>31</v>
      </c>
      <c r="I140" s="12" t="s">
        <v>23</v>
      </c>
      <c r="J140" s="12" t="s">
        <v>846</v>
      </c>
      <c r="K140" s="12" t="s">
        <v>683</v>
      </c>
      <c r="L140" s="12">
        <v>13</v>
      </c>
      <c r="M140" s="12">
        <f t="shared" ref="M140:M141" si="136">L140*5</f>
        <v>65</v>
      </c>
      <c r="N140" s="9" t="s">
        <v>42</v>
      </c>
      <c r="O140" s="18" t="s">
        <v>26</v>
      </c>
      <c r="P140" s="17" t="s">
        <v>779</v>
      </c>
      <c r="Q140" s="19">
        <f t="shared" ref="Q140:Q141" si="137">P140*N140</f>
        <v>0.06</v>
      </c>
      <c r="R140" s="12"/>
    </row>
    <row r="141" spans="1:18">
      <c r="A141" s="2"/>
      <c r="B141" s="7">
        <f>ROW(B141)-ROW($B$2)</f>
        <v>139</v>
      </c>
      <c r="C141" s="8" t="s">
        <v>609</v>
      </c>
      <c r="D141" s="9" t="s">
        <v>847</v>
      </c>
      <c r="E141" s="9" t="s">
        <v>848</v>
      </c>
      <c r="F141" s="9" t="s">
        <v>612</v>
      </c>
      <c r="G141" s="9" t="s">
        <v>849</v>
      </c>
      <c r="H141" s="9" t="s">
        <v>850</v>
      </c>
      <c r="I141" s="12" t="s">
        <v>23</v>
      </c>
      <c r="J141" s="9" t="s">
        <v>851</v>
      </c>
      <c r="K141" s="9" t="s">
        <v>665</v>
      </c>
      <c r="L141" s="9">
        <v>1</v>
      </c>
      <c r="M141" s="9">
        <f t="shared" si="136"/>
        <v>5</v>
      </c>
      <c r="N141" s="12" t="s">
        <v>42</v>
      </c>
      <c r="O141" s="18" t="s">
        <v>26</v>
      </c>
      <c r="P141" s="19" t="s">
        <v>617</v>
      </c>
      <c r="Q141" s="17">
        <f t="shared" si="137"/>
        <v>0.12</v>
      </c>
      <c r="R141" s="9"/>
    </row>
    <row r="142" spans="1:18">
      <c r="A142" s="2"/>
      <c r="B142" s="10">
        <f t="shared" si="0"/>
        <v>140</v>
      </c>
      <c r="C142" s="8" t="s">
        <v>609</v>
      </c>
      <c r="D142" s="12" t="s">
        <v>852</v>
      </c>
      <c r="E142" s="12" t="s">
        <v>853</v>
      </c>
      <c r="F142" s="12" t="s">
        <v>612</v>
      </c>
      <c r="G142" s="12" t="s">
        <v>854</v>
      </c>
      <c r="H142" s="12" t="s">
        <v>855</v>
      </c>
      <c r="I142" s="12" t="s">
        <v>23</v>
      </c>
      <c r="J142" s="9" t="s">
        <v>856</v>
      </c>
      <c r="K142" s="12" t="s">
        <v>857</v>
      </c>
      <c r="L142" s="12">
        <v>2</v>
      </c>
      <c r="M142" s="12">
        <f t="shared" ref="M142:M143" si="138">L142*5</f>
        <v>10</v>
      </c>
      <c r="N142" s="9" t="s">
        <v>131</v>
      </c>
      <c r="O142" s="18" t="s">
        <v>26</v>
      </c>
      <c r="P142" s="17" t="s">
        <v>858</v>
      </c>
      <c r="Q142" s="19">
        <f t="shared" ref="Q142:Q143" si="139">P142*N142</f>
        <v>3.5999999999999997E-2</v>
      </c>
      <c r="R142" s="12"/>
    </row>
    <row r="143" spans="1:18">
      <c r="A143" s="2"/>
      <c r="B143" s="7">
        <f>ROW(B143)-ROW($B$2)</f>
        <v>141</v>
      </c>
      <c r="C143" s="8" t="s">
        <v>609</v>
      </c>
      <c r="D143" s="9" t="s">
        <v>859</v>
      </c>
      <c r="E143" s="9" t="s">
        <v>860</v>
      </c>
      <c r="F143" s="9" t="s">
        <v>674</v>
      </c>
      <c r="G143" s="9" t="s">
        <v>861</v>
      </c>
      <c r="H143" s="9" t="s">
        <v>31</v>
      </c>
      <c r="I143" s="12" t="s">
        <v>23</v>
      </c>
      <c r="J143" s="9" t="s">
        <v>862</v>
      </c>
      <c r="K143" s="9" t="s">
        <v>732</v>
      </c>
      <c r="L143" s="9">
        <v>2</v>
      </c>
      <c r="M143" s="9">
        <f t="shared" si="138"/>
        <v>10</v>
      </c>
      <c r="N143" s="12" t="s">
        <v>42</v>
      </c>
      <c r="O143" s="18" t="s">
        <v>26</v>
      </c>
      <c r="P143" s="19" t="s">
        <v>779</v>
      </c>
      <c r="Q143" s="17">
        <f t="shared" si="139"/>
        <v>0.06</v>
      </c>
      <c r="R143" s="9"/>
    </row>
    <row r="144" spans="1:18">
      <c r="A144" s="2"/>
      <c r="B144" s="10">
        <f t="shared" si="0"/>
        <v>142</v>
      </c>
      <c r="C144" s="8" t="s">
        <v>609</v>
      </c>
      <c r="D144" s="23" t="s">
        <v>863</v>
      </c>
      <c r="E144" s="23" t="s">
        <v>864</v>
      </c>
      <c r="F144" s="23" t="s">
        <v>828</v>
      </c>
      <c r="G144" s="23" t="s">
        <v>865</v>
      </c>
      <c r="H144" s="23" t="s">
        <v>31</v>
      </c>
      <c r="I144" s="12" t="s">
        <v>23</v>
      </c>
      <c r="J144" s="23"/>
      <c r="K144" s="23" t="s">
        <v>709</v>
      </c>
      <c r="L144" s="23">
        <v>1</v>
      </c>
      <c r="M144" s="23">
        <f t="shared" ref="M144:M145" si="140">L144*5</f>
        <v>5</v>
      </c>
      <c r="N144" s="13" t="s">
        <v>42</v>
      </c>
      <c r="O144" s="25" t="s">
        <v>26</v>
      </c>
      <c r="P144" s="24" t="s">
        <v>23</v>
      </c>
      <c r="Q144" s="26" t="s">
        <v>23</v>
      </c>
      <c r="R144" s="27" t="s">
        <v>550</v>
      </c>
    </row>
    <row r="145" spans="1:18" ht="48">
      <c r="A145" s="2"/>
      <c r="B145" s="7">
        <f>ROW(B145)-ROW($B$2)</f>
        <v>143</v>
      </c>
      <c r="C145" s="8" t="s">
        <v>609</v>
      </c>
      <c r="D145" s="9" t="s">
        <v>866</v>
      </c>
      <c r="E145" s="9" t="s">
        <v>867</v>
      </c>
      <c r="F145" s="9" t="s">
        <v>868</v>
      </c>
      <c r="G145" s="9" t="s">
        <v>869</v>
      </c>
      <c r="H145" s="9" t="s">
        <v>870</v>
      </c>
      <c r="I145" s="12" t="s">
        <v>23</v>
      </c>
      <c r="J145" s="9" t="s">
        <v>871</v>
      </c>
      <c r="K145" s="9" t="s">
        <v>872</v>
      </c>
      <c r="L145" s="9">
        <v>1</v>
      </c>
      <c r="M145" s="9">
        <f t="shared" si="140"/>
        <v>5</v>
      </c>
      <c r="N145" s="12" t="s">
        <v>131</v>
      </c>
      <c r="O145" s="18" t="s">
        <v>26</v>
      </c>
      <c r="P145" s="19" t="s">
        <v>873</v>
      </c>
      <c r="Q145" s="17">
        <f>P145*N145</f>
        <v>0.57099999999999995</v>
      </c>
      <c r="R145" s="9"/>
    </row>
    <row r="146" spans="1:18">
      <c r="A146" s="2"/>
      <c r="B146" s="10">
        <f t="shared" si="0"/>
        <v>144</v>
      </c>
      <c r="C146" s="8" t="s">
        <v>609</v>
      </c>
      <c r="D146" s="12" t="s">
        <v>874</v>
      </c>
      <c r="E146" s="12" t="s">
        <v>864</v>
      </c>
      <c r="F146" s="12" t="s">
        <v>828</v>
      </c>
      <c r="G146" s="12" t="s">
        <v>865</v>
      </c>
      <c r="H146" s="12" t="s">
        <v>31</v>
      </c>
      <c r="I146" s="12" t="s">
        <v>23</v>
      </c>
      <c r="J146" s="9" t="s">
        <v>875</v>
      </c>
      <c r="K146" s="12" t="s">
        <v>715</v>
      </c>
      <c r="L146" s="12">
        <v>1</v>
      </c>
      <c r="M146" s="12">
        <f t="shared" ref="M146:M147" si="141">L146*5</f>
        <v>5</v>
      </c>
      <c r="N146" s="9" t="s">
        <v>42</v>
      </c>
      <c r="O146" s="18" t="s">
        <v>26</v>
      </c>
      <c r="P146" s="17" t="s">
        <v>55</v>
      </c>
      <c r="Q146" s="19">
        <f t="shared" ref="Q146:Q147" si="142">P146*N146</f>
        <v>0.31</v>
      </c>
      <c r="R146" s="12"/>
    </row>
    <row r="147" spans="1:18">
      <c r="A147" s="2"/>
      <c r="B147" s="7">
        <f>ROW(B147)-ROW($B$2)</f>
        <v>145</v>
      </c>
      <c r="C147" s="8" t="s">
        <v>609</v>
      </c>
      <c r="D147" s="9" t="s">
        <v>876</v>
      </c>
      <c r="E147" s="9" t="s">
        <v>877</v>
      </c>
      <c r="F147" s="9" t="s">
        <v>612</v>
      </c>
      <c r="G147" s="9" t="s">
        <v>878</v>
      </c>
      <c r="H147" s="9" t="s">
        <v>31</v>
      </c>
      <c r="I147" s="12" t="s">
        <v>23</v>
      </c>
      <c r="J147" s="9" t="s">
        <v>879</v>
      </c>
      <c r="K147" s="9" t="s">
        <v>744</v>
      </c>
      <c r="L147" s="9">
        <v>1</v>
      </c>
      <c r="M147" s="9">
        <f t="shared" si="141"/>
        <v>5</v>
      </c>
      <c r="N147" s="12" t="s">
        <v>42</v>
      </c>
      <c r="O147" s="18" t="s">
        <v>26</v>
      </c>
      <c r="P147" s="19" t="s">
        <v>101</v>
      </c>
      <c r="Q147" s="17">
        <f t="shared" si="142"/>
        <v>0.1</v>
      </c>
      <c r="R147" s="9"/>
    </row>
    <row r="148" spans="1:18">
      <c r="A148" s="2"/>
      <c r="B148" s="10">
        <f t="shared" si="0"/>
        <v>146</v>
      </c>
      <c r="C148" s="8" t="s">
        <v>609</v>
      </c>
      <c r="D148" s="12" t="s">
        <v>880</v>
      </c>
      <c r="E148" s="12" t="s">
        <v>881</v>
      </c>
      <c r="F148" s="12" t="s">
        <v>612</v>
      </c>
      <c r="G148" s="12" t="s">
        <v>882</v>
      </c>
      <c r="H148" s="12" t="s">
        <v>31</v>
      </c>
      <c r="I148" s="12" t="s">
        <v>23</v>
      </c>
      <c r="J148" s="12" t="s">
        <v>883</v>
      </c>
      <c r="K148" s="12" t="s">
        <v>683</v>
      </c>
      <c r="L148" s="12">
        <v>2</v>
      </c>
      <c r="M148" s="12">
        <f t="shared" ref="M148:M149" si="143">L148*5</f>
        <v>10</v>
      </c>
      <c r="N148" s="12">
        <v>20</v>
      </c>
      <c r="O148" s="18" t="s">
        <v>26</v>
      </c>
      <c r="P148" s="19">
        <v>2.01E-2</v>
      </c>
      <c r="Q148" s="19">
        <f t="shared" ref="Q148:Q149" si="144">P148*N148</f>
        <v>0.40200000000000002</v>
      </c>
      <c r="R148" s="12"/>
    </row>
    <row r="149" spans="1:18">
      <c r="A149" s="2"/>
      <c r="B149" s="7">
        <f>ROW(B149)-ROW($B$2)</f>
        <v>147</v>
      </c>
      <c r="C149" s="8" t="s">
        <v>609</v>
      </c>
      <c r="D149" s="9" t="s">
        <v>884</v>
      </c>
      <c r="E149" s="9" t="s">
        <v>885</v>
      </c>
      <c r="F149" s="9" t="s">
        <v>612</v>
      </c>
      <c r="G149" s="9" t="s">
        <v>886</v>
      </c>
      <c r="H149" s="9" t="s">
        <v>31</v>
      </c>
      <c r="I149" s="12" t="s">
        <v>23</v>
      </c>
      <c r="J149" s="9" t="s">
        <v>887</v>
      </c>
      <c r="K149" s="9" t="s">
        <v>888</v>
      </c>
      <c r="L149" s="9">
        <v>2</v>
      </c>
      <c r="M149" s="9">
        <f t="shared" si="143"/>
        <v>10</v>
      </c>
      <c r="N149" s="9">
        <v>20</v>
      </c>
      <c r="O149" s="18" t="s">
        <v>26</v>
      </c>
      <c r="P149" s="17">
        <v>2.4299999999999999E-2</v>
      </c>
      <c r="Q149" s="17">
        <f t="shared" si="144"/>
        <v>0.48599999999999999</v>
      </c>
      <c r="R149" s="9"/>
    </row>
    <row r="150" spans="1:18">
      <c r="A150" s="2"/>
      <c r="B150" s="10">
        <f t="shared" si="0"/>
        <v>148</v>
      </c>
      <c r="C150" s="8" t="s">
        <v>609</v>
      </c>
      <c r="D150" s="12" t="s">
        <v>889</v>
      </c>
      <c r="E150" s="12" t="s">
        <v>890</v>
      </c>
      <c r="F150" s="12" t="s">
        <v>817</v>
      </c>
      <c r="G150" s="12" t="s">
        <v>891</v>
      </c>
      <c r="H150" s="12" t="s">
        <v>31</v>
      </c>
      <c r="I150" s="12" t="s">
        <v>23</v>
      </c>
      <c r="J150" s="12" t="s">
        <v>892</v>
      </c>
      <c r="K150" s="12" t="s">
        <v>842</v>
      </c>
      <c r="L150" s="12">
        <v>1</v>
      </c>
      <c r="M150" s="12">
        <f t="shared" ref="M150:M151" si="145">L150*5</f>
        <v>5</v>
      </c>
      <c r="N150" s="12">
        <v>100</v>
      </c>
      <c r="O150" s="20" t="s">
        <v>26</v>
      </c>
      <c r="P150" s="19">
        <v>8.0000000000000004E-4</v>
      </c>
      <c r="Q150" s="19">
        <f t="shared" ref="Q150" si="146">P150*N150</f>
        <v>0.08</v>
      </c>
      <c r="R150" s="12"/>
    </row>
    <row r="151" spans="1:18">
      <c r="A151" s="2"/>
      <c r="B151" s="7">
        <f>ROW(B151)-ROW($B$2)</f>
        <v>149</v>
      </c>
      <c r="C151" s="8" t="s">
        <v>609</v>
      </c>
      <c r="D151" s="13" t="s">
        <v>893</v>
      </c>
      <c r="E151" s="13" t="s">
        <v>881</v>
      </c>
      <c r="F151" s="13" t="s">
        <v>612</v>
      </c>
      <c r="G151" s="13" t="s">
        <v>882</v>
      </c>
      <c r="H151" s="13" t="s">
        <v>31</v>
      </c>
      <c r="I151" s="12" t="s">
        <v>23</v>
      </c>
      <c r="J151" s="13" t="s">
        <v>883</v>
      </c>
      <c r="K151" s="13" t="s">
        <v>709</v>
      </c>
      <c r="L151" s="13">
        <v>2</v>
      </c>
      <c r="M151" s="13">
        <f t="shared" si="145"/>
        <v>10</v>
      </c>
      <c r="N151" s="13" t="s">
        <v>23</v>
      </c>
      <c r="O151" s="13" t="s">
        <v>23</v>
      </c>
      <c r="P151" s="24" t="s">
        <v>23</v>
      </c>
      <c r="Q151" s="24" t="s">
        <v>23</v>
      </c>
      <c r="R151" s="27" t="s">
        <v>550</v>
      </c>
    </row>
    <row r="152" spans="1:18" ht="36">
      <c r="A152" s="2"/>
      <c r="B152" s="10">
        <f t="shared" si="0"/>
        <v>150</v>
      </c>
      <c r="C152" s="8" t="s">
        <v>609</v>
      </c>
      <c r="D152" s="12" t="s">
        <v>894</v>
      </c>
      <c r="E152" s="12" t="s">
        <v>895</v>
      </c>
      <c r="F152" s="12" t="s">
        <v>868</v>
      </c>
      <c r="G152" s="12" t="s">
        <v>896</v>
      </c>
      <c r="H152" s="12" t="s">
        <v>897</v>
      </c>
      <c r="I152" s="12" t="s">
        <v>23</v>
      </c>
      <c r="J152" s="12" t="s">
        <v>898</v>
      </c>
      <c r="K152" s="12" t="s">
        <v>715</v>
      </c>
      <c r="L152" s="12">
        <v>1</v>
      </c>
      <c r="M152" s="12">
        <f t="shared" ref="M152:M153" si="147">L152*5</f>
        <v>5</v>
      </c>
      <c r="N152" s="12">
        <v>50</v>
      </c>
      <c r="O152" s="20" t="s">
        <v>26</v>
      </c>
      <c r="P152" s="19">
        <v>1.9E-2</v>
      </c>
      <c r="Q152" s="19">
        <f t="shared" ref="Q152:Q153" si="148">P152*N152</f>
        <v>0.95</v>
      </c>
      <c r="R152" s="12"/>
    </row>
    <row r="153" spans="1:18">
      <c r="A153" s="2"/>
      <c r="B153" s="7">
        <f>ROW(B153)-ROW($B$2)</f>
        <v>151</v>
      </c>
      <c r="C153" s="8" t="s">
        <v>609</v>
      </c>
      <c r="D153" s="9" t="s">
        <v>899</v>
      </c>
      <c r="E153" s="9" t="s">
        <v>679</v>
      </c>
      <c r="F153" s="9" t="s">
        <v>612</v>
      </c>
      <c r="G153" s="9" t="s">
        <v>680</v>
      </c>
      <c r="H153" s="9" t="s">
        <v>900</v>
      </c>
      <c r="I153" s="12" t="s">
        <v>23</v>
      </c>
      <c r="J153" s="9" t="s">
        <v>682</v>
      </c>
      <c r="K153" s="9" t="s">
        <v>683</v>
      </c>
      <c r="L153" s="9">
        <v>1</v>
      </c>
      <c r="M153" s="9">
        <f t="shared" si="147"/>
        <v>5</v>
      </c>
      <c r="N153" s="9" t="s">
        <v>113</v>
      </c>
      <c r="O153" s="18" t="s">
        <v>26</v>
      </c>
      <c r="P153" s="17" t="s">
        <v>684</v>
      </c>
      <c r="Q153" s="17">
        <f t="shared" si="148"/>
        <v>0.57399999999999995</v>
      </c>
      <c r="R153" s="9"/>
    </row>
    <row r="154" spans="1:18">
      <c r="A154" s="2"/>
      <c r="B154" s="10">
        <f t="shared" si="0"/>
        <v>152</v>
      </c>
      <c r="C154" s="8" t="s">
        <v>609</v>
      </c>
      <c r="D154" s="12" t="s">
        <v>901</v>
      </c>
      <c r="E154" s="12" t="s">
        <v>902</v>
      </c>
      <c r="F154" s="12" t="s">
        <v>817</v>
      </c>
      <c r="G154" s="12" t="s">
        <v>903</v>
      </c>
      <c r="H154" s="12" t="s">
        <v>31</v>
      </c>
      <c r="I154" s="12" t="s">
        <v>23</v>
      </c>
      <c r="J154" s="12" t="s">
        <v>904</v>
      </c>
      <c r="K154" s="12" t="s">
        <v>683</v>
      </c>
      <c r="L154" s="12">
        <v>5</v>
      </c>
      <c r="M154" s="12">
        <f t="shared" ref="M154:M155" si="149">L154*5</f>
        <v>25</v>
      </c>
      <c r="N154" s="12">
        <v>100</v>
      </c>
      <c r="O154" s="20" t="s">
        <v>26</v>
      </c>
      <c r="P154" s="19">
        <v>8.9999999999999998E-4</v>
      </c>
      <c r="Q154" s="19">
        <f t="shared" ref="Q154:Q155" si="150">P154*N154</f>
        <v>0.09</v>
      </c>
      <c r="R154" s="12"/>
    </row>
    <row r="155" spans="1:18">
      <c r="A155" s="2"/>
      <c r="B155" s="7">
        <f>ROW(B155)-ROW($B$2)</f>
        <v>153</v>
      </c>
      <c r="C155" s="8" t="s">
        <v>609</v>
      </c>
      <c r="D155" s="9" t="s">
        <v>905</v>
      </c>
      <c r="E155" s="9" t="s">
        <v>906</v>
      </c>
      <c r="F155" s="9" t="s">
        <v>612</v>
      </c>
      <c r="G155" s="9" t="s">
        <v>907</v>
      </c>
      <c r="H155" s="9" t="s">
        <v>31</v>
      </c>
      <c r="I155" s="12" t="s">
        <v>23</v>
      </c>
      <c r="J155" s="9" t="s">
        <v>908</v>
      </c>
      <c r="K155" s="9" t="s">
        <v>909</v>
      </c>
      <c r="L155" s="9">
        <v>2</v>
      </c>
      <c r="M155" s="9">
        <f t="shared" si="149"/>
        <v>10</v>
      </c>
      <c r="N155" s="9">
        <v>100</v>
      </c>
      <c r="O155" s="16" t="s">
        <v>26</v>
      </c>
      <c r="P155" s="17">
        <v>1.1999999999999999E-3</v>
      </c>
      <c r="Q155" s="17">
        <f t="shared" si="150"/>
        <v>0.12</v>
      </c>
      <c r="R155" s="9"/>
    </row>
    <row r="156" spans="1:18">
      <c r="A156" s="2"/>
      <c r="B156" s="10">
        <f t="shared" si="0"/>
        <v>154</v>
      </c>
      <c r="C156" s="8" t="s">
        <v>609</v>
      </c>
      <c r="D156" s="12" t="s">
        <v>910</v>
      </c>
      <c r="E156" s="12" t="s">
        <v>911</v>
      </c>
      <c r="F156" s="12" t="s">
        <v>612</v>
      </c>
      <c r="G156" s="12" t="s">
        <v>912</v>
      </c>
      <c r="H156" s="12" t="s">
        <v>855</v>
      </c>
      <c r="I156" s="12" t="s">
        <v>23</v>
      </c>
      <c r="J156" s="12" t="s">
        <v>913</v>
      </c>
      <c r="K156" s="12" t="s">
        <v>914</v>
      </c>
      <c r="L156" s="12">
        <v>1</v>
      </c>
      <c r="M156" s="12">
        <f t="shared" ref="M156:M157" si="151">L156*5</f>
        <v>5</v>
      </c>
      <c r="N156" s="12">
        <v>50</v>
      </c>
      <c r="O156" s="20" t="s">
        <v>26</v>
      </c>
      <c r="P156" s="19">
        <v>4.7999999999999996E-3</v>
      </c>
      <c r="Q156" s="19">
        <f t="shared" ref="Q156:Q157" si="152">P156*N156</f>
        <v>0.24</v>
      </c>
      <c r="R156" s="12"/>
    </row>
    <row r="157" spans="1:18">
      <c r="A157" s="2"/>
      <c r="B157" s="7">
        <f>ROW(B157)-ROW($B$2)</f>
        <v>155</v>
      </c>
      <c r="C157" s="8" t="s">
        <v>609</v>
      </c>
      <c r="D157" s="9" t="s">
        <v>915</v>
      </c>
      <c r="E157" s="9" t="s">
        <v>916</v>
      </c>
      <c r="F157" s="9" t="s">
        <v>612</v>
      </c>
      <c r="G157" s="9" t="s">
        <v>917</v>
      </c>
      <c r="H157" s="9" t="s">
        <v>31</v>
      </c>
      <c r="I157" s="12" t="s">
        <v>23</v>
      </c>
      <c r="J157" s="9" t="s">
        <v>918</v>
      </c>
      <c r="K157" s="9" t="s">
        <v>919</v>
      </c>
      <c r="L157" s="9">
        <v>1</v>
      </c>
      <c r="M157" s="9">
        <f t="shared" si="151"/>
        <v>5</v>
      </c>
      <c r="N157" s="9">
        <v>100</v>
      </c>
      <c r="O157" s="16" t="s">
        <v>26</v>
      </c>
      <c r="P157" s="17">
        <v>6.9999999999999999E-4</v>
      </c>
      <c r="Q157" s="17">
        <f t="shared" si="152"/>
        <v>7.0000000000000007E-2</v>
      </c>
      <c r="R157" s="9"/>
    </row>
    <row r="158" spans="1:18">
      <c r="A158" s="2"/>
      <c r="B158" s="10">
        <f t="shared" si="0"/>
        <v>156</v>
      </c>
      <c r="C158" s="8" t="s">
        <v>609</v>
      </c>
      <c r="D158" s="12" t="s">
        <v>920</v>
      </c>
      <c r="E158" s="12" t="s">
        <v>921</v>
      </c>
      <c r="F158" s="12" t="s">
        <v>612</v>
      </c>
      <c r="G158" s="12" t="s">
        <v>922</v>
      </c>
      <c r="H158" s="12" t="s">
        <v>31</v>
      </c>
      <c r="I158" s="12" t="s">
        <v>23</v>
      </c>
      <c r="J158" s="12" t="s">
        <v>923</v>
      </c>
      <c r="K158" s="12" t="s">
        <v>761</v>
      </c>
      <c r="L158" s="12">
        <v>1</v>
      </c>
      <c r="M158" s="12">
        <f t="shared" ref="M158:M159" si="153">L158*5</f>
        <v>5</v>
      </c>
      <c r="N158" s="12">
        <v>100</v>
      </c>
      <c r="O158" s="20" t="s">
        <v>26</v>
      </c>
      <c r="P158" s="19">
        <v>1.1999999999999999E-3</v>
      </c>
      <c r="Q158" s="19">
        <f t="shared" ref="Q158:Q159" si="154">P158*N158</f>
        <v>0.12</v>
      </c>
      <c r="R158" s="12"/>
    </row>
    <row r="159" spans="1:18">
      <c r="A159" s="2"/>
      <c r="B159" s="7">
        <f>ROW(B159)-ROW($B$2)</f>
        <v>157</v>
      </c>
      <c r="C159" s="8" t="s">
        <v>609</v>
      </c>
      <c r="D159" s="9" t="s">
        <v>924</v>
      </c>
      <c r="E159" s="9" t="s">
        <v>925</v>
      </c>
      <c r="F159" s="9" t="s">
        <v>612</v>
      </c>
      <c r="G159" s="9" t="s">
        <v>926</v>
      </c>
      <c r="H159" s="9" t="s">
        <v>855</v>
      </c>
      <c r="I159" s="12" t="s">
        <v>23</v>
      </c>
      <c r="J159" s="9" t="s">
        <v>927</v>
      </c>
      <c r="K159" s="9" t="s">
        <v>928</v>
      </c>
      <c r="L159" s="9">
        <v>1</v>
      </c>
      <c r="M159" s="9">
        <f t="shared" si="153"/>
        <v>5</v>
      </c>
      <c r="N159" s="9">
        <v>100</v>
      </c>
      <c r="O159" s="16" t="s">
        <v>26</v>
      </c>
      <c r="P159" s="17">
        <v>3.8E-3</v>
      </c>
      <c r="Q159" s="17">
        <f t="shared" si="154"/>
        <v>0.38</v>
      </c>
      <c r="R159" s="9"/>
    </row>
    <row r="160" spans="1:18">
      <c r="A160" s="2"/>
      <c r="B160" s="10">
        <f t="shared" si="0"/>
        <v>158</v>
      </c>
      <c r="C160" s="8" t="s">
        <v>609</v>
      </c>
      <c r="D160" s="12" t="s">
        <v>929</v>
      </c>
      <c r="E160" s="12" t="s">
        <v>930</v>
      </c>
      <c r="F160" s="12" t="s">
        <v>612</v>
      </c>
      <c r="G160" s="12" t="s">
        <v>931</v>
      </c>
      <c r="H160" s="12" t="s">
        <v>31</v>
      </c>
      <c r="I160" s="12" t="s">
        <v>23</v>
      </c>
      <c r="J160" s="12" t="s">
        <v>932</v>
      </c>
      <c r="K160" s="12" t="s">
        <v>727</v>
      </c>
      <c r="L160" s="12">
        <v>4</v>
      </c>
      <c r="M160" s="12">
        <f t="shared" ref="M160:M161" si="155">L160*5</f>
        <v>20</v>
      </c>
      <c r="N160" s="12">
        <v>20</v>
      </c>
      <c r="O160" s="20" t="s">
        <v>26</v>
      </c>
      <c r="P160" s="19">
        <v>2.0500000000000001E-2</v>
      </c>
      <c r="Q160" s="19">
        <f t="shared" ref="Q160:Q161" si="156">P160*N160</f>
        <v>0.41</v>
      </c>
      <c r="R160" s="12"/>
    </row>
    <row r="161" spans="1:18">
      <c r="A161" s="2"/>
      <c r="B161" s="7">
        <f>ROW(B161)-ROW($B$2)</f>
        <v>159</v>
      </c>
      <c r="C161" s="8" t="s">
        <v>609</v>
      </c>
      <c r="D161" s="9" t="s">
        <v>933</v>
      </c>
      <c r="E161" s="9" t="s">
        <v>934</v>
      </c>
      <c r="F161" s="9" t="s">
        <v>612</v>
      </c>
      <c r="G161" s="9" t="s">
        <v>935</v>
      </c>
      <c r="H161" s="9" t="s">
        <v>31</v>
      </c>
      <c r="I161" s="12" t="s">
        <v>23</v>
      </c>
      <c r="J161" s="9" t="s">
        <v>936</v>
      </c>
      <c r="K161" s="9" t="s">
        <v>937</v>
      </c>
      <c r="L161" s="9">
        <v>1</v>
      </c>
      <c r="M161" s="9">
        <f t="shared" si="155"/>
        <v>5</v>
      </c>
      <c r="N161" s="9">
        <v>5</v>
      </c>
      <c r="O161" s="16" t="s">
        <v>26</v>
      </c>
      <c r="P161" s="17">
        <v>0.1368</v>
      </c>
      <c r="Q161" s="17">
        <f t="shared" si="156"/>
        <v>0.68400000000000005</v>
      </c>
      <c r="R161" s="9"/>
    </row>
    <row r="162" spans="1:18">
      <c r="A162" s="2"/>
      <c r="B162" s="10">
        <f t="shared" si="0"/>
        <v>160</v>
      </c>
      <c r="C162" s="8" t="s">
        <v>609</v>
      </c>
      <c r="D162" s="12" t="s">
        <v>938</v>
      </c>
      <c r="E162" s="12" t="s">
        <v>939</v>
      </c>
      <c r="F162" s="12" t="s">
        <v>674</v>
      </c>
      <c r="G162" s="12" t="s">
        <v>940</v>
      </c>
      <c r="H162" s="12" t="s">
        <v>31</v>
      </c>
      <c r="I162" s="12" t="s">
        <v>23</v>
      </c>
      <c r="J162" s="12" t="s">
        <v>941</v>
      </c>
      <c r="K162" s="12" t="s">
        <v>909</v>
      </c>
      <c r="L162" s="12">
        <v>1</v>
      </c>
      <c r="M162" s="12">
        <f t="shared" ref="M162:M163" si="157">L162*5</f>
        <v>5</v>
      </c>
      <c r="N162" s="12">
        <v>100</v>
      </c>
      <c r="O162" s="20" t="s">
        <v>26</v>
      </c>
      <c r="P162" s="19">
        <v>6.9999999999999999E-4</v>
      </c>
      <c r="Q162" s="19">
        <f t="shared" ref="Q162:Q163" si="158">P162*N162</f>
        <v>7.0000000000000007E-2</v>
      </c>
      <c r="R162" s="12"/>
    </row>
    <row r="163" spans="1:18">
      <c r="A163" s="2"/>
      <c r="B163" s="7">
        <f>ROW(B163)-ROW($B$2)</f>
        <v>161</v>
      </c>
      <c r="C163" s="8" t="s">
        <v>609</v>
      </c>
      <c r="D163" s="9" t="s">
        <v>942</v>
      </c>
      <c r="E163" s="9" t="s">
        <v>943</v>
      </c>
      <c r="F163" s="9" t="s">
        <v>674</v>
      </c>
      <c r="G163" s="9" t="s">
        <v>944</v>
      </c>
      <c r="H163" s="9" t="s">
        <v>31</v>
      </c>
      <c r="I163" s="12" t="s">
        <v>23</v>
      </c>
      <c r="J163" s="9" t="s">
        <v>945</v>
      </c>
      <c r="K163" s="9" t="s">
        <v>946</v>
      </c>
      <c r="L163" s="9">
        <v>5</v>
      </c>
      <c r="M163" s="9">
        <f t="shared" si="157"/>
        <v>25</v>
      </c>
      <c r="N163" s="9">
        <v>100</v>
      </c>
      <c r="O163" s="16" t="s">
        <v>26</v>
      </c>
      <c r="P163" s="17">
        <v>5.9999999999999995E-4</v>
      </c>
      <c r="Q163" s="17">
        <f t="shared" si="158"/>
        <v>0.06</v>
      </c>
      <c r="R163" s="9"/>
    </row>
    <row r="164" spans="1:18">
      <c r="A164" s="2"/>
      <c r="B164" s="10">
        <f t="shared" si="0"/>
        <v>162</v>
      </c>
      <c r="C164" s="8" t="s">
        <v>609</v>
      </c>
      <c r="D164" s="12" t="s">
        <v>947</v>
      </c>
      <c r="E164" s="12" t="s">
        <v>948</v>
      </c>
      <c r="F164" s="12" t="s">
        <v>612</v>
      </c>
      <c r="G164" s="12" t="s">
        <v>949</v>
      </c>
      <c r="H164" s="12" t="s">
        <v>31</v>
      </c>
      <c r="I164" s="12" t="s">
        <v>23</v>
      </c>
      <c r="J164" s="12" t="s">
        <v>950</v>
      </c>
      <c r="K164" s="12" t="s">
        <v>937</v>
      </c>
      <c r="L164" s="12">
        <v>2</v>
      </c>
      <c r="M164" s="12">
        <f t="shared" ref="M164:M165" si="159">L164*5</f>
        <v>10</v>
      </c>
      <c r="N164" s="12">
        <v>100</v>
      </c>
      <c r="O164" s="20" t="s">
        <v>26</v>
      </c>
      <c r="P164" s="19">
        <v>1.1999999999999999E-3</v>
      </c>
      <c r="Q164" s="19">
        <f t="shared" ref="Q164:Q165" si="160">P164*N164</f>
        <v>0.12</v>
      </c>
      <c r="R164" s="12"/>
    </row>
    <row r="165" spans="1:18">
      <c r="A165" s="2"/>
      <c r="B165" s="7">
        <f>ROW(B165)-ROW($B$2)</f>
        <v>163</v>
      </c>
      <c r="C165" s="8" t="s">
        <v>609</v>
      </c>
      <c r="D165" s="9" t="s">
        <v>951</v>
      </c>
      <c r="E165" s="9" t="s">
        <v>952</v>
      </c>
      <c r="F165" s="9" t="s">
        <v>674</v>
      </c>
      <c r="G165" s="9" t="s">
        <v>953</v>
      </c>
      <c r="H165" s="9" t="s">
        <v>31</v>
      </c>
      <c r="I165" s="12" t="s">
        <v>23</v>
      </c>
      <c r="J165" s="9" t="s">
        <v>954</v>
      </c>
      <c r="K165" s="9" t="s">
        <v>955</v>
      </c>
      <c r="L165" s="9">
        <v>1</v>
      </c>
      <c r="M165" s="9">
        <f t="shared" si="159"/>
        <v>5</v>
      </c>
      <c r="N165" s="9">
        <v>10</v>
      </c>
      <c r="O165" s="16" t="s">
        <v>26</v>
      </c>
      <c r="P165" s="17">
        <v>4.5699999999999998E-2</v>
      </c>
      <c r="Q165" s="17">
        <f t="shared" si="160"/>
        <v>0.45700000000000002</v>
      </c>
      <c r="R165" s="9"/>
    </row>
    <row r="166" spans="1:18">
      <c r="A166" s="2"/>
      <c r="B166" s="10">
        <f t="shared" si="0"/>
        <v>164</v>
      </c>
      <c r="C166" s="8" t="s">
        <v>609</v>
      </c>
      <c r="D166" s="12" t="s">
        <v>956</v>
      </c>
      <c r="E166" s="12" t="s">
        <v>957</v>
      </c>
      <c r="F166" s="12" t="s">
        <v>674</v>
      </c>
      <c r="G166" s="12"/>
      <c r="H166" s="12"/>
      <c r="I166" s="12" t="s">
        <v>23</v>
      </c>
      <c r="J166" s="12" t="s">
        <v>958</v>
      </c>
      <c r="K166" s="12" t="s">
        <v>959</v>
      </c>
      <c r="L166" s="12">
        <v>1</v>
      </c>
      <c r="M166" s="12">
        <f t="shared" ref="M166:M167" si="161">L166*5</f>
        <v>5</v>
      </c>
      <c r="N166" s="12">
        <v>100</v>
      </c>
      <c r="O166" s="20" t="s">
        <v>26</v>
      </c>
      <c r="P166" s="19">
        <v>6.9999999999999999E-4</v>
      </c>
      <c r="Q166" s="19">
        <f t="shared" ref="Q166:Q167" si="162">P166*N166</f>
        <v>7.0000000000000007E-2</v>
      </c>
      <c r="R166" s="12"/>
    </row>
    <row r="167" spans="1:18">
      <c r="A167" s="2"/>
      <c r="B167" s="7">
        <f>ROW(B167)-ROW($B$2)</f>
        <v>165</v>
      </c>
      <c r="C167" s="8" t="s">
        <v>960</v>
      </c>
      <c r="D167" s="9" t="s">
        <v>961</v>
      </c>
      <c r="E167" s="9" t="s">
        <v>962</v>
      </c>
      <c r="F167" s="9" t="s">
        <v>20</v>
      </c>
      <c r="G167" s="9" t="s">
        <v>963</v>
      </c>
      <c r="H167" s="9" t="s">
        <v>964</v>
      </c>
      <c r="I167" s="12" t="s">
        <v>23</v>
      </c>
      <c r="J167" s="12" t="s">
        <v>965</v>
      </c>
      <c r="K167" s="9" t="s">
        <v>23</v>
      </c>
      <c r="L167" s="9">
        <v>1</v>
      </c>
      <c r="M167" s="9">
        <f t="shared" si="161"/>
        <v>5</v>
      </c>
      <c r="N167" s="12" t="s">
        <v>87</v>
      </c>
      <c r="O167" s="18" t="s">
        <v>26</v>
      </c>
      <c r="P167" s="19" t="s">
        <v>966</v>
      </c>
      <c r="Q167" s="17">
        <f t="shared" si="162"/>
        <v>4.3624999999999998</v>
      </c>
      <c r="R167" s="9"/>
    </row>
    <row r="168" spans="1:18" ht="48">
      <c r="A168" s="2"/>
      <c r="B168" s="10">
        <f t="shared" si="0"/>
        <v>166</v>
      </c>
      <c r="C168" s="11" t="s">
        <v>967</v>
      </c>
      <c r="D168" s="12" t="s">
        <v>968</v>
      </c>
      <c r="E168" s="12" t="s">
        <v>969</v>
      </c>
      <c r="F168" s="9" t="s">
        <v>20</v>
      </c>
      <c r="G168" s="12" t="s">
        <v>970</v>
      </c>
      <c r="H168" s="12" t="s">
        <v>971</v>
      </c>
      <c r="I168" s="12" t="s">
        <v>23</v>
      </c>
      <c r="J168" s="9" t="s">
        <v>972</v>
      </c>
      <c r="K168" s="9" t="s">
        <v>23</v>
      </c>
      <c r="L168" s="12">
        <v>1</v>
      </c>
      <c r="M168" s="12">
        <f t="shared" ref="M168:M169" si="163">L168*5</f>
        <v>5</v>
      </c>
      <c r="N168" s="9" t="s">
        <v>87</v>
      </c>
      <c r="O168" s="18" t="s">
        <v>26</v>
      </c>
      <c r="P168" s="17" t="s">
        <v>973</v>
      </c>
      <c r="Q168" s="19">
        <f t="shared" ref="Q168:Q169" si="164">P168*N168</f>
        <v>0.47</v>
      </c>
      <c r="R168" s="12"/>
    </row>
    <row r="169" spans="1:18">
      <c r="A169" s="2"/>
      <c r="B169" s="7">
        <f>ROW(B169)-ROW($B$2)</f>
        <v>167</v>
      </c>
      <c r="C169" s="8" t="s">
        <v>974</v>
      </c>
      <c r="D169" s="9" t="s">
        <v>975</v>
      </c>
      <c r="E169" s="9" t="s">
        <v>976</v>
      </c>
      <c r="F169" s="9" t="s">
        <v>977</v>
      </c>
      <c r="G169" s="9" t="s">
        <v>978</v>
      </c>
      <c r="H169" s="9" t="s">
        <v>979</v>
      </c>
      <c r="I169" s="12" t="s">
        <v>23</v>
      </c>
      <c r="J169" s="12" t="s">
        <v>980</v>
      </c>
      <c r="K169" s="9" t="s">
        <v>23</v>
      </c>
      <c r="L169" s="9">
        <v>2</v>
      </c>
      <c r="M169" s="9">
        <f t="shared" si="163"/>
        <v>10</v>
      </c>
      <c r="N169" s="12" t="s">
        <v>131</v>
      </c>
      <c r="O169" s="18" t="s">
        <v>26</v>
      </c>
      <c r="P169" s="19" t="s">
        <v>981</v>
      </c>
      <c r="Q169" s="17">
        <f t="shared" si="164"/>
        <v>27.63</v>
      </c>
      <c r="R169" s="9"/>
    </row>
    <row r="170" spans="1:18">
      <c r="A170" s="2"/>
      <c r="B170" s="10">
        <f t="shared" si="0"/>
        <v>168</v>
      </c>
      <c r="C170" s="11" t="s">
        <v>982</v>
      </c>
      <c r="D170" s="12" t="s">
        <v>983</v>
      </c>
      <c r="E170" s="12" t="s">
        <v>984</v>
      </c>
      <c r="F170" s="12" t="s">
        <v>985</v>
      </c>
      <c r="G170" s="12" t="s">
        <v>986</v>
      </c>
      <c r="H170" s="12" t="s">
        <v>987</v>
      </c>
      <c r="I170" s="12" t="s">
        <v>23</v>
      </c>
      <c r="J170" s="9" t="s">
        <v>988</v>
      </c>
      <c r="K170" s="9" t="s">
        <v>23</v>
      </c>
      <c r="L170" s="12">
        <v>1</v>
      </c>
      <c r="M170" s="12">
        <f t="shared" ref="M170:M171" si="165">L170*5</f>
        <v>5</v>
      </c>
      <c r="N170" s="9" t="s">
        <v>87</v>
      </c>
      <c r="O170" s="18" t="s">
        <v>26</v>
      </c>
      <c r="P170" s="17" t="s">
        <v>989</v>
      </c>
      <c r="Q170" s="19">
        <f t="shared" ref="Q170:Q171" si="166">P170*N170</f>
        <v>0.88249999999999995</v>
      </c>
      <c r="R170" s="12"/>
    </row>
    <row r="171" spans="1:18">
      <c r="A171" s="2"/>
      <c r="B171" s="7">
        <f>ROW(B171)-ROW($B$2)</f>
        <v>169</v>
      </c>
      <c r="C171" s="8" t="s">
        <v>982</v>
      </c>
      <c r="D171" s="9" t="s">
        <v>990</v>
      </c>
      <c r="E171" s="9" t="s">
        <v>991</v>
      </c>
      <c r="F171" s="9" t="s">
        <v>992</v>
      </c>
      <c r="G171" s="9" t="s">
        <v>993</v>
      </c>
      <c r="H171" s="9" t="s">
        <v>987</v>
      </c>
      <c r="I171" s="12" t="s">
        <v>23</v>
      </c>
      <c r="J171" s="12" t="s">
        <v>994</v>
      </c>
      <c r="K171" s="9" t="s">
        <v>23</v>
      </c>
      <c r="L171" s="9">
        <v>1</v>
      </c>
      <c r="M171" s="9">
        <f t="shared" si="165"/>
        <v>5</v>
      </c>
      <c r="N171" s="12" t="s">
        <v>131</v>
      </c>
      <c r="O171" s="18" t="s">
        <v>26</v>
      </c>
      <c r="P171" s="19" t="s">
        <v>995</v>
      </c>
      <c r="Q171" s="17">
        <f t="shared" si="166"/>
        <v>9.9789999999999992</v>
      </c>
      <c r="R171" s="9"/>
    </row>
    <row r="172" spans="1:18">
      <c r="A172" s="2"/>
      <c r="B172" s="10">
        <f t="shared" si="0"/>
        <v>170</v>
      </c>
      <c r="C172" s="11" t="s">
        <v>982</v>
      </c>
      <c r="D172" s="12" t="s">
        <v>996</v>
      </c>
      <c r="E172" s="12" t="s">
        <v>997</v>
      </c>
      <c r="F172" s="12" t="s">
        <v>998</v>
      </c>
      <c r="G172" s="12" t="s">
        <v>999</v>
      </c>
      <c r="H172" s="12" t="s">
        <v>1000</v>
      </c>
      <c r="I172" s="12" t="s">
        <v>23</v>
      </c>
      <c r="J172" s="9" t="s">
        <v>1001</v>
      </c>
      <c r="K172" s="9" t="s">
        <v>23</v>
      </c>
      <c r="L172" s="12">
        <v>1</v>
      </c>
      <c r="M172" s="12">
        <f t="shared" ref="M172:M173" si="167">L172*5</f>
        <v>5</v>
      </c>
      <c r="N172" s="9" t="s">
        <v>87</v>
      </c>
      <c r="O172" s="18" t="s">
        <v>26</v>
      </c>
      <c r="P172" s="17" t="s">
        <v>1002</v>
      </c>
      <c r="Q172" s="19">
        <f t="shared" ref="Q172:Q173" si="168">P172*N172</f>
        <v>48.618499999999997</v>
      </c>
      <c r="R172" s="12"/>
    </row>
    <row r="173" spans="1:18">
      <c r="A173" s="2"/>
      <c r="B173" s="7">
        <f>ROW(B173)-ROW($B$2)</f>
        <v>171</v>
      </c>
      <c r="C173" s="8" t="s">
        <v>982</v>
      </c>
      <c r="D173" s="9" t="s">
        <v>1003</v>
      </c>
      <c r="E173" s="9" t="s">
        <v>1004</v>
      </c>
      <c r="F173" s="9" t="s">
        <v>985</v>
      </c>
      <c r="G173" s="9" t="s">
        <v>1005</v>
      </c>
      <c r="H173" s="9" t="s">
        <v>562</v>
      </c>
      <c r="I173" s="12" t="s">
        <v>23</v>
      </c>
      <c r="J173" s="12" t="s">
        <v>1006</v>
      </c>
      <c r="K173" s="9" t="s">
        <v>23</v>
      </c>
      <c r="L173" s="9">
        <v>1</v>
      </c>
      <c r="M173" s="9">
        <f t="shared" si="167"/>
        <v>5</v>
      </c>
      <c r="N173" s="12" t="s">
        <v>87</v>
      </c>
      <c r="O173" s="18" t="s">
        <v>26</v>
      </c>
      <c r="P173" s="19" t="s">
        <v>1007</v>
      </c>
      <c r="Q173" s="17">
        <f t="shared" si="168"/>
        <v>6.7214999999999998</v>
      </c>
      <c r="R173" s="9"/>
    </row>
    <row r="174" spans="1:18" ht="24">
      <c r="A174" s="2"/>
      <c r="B174" s="10">
        <f t="shared" si="0"/>
        <v>172</v>
      </c>
      <c r="C174" s="11" t="s">
        <v>982</v>
      </c>
      <c r="D174" s="12" t="s">
        <v>1008</v>
      </c>
      <c r="E174" s="12" t="s">
        <v>1009</v>
      </c>
      <c r="F174" s="12" t="s">
        <v>1010</v>
      </c>
      <c r="G174" s="12" t="s">
        <v>1011</v>
      </c>
      <c r="H174" s="12" t="s">
        <v>1012</v>
      </c>
      <c r="I174" s="12" t="s">
        <v>23</v>
      </c>
      <c r="J174" s="9" t="s">
        <v>1013</v>
      </c>
      <c r="K174" s="9" t="s">
        <v>23</v>
      </c>
      <c r="L174" s="12">
        <v>1</v>
      </c>
      <c r="M174" s="12">
        <f t="shared" ref="M174:M175" si="169">L174*5</f>
        <v>5</v>
      </c>
      <c r="N174" s="9" t="s">
        <v>87</v>
      </c>
      <c r="O174" s="18" t="s">
        <v>26</v>
      </c>
      <c r="P174" s="17" t="s">
        <v>1014</v>
      </c>
      <c r="Q174" s="19">
        <f t="shared" ref="Q174:Q175" si="170">P174*N174</f>
        <v>27.503499999999999</v>
      </c>
      <c r="R174" s="12"/>
    </row>
    <row r="175" spans="1:18">
      <c r="A175" s="2"/>
      <c r="B175" s="7">
        <f>ROW(B175)-ROW($B$2)</f>
        <v>173</v>
      </c>
      <c r="C175" s="8" t="s">
        <v>982</v>
      </c>
      <c r="D175" s="9" t="s">
        <v>1015</v>
      </c>
      <c r="E175" s="9" t="s">
        <v>1016</v>
      </c>
      <c r="F175" s="9" t="s">
        <v>1017</v>
      </c>
      <c r="G175" s="9" t="s">
        <v>1018</v>
      </c>
      <c r="H175" s="9" t="s">
        <v>987</v>
      </c>
      <c r="I175" s="12" t="s">
        <v>23</v>
      </c>
      <c r="J175" s="12" t="s">
        <v>1019</v>
      </c>
      <c r="K175" s="9" t="s">
        <v>23</v>
      </c>
      <c r="L175" s="9">
        <v>3</v>
      </c>
      <c r="M175" s="9">
        <f t="shared" si="169"/>
        <v>15</v>
      </c>
      <c r="N175" s="12" t="s">
        <v>422</v>
      </c>
      <c r="O175" s="18" t="s">
        <v>26</v>
      </c>
      <c r="P175" s="19" t="s">
        <v>1020</v>
      </c>
      <c r="Q175" s="17">
        <f t="shared" si="170"/>
        <v>1.3320000000000001</v>
      </c>
      <c r="R175" s="9"/>
    </row>
    <row r="176" spans="1:18" ht="36">
      <c r="A176" s="2"/>
      <c r="B176" s="10">
        <f t="shared" si="0"/>
        <v>174</v>
      </c>
      <c r="C176" s="8" t="s">
        <v>982</v>
      </c>
      <c r="D176" s="12" t="s">
        <v>1021</v>
      </c>
      <c r="E176" s="12" t="s">
        <v>1022</v>
      </c>
      <c r="F176" s="12" t="s">
        <v>1023</v>
      </c>
      <c r="G176" s="12" t="s">
        <v>1024</v>
      </c>
      <c r="H176" s="12" t="s">
        <v>1025</v>
      </c>
      <c r="I176" s="12" t="s">
        <v>23</v>
      </c>
      <c r="J176" s="9" t="s">
        <v>1026</v>
      </c>
      <c r="K176" s="9" t="s">
        <v>23</v>
      </c>
      <c r="L176" s="12">
        <v>1</v>
      </c>
      <c r="M176" s="12">
        <f t="shared" ref="M176:M177" si="171">L176*5</f>
        <v>5</v>
      </c>
      <c r="N176" s="9" t="s">
        <v>87</v>
      </c>
      <c r="O176" s="18" t="s">
        <v>26</v>
      </c>
      <c r="P176" s="17" t="s">
        <v>1027</v>
      </c>
      <c r="Q176" s="19">
        <f t="shared" ref="Q176:Q177" si="172">P176*N176</f>
        <v>1.3625</v>
      </c>
      <c r="R176" s="12"/>
    </row>
    <row r="177" spans="1:18">
      <c r="A177" s="2"/>
      <c r="B177" s="7">
        <f>ROW(B177)-ROW($B$2)</f>
        <v>175</v>
      </c>
      <c r="C177" s="8" t="s">
        <v>982</v>
      </c>
      <c r="D177" s="9" t="s">
        <v>1028</v>
      </c>
      <c r="E177" s="9" t="s">
        <v>1029</v>
      </c>
      <c r="F177" s="9" t="s">
        <v>1030</v>
      </c>
      <c r="G177" s="9" t="s">
        <v>1031</v>
      </c>
      <c r="H177" s="9" t="s">
        <v>987</v>
      </c>
      <c r="I177" s="12" t="s">
        <v>23</v>
      </c>
      <c r="J177" s="9" t="s">
        <v>1032</v>
      </c>
      <c r="K177" s="9" t="s">
        <v>23</v>
      </c>
      <c r="L177" s="9">
        <v>1</v>
      </c>
      <c r="M177" s="9">
        <f t="shared" si="171"/>
        <v>5</v>
      </c>
      <c r="N177" s="12" t="s">
        <v>87</v>
      </c>
      <c r="O177" s="18" t="s">
        <v>26</v>
      </c>
      <c r="P177" s="19" t="s">
        <v>1033</v>
      </c>
      <c r="Q177" s="17">
        <f t="shared" si="172"/>
        <v>11.736000000000001</v>
      </c>
      <c r="R177" s="9"/>
    </row>
    <row r="178" spans="1:18">
      <c r="A178" s="2"/>
      <c r="B178" s="10">
        <f t="shared" si="0"/>
        <v>176</v>
      </c>
      <c r="C178" s="11" t="s">
        <v>982</v>
      </c>
      <c r="D178" s="12" t="s">
        <v>1034</v>
      </c>
      <c r="E178" s="12" t="s">
        <v>1035</v>
      </c>
      <c r="F178" s="12" t="s">
        <v>1036</v>
      </c>
      <c r="G178" s="12" t="s">
        <v>1037</v>
      </c>
      <c r="H178" s="12" t="s">
        <v>987</v>
      </c>
      <c r="I178" s="12" t="s">
        <v>23</v>
      </c>
      <c r="J178" s="12" t="s">
        <v>1038</v>
      </c>
      <c r="K178" s="9" t="s">
        <v>23</v>
      </c>
      <c r="L178" s="12">
        <v>1</v>
      </c>
      <c r="M178" s="12">
        <f t="shared" ref="M178:M179" si="173">L178*5</f>
        <v>5</v>
      </c>
      <c r="N178" s="9" t="s">
        <v>87</v>
      </c>
      <c r="O178" s="18" t="s">
        <v>26</v>
      </c>
      <c r="P178" s="17" t="s">
        <v>1039</v>
      </c>
      <c r="Q178" s="19">
        <f t="shared" ref="Q178:Q179" si="174">P178*N178</f>
        <v>3.093</v>
      </c>
      <c r="R178" s="12"/>
    </row>
    <row r="179" spans="1:18">
      <c r="A179" s="2"/>
      <c r="B179" s="7">
        <f>ROW(B179)-ROW($B$2)</f>
        <v>177</v>
      </c>
      <c r="C179" s="8" t="s">
        <v>982</v>
      </c>
      <c r="D179" s="9" t="s">
        <v>1040</v>
      </c>
      <c r="E179" s="9" t="s">
        <v>1041</v>
      </c>
      <c r="F179" s="9" t="s">
        <v>1042</v>
      </c>
      <c r="G179" s="9" t="s">
        <v>1043</v>
      </c>
      <c r="H179" s="9" t="s">
        <v>1044</v>
      </c>
      <c r="I179" s="12" t="s">
        <v>23</v>
      </c>
      <c r="J179" s="9" t="s">
        <v>1045</v>
      </c>
      <c r="K179" s="9" t="s">
        <v>23</v>
      </c>
      <c r="L179" s="9">
        <v>1</v>
      </c>
      <c r="M179" s="9">
        <f t="shared" si="173"/>
        <v>5</v>
      </c>
      <c r="N179" s="12" t="s">
        <v>87</v>
      </c>
      <c r="O179" s="18" t="s">
        <v>26</v>
      </c>
      <c r="P179" s="19" t="s">
        <v>1046</v>
      </c>
      <c r="Q179" s="17">
        <f t="shared" si="174"/>
        <v>5.28</v>
      </c>
      <c r="R179" s="9"/>
    </row>
    <row r="180" spans="1:18">
      <c r="A180" s="2"/>
      <c r="B180" s="10">
        <f t="shared" si="0"/>
        <v>178</v>
      </c>
      <c r="C180" s="11" t="s">
        <v>982</v>
      </c>
      <c r="D180" s="12" t="s">
        <v>1047</v>
      </c>
      <c r="E180" s="12" t="s">
        <v>1048</v>
      </c>
      <c r="F180" s="12" t="s">
        <v>1017</v>
      </c>
      <c r="G180" s="12" t="s">
        <v>1049</v>
      </c>
      <c r="H180" s="12" t="s">
        <v>987</v>
      </c>
      <c r="I180" s="12" t="s">
        <v>23</v>
      </c>
      <c r="J180" s="12" t="s">
        <v>1050</v>
      </c>
      <c r="K180" s="9" t="s">
        <v>23</v>
      </c>
      <c r="L180" s="12">
        <v>2</v>
      </c>
      <c r="M180" s="12">
        <f t="shared" ref="M180:M181" si="175">L180*5</f>
        <v>10</v>
      </c>
      <c r="N180" s="9" t="s">
        <v>131</v>
      </c>
      <c r="O180" s="18" t="s">
        <v>26</v>
      </c>
      <c r="P180" s="17" t="s">
        <v>1051</v>
      </c>
      <c r="Q180" s="19">
        <f t="shared" ref="Q180:Q181" si="176">P180*N180</f>
        <v>2.0739999999999998</v>
      </c>
      <c r="R180" s="12"/>
    </row>
    <row r="181" spans="1:18" ht="24">
      <c r="A181" s="2"/>
      <c r="B181" s="7">
        <f>ROW(B181)-ROW($B$2)</f>
        <v>179</v>
      </c>
      <c r="C181" s="8" t="s">
        <v>1052</v>
      </c>
      <c r="D181" s="9" t="s">
        <v>1053</v>
      </c>
      <c r="E181" s="9" t="s">
        <v>1054</v>
      </c>
      <c r="F181" s="9" t="s">
        <v>1055</v>
      </c>
      <c r="G181" s="9" t="s">
        <v>1055</v>
      </c>
      <c r="H181" s="9" t="s">
        <v>1056</v>
      </c>
      <c r="I181" s="12" t="s">
        <v>23</v>
      </c>
      <c r="J181" s="9" t="s">
        <v>1057</v>
      </c>
      <c r="K181" s="9" t="s">
        <v>23</v>
      </c>
      <c r="L181" s="9">
        <v>1</v>
      </c>
      <c r="M181" s="9">
        <f t="shared" si="175"/>
        <v>5</v>
      </c>
      <c r="N181" s="12" t="s">
        <v>87</v>
      </c>
      <c r="O181" s="18" t="s">
        <v>26</v>
      </c>
      <c r="P181" s="19" t="s">
        <v>1058</v>
      </c>
      <c r="Q181" s="17">
        <f t="shared" si="176"/>
        <v>4.6665000000000001</v>
      </c>
      <c r="R181" s="9"/>
    </row>
    <row r="182" spans="1:18" ht="48">
      <c r="A182" s="2"/>
      <c r="B182" s="10">
        <f t="shared" si="0"/>
        <v>180</v>
      </c>
      <c r="C182" s="8" t="s">
        <v>982</v>
      </c>
      <c r="D182" s="12" t="s">
        <v>1059</v>
      </c>
      <c r="E182" s="12" t="s">
        <v>1060</v>
      </c>
      <c r="F182" s="12" t="s">
        <v>1061</v>
      </c>
      <c r="G182" s="12" t="s">
        <v>1062</v>
      </c>
      <c r="H182" s="12" t="s">
        <v>1063</v>
      </c>
      <c r="I182" s="12" t="s">
        <v>23</v>
      </c>
      <c r="J182" s="9" t="s">
        <v>1064</v>
      </c>
      <c r="K182" s="9" t="s">
        <v>23</v>
      </c>
      <c r="L182" s="12">
        <v>1</v>
      </c>
      <c r="M182" s="12">
        <f t="shared" ref="M182:M183" si="177">L182*5</f>
        <v>5</v>
      </c>
      <c r="N182" s="9" t="s">
        <v>87</v>
      </c>
      <c r="O182" s="18" t="s">
        <v>26</v>
      </c>
      <c r="P182" s="17" t="s">
        <v>1065</v>
      </c>
      <c r="Q182" s="19">
        <f t="shared" ref="Q182:Q183" si="178">P182*N182</f>
        <v>0.9345</v>
      </c>
      <c r="R182" s="12"/>
    </row>
    <row r="183" spans="1:18">
      <c r="A183" s="2"/>
      <c r="B183" s="7">
        <f>ROW(B183)-ROW($B$2)</f>
        <v>181</v>
      </c>
      <c r="C183" s="8" t="s">
        <v>982</v>
      </c>
      <c r="D183" s="9" t="s">
        <v>1066</v>
      </c>
      <c r="E183" s="9" t="s">
        <v>1067</v>
      </c>
      <c r="F183" s="9" t="s">
        <v>1068</v>
      </c>
      <c r="G183" s="9" t="s">
        <v>1069</v>
      </c>
      <c r="H183" s="9" t="s">
        <v>987</v>
      </c>
      <c r="I183" s="12" t="s">
        <v>23</v>
      </c>
      <c r="J183" s="9" t="s">
        <v>23</v>
      </c>
      <c r="K183" s="9" t="s">
        <v>23</v>
      </c>
      <c r="L183" s="9">
        <v>2</v>
      </c>
      <c r="M183" s="9">
        <f t="shared" si="177"/>
        <v>10</v>
      </c>
      <c r="N183" s="9">
        <v>10</v>
      </c>
      <c r="O183" s="16" t="s">
        <v>67</v>
      </c>
      <c r="P183" s="17">
        <v>1.18</v>
      </c>
      <c r="Q183" s="17">
        <f t="shared" si="178"/>
        <v>11.8</v>
      </c>
      <c r="R183" s="9"/>
    </row>
    <row r="184" spans="1:18">
      <c r="A184" s="2"/>
      <c r="B184" s="10">
        <f t="shared" si="0"/>
        <v>182</v>
      </c>
      <c r="C184" s="11" t="s">
        <v>982</v>
      </c>
      <c r="D184" s="12" t="s">
        <v>1070</v>
      </c>
      <c r="E184" s="12" t="s">
        <v>1071</v>
      </c>
      <c r="F184" s="12" t="s">
        <v>1072</v>
      </c>
      <c r="G184" s="12" t="s">
        <v>1073</v>
      </c>
      <c r="H184" s="12" t="s">
        <v>1074</v>
      </c>
      <c r="I184" s="12" t="s">
        <v>23</v>
      </c>
      <c r="J184" s="12" t="s">
        <v>1075</v>
      </c>
      <c r="K184" s="12" t="s">
        <v>23</v>
      </c>
      <c r="L184" s="12">
        <v>1</v>
      </c>
      <c r="M184" s="12">
        <f t="shared" ref="M184:M185" si="179">L184*5</f>
        <v>5</v>
      </c>
      <c r="N184" s="12">
        <v>5</v>
      </c>
      <c r="O184" s="20" t="s">
        <v>26</v>
      </c>
      <c r="P184" s="19">
        <v>0.71709999999999996</v>
      </c>
      <c r="Q184" s="19">
        <f t="shared" ref="Q184:Q185" si="180">P184*N184</f>
        <v>3.5855000000000001</v>
      </c>
      <c r="R184" s="12"/>
    </row>
    <row r="185" spans="1:18">
      <c r="A185" s="2"/>
      <c r="B185" s="7">
        <f>ROW(B185)-ROW($B$2)</f>
        <v>183</v>
      </c>
      <c r="C185" s="8" t="s">
        <v>982</v>
      </c>
      <c r="D185" s="9" t="s">
        <v>1076</v>
      </c>
      <c r="E185" s="9" t="s">
        <v>1077</v>
      </c>
      <c r="F185" s="9" t="s">
        <v>1078</v>
      </c>
      <c r="G185" s="9" t="s">
        <v>1079</v>
      </c>
      <c r="H185" s="9" t="s">
        <v>1074</v>
      </c>
      <c r="I185" s="12" t="s">
        <v>23</v>
      </c>
      <c r="J185" s="9" t="s">
        <v>1080</v>
      </c>
      <c r="K185" s="9" t="s">
        <v>23</v>
      </c>
      <c r="L185" s="9">
        <v>1</v>
      </c>
      <c r="M185" s="9">
        <f t="shared" si="179"/>
        <v>5</v>
      </c>
      <c r="N185" s="12" t="s">
        <v>87</v>
      </c>
      <c r="O185" s="18" t="s">
        <v>26</v>
      </c>
      <c r="P185" s="19" t="s">
        <v>1081</v>
      </c>
      <c r="Q185" s="17">
        <f t="shared" si="180"/>
        <v>26.158999999999999</v>
      </c>
      <c r="R185" s="9"/>
    </row>
    <row r="186" spans="1:18" ht="24">
      <c r="A186" s="2"/>
      <c r="B186" s="10">
        <f t="shared" si="0"/>
        <v>184</v>
      </c>
      <c r="C186" s="11" t="s">
        <v>1082</v>
      </c>
      <c r="D186" s="12" t="s">
        <v>1083</v>
      </c>
      <c r="E186" s="12" t="s">
        <v>1084</v>
      </c>
      <c r="F186" s="12" t="s">
        <v>1085</v>
      </c>
      <c r="G186" s="12" t="s">
        <v>1086</v>
      </c>
      <c r="H186" s="12"/>
      <c r="I186" s="12" t="s">
        <v>23</v>
      </c>
      <c r="J186" s="12" t="s">
        <v>23</v>
      </c>
      <c r="K186" s="12" t="s">
        <v>23</v>
      </c>
      <c r="L186" s="12">
        <v>1</v>
      </c>
      <c r="M186" s="12">
        <f t="shared" ref="M186:M187" si="181">L186*5</f>
        <v>5</v>
      </c>
      <c r="N186" s="9">
        <v>5</v>
      </c>
      <c r="O186" s="18" t="s">
        <v>1087</v>
      </c>
      <c r="P186" s="17">
        <v>5.0199999999999996</v>
      </c>
      <c r="Q186" s="19">
        <f t="shared" ref="Q186:Q187" si="182">P186*N186</f>
        <v>25.1</v>
      </c>
      <c r="R186" s="12"/>
    </row>
    <row r="187" spans="1:18" ht="24">
      <c r="A187" s="2"/>
      <c r="B187" s="7">
        <f>ROW(B187)-ROW($B$2)</f>
        <v>185</v>
      </c>
      <c r="C187" s="8" t="s">
        <v>982</v>
      </c>
      <c r="D187" s="9" t="s">
        <v>1088</v>
      </c>
      <c r="E187" s="9" t="s">
        <v>1089</v>
      </c>
      <c r="F187" s="9" t="s">
        <v>1017</v>
      </c>
      <c r="G187" s="9" t="s">
        <v>1090</v>
      </c>
      <c r="H187" s="9" t="s">
        <v>1091</v>
      </c>
      <c r="I187" s="12" t="s">
        <v>23</v>
      </c>
      <c r="J187" s="9" t="s">
        <v>1092</v>
      </c>
      <c r="K187" s="9" t="s">
        <v>23</v>
      </c>
      <c r="L187" s="9">
        <v>1</v>
      </c>
      <c r="M187" s="9">
        <f t="shared" si="181"/>
        <v>5</v>
      </c>
      <c r="N187" s="12" t="s">
        <v>87</v>
      </c>
      <c r="O187" s="18" t="str">
        <f t="shared" ref="O187:O196" si="183">HYPERLINK(N187,"LCSC")</f>
        <v>LCSC</v>
      </c>
      <c r="P187" s="19" t="s">
        <v>1093</v>
      </c>
      <c r="Q187" s="17">
        <f t="shared" si="182"/>
        <v>0.4375</v>
      </c>
      <c r="R187" s="9"/>
    </row>
    <row r="188" spans="1:18">
      <c r="A188" s="2"/>
      <c r="B188" s="10">
        <f t="shared" si="0"/>
        <v>186</v>
      </c>
      <c r="C188" s="11" t="s">
        <v>982</v>
      </c>
      <c r="D188" s="12" t="s">
        <v>1094</v>
      </c>
      <c r="E188" s="12" t="s">
        <v>1095</v>
      </c>
      <c r="F188" s="12" t="s">
        <v>1096</v>
      </c>
      <c r="G188" s="12" t="s">
        <v>1097</v>
      </c>
      <c r="H188" s="12" t="s">
        <v>305</v>
      </c>
      <c r="I188" s="12" t="s">
        <v>23</v>
      </c>
      <c r="J188" s="12" t="s">
        <v>1098</v>
      </c>
      <c r="K188" s="12" t="s">
        <v>23</v>
      </c>
      <c r="L188" s="12">
        <v>1</v>
      </c>
      <c r="M188" s="12">
        <f t="shared" ref="M188:M189" si="184">L188*5</f>
        <v>5</v>
      </c>
      <c r="N188" s="9" t="s">
        <v>87</v>
      </c>
      <c r="O188" s="18" t="str">
        <f t="shared" si="183"/>
        <v>LCSC</v>
      </c>
      <c r="P188" s="17" t="s">
        <v>88</v>
      </c>
      <c r="Q188" s="19">
        <f t="shared" ref="Q188:Q189" si="185">P188*N188</f>
        <v>1.8979999999999999</v>
      </c>
      <c r="R188" s="12"/>
    </row>
    <row r="189" spans="1:18">
      <c r="A189" s="2"/>
      <c r="B189" s="7">
        <f>ROW(B189)-ROW($B$2)</f>
        <v>187</v>
      </c>
      <c r="C189" s="8" t="s">
        <v>1099</v>
      </c>
      <c r="D189" s="9" t="s">
        <v>1100</v>
      </c>
      <c r="E189" s="9" t="s">
        <v>1101</v>
      </c>
      <c r="F189" s="9" t="s">
        <v>1017</v>
      </c>
      <c r="G189" s="9" t="s">
        <v>1102</v>
      </c>
      <c r="H189" s="9" t="s">
        <v>1103</v>
      </c>
      <c r="I189" s="12" t="s">
        <v>23</v>
      </c>
      <c r="J189" s="9" t="s">
        <v>1104</v>
      </c>
      <c r="K189" s="12" t="s">
        <v>23</v>
      </c>
      <c r="L189" s="9">
        <v>1</v>
      </c>
      <c r="M189" s="9">
        <f t="shared" si="184"/>
        <v>5</v>
      </c>
      <c r="N189" s="12" t="s">
        <v>87</v>
      </c>
      <c r="O189" s="18" t="str">
        <f t="shared" si="183"/>
        <v>LCSC</v>
      </c>
      <c r="P189" s="19" t="s">
        <v>1105</v>
      </c>
      <c r="Q189" s="17">
        <f t="shared" si="185"/>
        <v>4.9409999999999998</v>
      </c>
      <c r="R189" s="9"/>
    </row>
    <row r="190" spans="1:18" ht="36">
      <c r="A190" s="2"/>
      <c r="B190" s="10">
        <f t="shared" si="0"/>
        <v>188</v>
      </c>
      <c r="C190" s="11" t="s">
        <v>982</v>
      </c>
      <c r="D190" s="12" t="s">
        <v>1106</v>
      </c>
      <c r="E190" s="12" t="s">
        <v>1107</v>
      </c>
      <c r="F190" s="12" t="s">
        <v>1108</v>
      </c>
      <c r="G190" s="12" t="s">
        <v>1109</v>
      </c>
      <c r="H190" s="12" t="s">
        <v>1110</v>
      </c>
      <c r="I190" s="12" t="s">
        <v>23</v>
      </c>
      <c r="J190" s="12" t="s">
        <v>1111</v>
      </c>
      <c r="K190" s="12" t="s">
        <v>23</v>
      </c>
      <c r="L190" s="12">
        <v>1</v>
      </c>
      <c r="M190" s="12">
        <f t="shared" ref="M190:M191" si="186">L190*5</f>
        <v>5</v>
      </c>
      <c r="N190" s="9" t="s">
        <v>87</v>
      </c>
      <c r="O190" s="18" t="str">
        <f t="shared" si="183"/>
        <v>LCSC</v>
      </c>
      <c r="P190" s="17" t="s">
        <v>1112</v>
      </c>
      <c r="Q190" s="19">
        <f t="shared" ref="Q190:Q191" si="187">P190*N190</f>
        <v>17.355499999999999</v>
      </c>
      <c r="R190" s="12"/>
    </row>
    <row r="191" spans="1:18">
      <c r="A191" s="2"/>
      <c r="B191" s="7">
        <f>ROW(B191)-ROW($B$2)</f>
        <v>189</v>
      </c>
      <c r="C191" s="8" t="s">
        <v>982</v>
      </c>
      <c r="D191" s="9" t="s">
        <v>1113</v>
      </c>
      <c r="E191" s="9" t="s">
        <v>1114</v>
      </c>
      <c r="F191" s="9" t="s">
        <v>977</v>
      </c>
      <c r="G191" s="9" t="s">
        <v>1115</v>
      </c>
      <c r="H191" s="9" t="s">
        <v>1116</v>
      </c>
      <c r="I191" s="12" t="s">
        <v>23</v>
      </c>
      <c r="J191" s="9" t="s">
        <v>1117</v>
      </c>
      <c r="K191" s="12" t="s">
        <v>23</v>
      </c>
      <c r="L191" s="9">
        <v>2</v>
      </c>
      <c r="M191" s="9">
        <f t="shared" si="186"/>
        <v>10</v>
      </c>
      <c r="N191" s="12" t="s">
        <v>131</v>
      </c>
      <c r="O191" s="18" t="str">
        <f t="shared" si="183"/>
        <v>LCSC</v>
      </c>
      <c r="P191" s="19" t="s">
        <v>1118</v>
      </c>
      <c r="Q191" s="17">
        <f t="shared" si="187"/>
        <v>2.423</v>
      </c>
      <c r="R191" s="9"/>
    </row>
    <row r="192" spans="1:18" ht="24">
      <c r="A192" s="2"/>
      <c r="B192" s="10">
        <f t="shared" si="0"/>
        <v>190</v>
      </c>
      <c r="C192" s="11" t="s">
        <v>982</v>
      </c>
      <c r="D192" s="12" t="s">
        <v>1119</v>
      </c>
      <c r="E192" s="12" t="s">
        <v>1120</v>
      </c>
      <c r="F192" s="12" t="s">
        <v>1121</v>
      </c>
      <c r="G192" s="12" t="s">
        <v>1122</v>
      </c>
      <c r="H192" s="12" t="s">
        <v>1123</v>
      </c>
      <c r="I192" s="12" t="s">
        <v>23</v>
      </c>
      <c r="J192" s="12" t="s">
        <v>1124</v>
      </c>
      <c r="K192" s="12" t="s">
        <v>23</v>
      </c>
      <c r="L192" s="12">
        <v>1</v>
      </c>
      <c r="M192" s="12">
        <f t="shared" ref="M192:M193" si="188">L192*5</f>
        <v>5</v>
      </c>
      <c r="N192" s="9" t="s">
        <v>87</v>
      </c>
      <c r="O192" s="18" t="str">
        <f t="shared" si="183"/>
        <v>LCSC</v>
      </c>
      <c r="P192" s="17" t="s">
        <v>1125</v>
      </c>
      <c r="Q192" s="19">
        <f t="shared" ref="Q192:Q193" si="189">P192*N192</f>
        <v>9.3889999999999993</v>
      </c>
      <c r="R192" s="12"/>
    </row>
    <row r="193" spans="1:18" ht="36">
      <c r="A193" s="2"/>
      <c r="B193" s="7">
        <f>ROW(B193)-ROW($B$2)</f>
        <v>191</v>
      </c>
      <c r="C193" s="8" t="s">
        <v>982</v>
      </c>
      <c r="D193" s="9" t="s">
        <v>1126</v>
      </c>
      <c r="E193" s="9" t="s">
        <v>1127</v>
      </c>
      <c r="F193" s="9" t="s">
        <v>1036</v>
      </c>
      <c r="G193" s="9" t="s">
        <v>1128</v>
      </c>
      <c r="H193" s="9" t="s">
        <v>1129</v>
      </c>
      <c r="I193" s="12" t="s">
        <v>23</v>
      </c>
      <c r="J193" s="9" t="s">
        <v>1130</v>
      </c>
      <c r="K193" s="12" t="s">
        <v>23</v>
      </c>
      <c r="L193" s="9">
        <v>1</v>
      </c>
      <c r="M193" s="9">
        <f t="shared" si="188"/>
        <v>5</v>
      </c>
      <c r="N193" s="12" t="s">
        <v>131</v>
      </c>
      <c r="O193" s="18" t="str">
        <f t="shared" si="183"/>
        <v>LCSC</v>
      </c>
      <c r="P193" s="19" t="s">
        <v>1131</v>
      </c>
      <c r="Q193" s="17">
        <f t="shared" si="189"/>
        <v>0.60099999999999998</v>
      </c>
      <c r="R193" s="9"/>
    </row>
    <row r="194" spans="1:18">
      <c r="A194" s="2"/>
      <c r="B194" s="10">
        <f t="shared" si="0"/>
        <v>192</v>
      </c>
      <c r="C194" s="11" t="s">
        <v>1132</v>
      </c>
      <c r="D194" s="12" t="s">
        <v>1133</v>
      </c>
      <c r="E194" s="12" t="s">
        <v>1134</v>
      </c>
      <c r="F194" s="9" t="s">
        <v>20</v>
      </c>
      <c r="G194" s="12" t="s">
        <v>1135</v>
      </c>
      <c r="H194" s="12" t="s">
        <v>1136</v>
      </c>
      <c r="I194" s="12" t="s">
        <v>23</v>
      </c>
      <c r="J194" s="12" t="s">
        <v>1137</v>
      </c>
      <c r="K194" s="12" t="s">
        <v>1138</v>
      </c>
      <c r="L194" s="12">
        <v>1</v>
      </c>
      <c r="M194" s="12">
        <f t="shared" ref="M194:M195" si="190">L194*5</f>
        <v>5</v>
      </c>
      <c r="N194" s="9" t="s">
        <v>87</v>
      </c>
      <c r="O194" s="18" t="str">
        <f t="shared" si="183"/>
        <v>LCSC</v>
      </c>
      <c r="P194" s="17" t="s">
        <v>1139</v>
      </c>
      <c r="Q194" s="19">
        <f t="shared" ref="Q194:Q195" si="191">P194*N194</f>
        <v>1.6240000000000001</v>
      </c>
      <c r="R194" s="12"/>
    </row>
    <row r="195" spans="1:18" ht="36">
      <c r="A195" s="2"/>
      <c r="B195" s="7">
        <f>ROW(B195)-ROW($B$2)</f>
        <v>193</v>
      </c>
      <c r="C195" s="8" t="s">
        <v>1132</v>
      </c>
      <c r="D195" s="9" t="s">
        <v>1140</v>
      </c>
      <c r="E195" s="9" t="s">
        <v>1141</v>
      </c>
      <c r="F195" s="9" t="s">
        <v>1142</v>
      </c>
      <c r="G195" s="9" t="s">
        <v>1143</v>
      </c>
      <c r="H195" s="9" t="s">
        <v>1144</v>
      </c>
      <c r="I195" s="12" t="s">
        <v>23</v>
      </c>
      <c r="J195" s="9" t="s">
        <v>1145</v>
      </c>
      <c r="K195" s="9" t="s">
        <v>1146</v>
      </c>
      <c r="L195" s="9">
        <v>1</v>
      </c>
      <c r="M195" s="9">
        <f t="shared" si="190"/>
        <v>5</v>
      </c>
      <c r="N195" s="12" t="s">
        <v>87</v>
      </c>
      <c r="O195" s="18" t="str">
        <f t="shared" si="183"/>
        <v>LCSC</v>
      </c>
      <c r="P195" s="19" t="s">
        <v>1147</v>
      </c>
      <c r="Q195" s="17">
        <f t="shared" si="191"/>
        <v>0.42099999999999999</v>
      </c>
      <c r="R195" s="9"/>
    </row>
    <row r="196" spans="1:18">
      <c r="A196" s="2"/>
      <c r="B196" s="10">
        <f t="shared" si="0"/>
        <v>194</v>
      </c>
      <c r="C196" s="8" t="s">
        <v>1132</v>
      </c>
      <c r="D196" s="12" t="s">
        <v>1148</v>
      </c>
      <c r="E196" s="12" t="s">
        <v>1149</v>
      </c>
      <c r="F196" s="9" t="s">
        <v>20</v>
      </c>
      <c r="G196" s="12" t="s">
        <v>1150</v>
      </c>
      <c r="H196" s="12" t="s">
        <v>1151</v>
      </c>
      <c r="I196" s="12" t="s">
        <v>23</v>
      </c>
      <c r="J196" s="12" t="s">
        <v>1152</v>
      </c>
      <c r="K196" s="12" t="s">
        <v>1153</v>
      </c>
      <c r="L196" s="12">
        <v>1</v>
      </c>
      <c r="M196" s="12">
        <f t="shared" ref="M196" si="192">L196*5</f>
        <v>5</v>
      </c>
      <c r="N196" s="9" t="s">
        <v>87</v>
      </c>
      <c r="O196" s="18" t="str">
        <f t="shared" si="183"/>
        <v>LCSC</v>
      </c>
      <c r="P196" s="17" t="s">
        <v>1154</v>
      </c>
      <c r="Q196" s="19">
        <f t="shared" ref="Q196" si="193">P196*N196</f>
        <v>1.2404999999999999</v>
      </c>
      <c r="R196" s="12"/>
    </row>
    <row r="197" spans="1:18" ht="18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4" t="s">
        <v>1155</v>
      </c>
      <c r="O197" s="35"/>
      <c r="P197" s="35"/>
      <c r="Q197" s="28">
        <f>SUM(Q3:Q196)</f>
        <v>495.71050000000002</v>
      </c>
      <c r="R197" s="2"/>
    </row>
    <row r="198" spans="1:18" ht="18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4" t="s">
        <v>1156</v>
      </c>
      <c r="O198" s="35"/>
      <c r="P198" s="35"/>
      <c r="Q198" s="29">
        <f>Q197/5</f>
        <v>99.142100000000099</v>
      </c>
      <c r="R198" s="2"/>
    </row>
    <row r="210" spans="13:13">
      <c r="M210" s="32"/>
    </row>
  </sheetData>
  <mergeCells count="3">
    <mergeCell ref="K1:R1"/>
    <mergeCell ref="N197:P197"/>
    <mergeCell ref="N198:P198"/>
  </mergeCells>
  <hyperlinks>
    <hyperlink ref="O4" r:id="rId1"/>
    <hyperlink ref="O5" r:id="rId2"/>
    <hyperlink ref="O6" r:id="rId3"/>
    <hyperlink ref="O7" r:id="rId4"/>
    <hyperlink ref="O8" r:id="rId5"/>
    <hyperlink ref="O9" r:id="rId6"/>
    <hyperlink ref="O10" r:id="rId7"/>
    <hyperlink ref="O11" r:id="rId8"/>
    <hyperlink ref="O12" r:id="rId9"/>
    <hyperlink ref="O13" r:id="rId10"/>
    <hyperlink ref="O14" r:id="rId11"/>
    <hyperlink ref="O15" r:id="rId12"/>
    <hyperlink ref="O16" r:id="rId13"/>
    <hyperlink ref="O17" r:id="rId14"/>
    <hyperlink ref="O18" r:id="rId15"/>
    <hyperlink ref="O19" r:id="rId16"/>
    <hyperlink ref="O20" r:id="rId17"/>
    <hyperlink ref="O21" r:id="rId18"/>
    <hyperlink ref="O22" r:id="rId19"/>
    <hyperlink ref="O23" r:id="rId20"/>
    <hyperlink ref="O24" r:id="rId21"/>
    <hyperlink ref="O25" r:id="rId22"/>
    <hyperlink ref="O26" r:id="rId23"/>
    <hyperlink ref="O27" r:id="rId24"/>
    <hyperlink ref="O28" r:id="rId25"/>
    <hyperlink ref="O3" r:id="rId26"/>
    <hyperlink ref="O29" r:id="rId27"/>
    <hyperlink ref="O31" r:id="rId28"/>
    <hyperlink ref="O32" r:id="rId29"/>
    <hyperlink ref="O33" r:id="rId30"/>
    <hyperlink ref="O34" r:id="rId31"/>
    <hyperlink ref="O35" r:id="rId32"/>
    <hyperlink ref="O36" r:id="rId33"/>
    <hyperlink ref="O37" r:id="rId34"/>
    <hyperlink ref="O38" r:id="rId35"/>
    <hyperlink ref="O39" r:id="rId36"/>
    <hyperlink ref="O40" r:id="rId37"/>
    <hyperlink ref="O41" r:id="rId38"/>
    <hyperlink ref="O42" r:id="rId39"/>
    <hyperlink ref="O43" r:id="rId40"/>
    <hyperlink ref="O44" r:id="rId41"/>
    <hyperlink ref="O45" r:id="rId42"/>
    <hyperlink ref="O46" r:id="rId43"/>
    <hyperlink ref="O47" r:id="rId44"/>
    <hyperlink ref="O48" r:id="rId45"/>
    <hyperlink ref="O49" r:id="rId46"/>
    <hyperlink ref="O50" r:id="rId47"/>
    <hyperlink ref="O51" r:id="rId48"/>
    <hyperlink ref="O52" r:id="rId49"/>
    <hyperlink ref="O53" r:id="rId50"/>
    <hyperlink ref="O54" r:id="rId51"/>
    <hyperlink ref="O55" r:id="rId52"/>
    <hyperlink ref="O56" r:id="rId53"/>
    <hyperlink ref="O57" r:id="rId54"/>
    <hyperlink ref="O58" r:id="rId55"/>
    <hyperlink ref="O60" r:id="rId56"/>
    <hyperlink ref="O30" r:id="rId57"/>
    <hyperlink ref="O59" r:id="rId58"/>
    <hyperlink ref="O61" r:id="rId59"/>
    <hyperlink ref="O63" r:id="rId60"/>
    <hyperlink ref="O62" r:id="rId61"/>
    <hyperlink ref="O64" r:id="rId62"/>
    <hyperlink ref="O65" r:id="rId63"/>
    <hyperlink ref="O66" r:id="rId64"/>
    <hyperlink ref="O67" r:id="rId65"/>
    <hyperlink ref="O68" r:id="rId66"/>
    <hyperlink ref="O69" r:id="rId67"/>
    <hyperlink ref="O70" r:id="rId68"/>
    <hyperlink ref="O71" r:id="rId69"/>
    <hyperlink ref="O72" r:id="rId70"/>
    <hyperlink ref="O73" r:id="rId71"/>
    <hyperlink ref="O74" r:id="rId72"/>
    <hyperlink ref="O75" r:id="rId73"/>
    <hyperlink ref="O76" r:id="rId74"/>
    <hyperlink ref="O77" r:id="rId75"/>
    <hyperlink ref="O78" r:id="rId76"/>
    <hyperlink ref="O79" r:id="rId77"/>
    <hyperlink ref="O80" r:id="rId78"/>
    <hyperlink ref="O81" r:id="rId79"/>
    <hyperlink ref="O82" r:id="rId80"/>
    <hyperlink ref="O83" r:id="rId81"/>
    <hyperlink ref="O84" r:id="rId82"/>
    <hyperlink ref="O86" r:id="rId83"/>
    <hyperlink ref="O85" r:id="rId84"/>
    <hyperlink ref="O88" r:id="rId85"/>
    <hyperlink ref="O89" r:id="rId86"/>
    <hyperlink ref="O90" r:id="rId87"/>
    <hyperlink ref="O91" r:id="rId88"/>
    <hyperlink ref="O92" r:id="rId89"/>
    <hyperlink ref="O93" r:id="rId90"/>
    <hyperlink ref="O95" r:id="rId91"/>
    <hyperlink ref="O96" r:id="rId92"/>
    <hyperlink ref="O97" r:id="rId93"/>
    <hyperlink ref="O98" r:id="rId94"/>
    <hyperlink ref="O99" r:id="rId95"/>
    <hyperlink ref="O100" r:id="rId96"/>
    <hyperlink ref="O101" r:id="rId97"/>
    <hyperlink ref="O102" r:id="rId98"/>
    <hyperlink ref="O103" r:id="rId99"/>
    <hyperlink ref="O104" r:id="rId100"/>
    <hyperlink ref="O105" r:id="rId101"/>
    <hyperlink ref="O106" r:id="rId102"/>
    <hyperlink ref="O107" r:id="rId103"/>
    <hyperlink ref="O108" r:id="rId104"/>
    <hyperlink ref="O109" r:id="rId105"/>
    <hyperlink ref="O94" r:id="rId106"/>
    <hyperlink ref="O110" r:id="rId107"/>
    <hyperlink ref="O111" r:id="rId108"/>
    <hyperlink ref="O112" r:id="rId109"/>
    <hyperlink ref="O113" r:id="rId110"/>
    <hyperlink ref="O114" r:id="rId111"/>
    <hyperlink ref="O115" r:id="rId112"/>
    <hyperlink ref="O116" r:id="rId113"/>
    <hyperlink ref="O117" r:id="rId114"/>
    <hyperlink ref="O118" r:id="rId115"/>
    <hyperlink ref="O119" r:id="rId116"/>
    <hyperlink ref="O120" r:id="rId117"/>
    <hyperlink ref="O121" r:id="rId118"/>
    <hyperlink ref="O122" r:id="rId119"/>
    <hyperlink ref="O123" r:id="rId120"/>
    <hyperlink ref="O124" r:id="rId121"/>
    <hyperlink ref="O125" r:id="rId122"/>
    <hyperlink ref="O126" r:id="rId123"/>
    <hyperlink ref="O127" r:id="rId124"/>
    <hyperlink ref="O128" r:id="rId125"/>
    <hyperlink ref="O129" r:id="rId126"/>
    <hyperlink ref="O130" r:id="rId127"/>
    <hyperlink ref="O131" r:id="rId128"/>
    <hyperlink ref="O132" r:id="rId129"/>
    <hyperlink ref="O133" r:id="rId130"/>
    <hyperlink ref="O134" r:id="rId131"/>
    <hyperlink ref="O135" r:id="rId132"/>
    <hyperlink ref="O136" r:id="rId133"/>
    <hyperlink ref="O137" r:id="rId134"/>
    <hyperlink ref="O138" r:id="rId135"/>
    <hyperlink ref="O139" r:id="rId136"/>
    <hyperlink ref="O140" r:id="rId137"/>
    <hyperlink ref="O141" r:id="rId138"/>
    <hyperlink ref="O142" r:id="rId139"/>
    <hyperlink ref="O143" r:id="rId140"/>
    <hyperlink ref="O144" r:id="rId141"/>
    <hyperlink ref="O145" r:id="rId142"/>
    <hyperlink ref="O146" r:id="rId143"/>
    <hyperlink ref="O147" r:id="rId144"/>
    <hyperlink ref="O153" r:id="rId145"/>
    <hyperlink ref="O167" r:id="rId146"/>
    <hyperlink ref="O168" r:id="rId147"/>
    <hyperlink ref="O169" r:id="rId148"/>
    <hyperlink ref="O170" r:id="rId149"/>
    <hyperlink ref="O171" r:id="rId150"/>
    <hyperlink ref="O172" r:id="rId151"/>
    <hyperlink ref="O173" r:id="rId152"/>
    <hyperlink ref="O174" r:id="rId153"/>
    <hyperlink ref="O175" r:id="rId154"/>
    <hyperlink ref="O176" r:id="rId155"/>
    <hyperlink ref="O177" r:id="rId156"/>
    <hyperlink ref="O178" r:id="rId157"/>
    <hyperlink ref="O179" r:id="rId158"/>
    <hyperlink ref="O180" r:id="rId159"/>
    <hyperlink ref="O181" r:id="rId160"/>
    <hyperlink ref="O182" r:id="rId161"/>
    <hyperlink ref="O185" r:id="rId162"/>
    <hyperlink ref="O186" r:id="rId163"/>
    <hyperlink ref="O148" r:id="rId164"/>
    <hyperlink ref="O149" r:id="rId165"/>
    <hyperlink ref="O150" r:id="rId166"/>
    <hyperlink ref="O152" r:id="rId167"/>
    <hyperlink ref="O154" r:id="rId168"/>
    <hyperlink ref="O155" r:id="rId169"/>
    <hyperlink ref="O156" r:id="rId170"/>
    <hyperlink ref="O157" r:id="rId171"/>
    <hyperlink ref="O158" r:id="rId172"/>
    <hyperlink ref="O159" r:id="rId173"/>
    <hyperlink ref="O160" r:id="rId174"/>
    <hyperlink ref="O161" r:id="rId175"/>
    <hyperlink ref="O162" r:id="rId176"/>
    <hyperlink ref="O163" r:id="rId177"/>
    <hyperlink ref="O164" r:id="rId178"/>
    <hyperlink ref="O165" r:id="rId179"/>
    <hyperlink ref="O166" r:id="rId180"/>
    <hyperlink ref="O183" r:id="rId181"/>
    <hyperlink ref="O184" r:id="rId18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opLeftCell="D187" workbookViewId="0">
      <selection activeCell="N208" sqref="N208"/>
    </sheetView>
  </sheetViews>
  <sheetFormatPr defaultColWidth="9.140625" defaultRowHeight="15"/>
  <cols>
    <col min="2" max="2" width="4.5703125" customWidth="1"/>
    <col min="3" max="3" width="20.42578125" customWidth="1"/>
    <col min="4" max="4" width="26" customWidth="1"/>
    <col min="5" max="5" width="28" customWidth="1"/>
    <col min="6" max="6" width="9.85546875" customWidth="1"/>
    <col min="7" max="7" width="27.28515625" customWidth="1"/>
    <col min="8" max="8" width="14.140625" customWidth="1"/>
    <col min="9" max="9" width="23.140625" customWidth="1"/>
    <col min="10" max="10" width="18.28515625" customWidth="1"/>
    <col min="11" max="11" width="9.140625" customWidth="1"/>
    <col min="12" max="12" width="9.28515625" customWidth="1"/>
    <col min="13" max="13" width="19.5703125" customWidth="1"/>
    <col min="14" max="14" width="16.7109375" customWidth="1"/>
    <col min="15" max="15" width="9.140625" customWidth="1"/>
    <col min="16" max="16" width="20.140625" customWidth="1"/>
    <col min="17" max="17" width="20.7109375" customWidth="1"/>
  </cols>
  <sheetData>
    <row r="1" spans="1:18">
      <c r="A1" s="2"/>
      <c r="B1" s="3"/>
      <c r="C1" s="3"/>
      <c r="D1" s="4"/>
      <c r="E1" s="4"/>
      <c r="F1" s="4"/>
      <c r="G1" s="4"/>
      <c r="H1" s="4"/>
      <c r="I1" s="4"/>
      <c r="J1" s="4"/>
      <c r="K1" s="33"/>
      <c r="L1" s="33"/>
      <c r="M1" s="33"/>
      <c r="N1" s="33"/>
      <c r="O1" s="33"/>
      <c r="P1" s="33"/>
      <c r="Q1" s="33"/>
      <c r="R1" s="33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1157</v>
      </c>
      <c r="N2" s="5" t="s">
        <v>1158</v>
      </c>
      <c r="O2" s="5" t="s">
        <v>13</v>
      </c>
      <c r="P2" s="5" t="s">
        <v>1159</v>
      </c>
      <c r="Q2" s="5" t="s">
        <v>1160</v>
      </c>
      <c r="R2" s="5" t="s">
        <v>16</v>
      </c>
    </row>
    <row r="3" spans="1:18" ht="24">
      <c r="A3" s="2"/>
      <c r="B3" s="7">
        <f t="shared" ref="B3:B34" si="0"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>
        <v>14</v>
      </c>
      <c r="M3" s="9">
        <f>L3*10</f>
        <v>140</v>
      </c>
      <c r="N3" s="9">
        <v>140</v>
      </c>
      <c r="O3" s="16" t="s">
        <v>26</v>
      </c>
      <c r="P3" s="17">
        <v>1.47E-2</v>
      </c>
      <c r="Q3" s="17">
        <f t="shared" ref="Q3:Q66" si="1">P3*N3</f>
        <v>2.0579999999999998</v>
      </c>
      <c r="R3" s="9"/>
    </row>
    <row r="4" spans="1:18">
      <c r="A4" s="2"/>
      <c r="B4" s="10">
        <f t="shared" si="0"/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12" t="s">
        <v>33</v>
      </c>
      <c r="L4" s="12">
        <v>1</v>
      </c>
      <c r="M4" s="9">
        <f t="shared" ref="M4:M35" si="2">L4*10</f>
        <v>10</v>
      </c>
      <c r="N4" s="12" t="s">
        <v>34</v>
      </c>
      <c r="O4" s="18" t="s">
        <v>26</v>
      </c>
      <c r="P4" s="19" t="s">
        <v>35</v>
      </c>
      <c r="Q4" s="19">
        <f t="shared" si="1"/>
        <v>0.64500000000000002</v>
      </c>
      <c r="R4" s="12"/>
    </row>
    <row r="5" spans="1:18">
      <c r="A5" s="2"/>
      <c r="B5" s="7">
        <f t="shared" si="0"/>
        <v>3</v>
      </c>
      <c r="C5" s="8" t="s">
        <v>17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31</v>
      </c>
      <c r="I5" s="9" t="s">
        <v>23</v>
      </c>
      <c r="J5" s="9" t="s">
        <v>40</v>
      </c>
      <c r="K5" s="9" t="s">
        <v>41</v>
      </c>
      <c r="L5" s="9">
        <v>6</v>
      </c>
      <c r="M5" s="9">
        <f t="shared" si="2"/>
        <v>60</v>
      </c>
      <c r="N5" s="9" t="s">
        <v>42</v>
      </c>
      <c r="O5" s="18" t="s">
        <v>26</v>
      </c>
      <c r="P5" s="17" t="s">
        <v>43</v>
      </c>
      <c r="Q5" s="17">
        <f t="shared" si="1"/>
        <v>0.54</v>
      </c>
      <c r="R5" s="9"/>
    </row>
    <row r="6" spans="1:18">
      <c r="A6" s="2"/>
      <c r="B6" s="10">
        <f t="shared" si="0"/>
        <v>4</v>
      </c>
      <c r="C6" s="11" t="s">
        <v>17</v>
      </c>
      <c r="D6" s="12" t="s">
        <v>44</v>
      </c>
      <c r="E6" s="12" t="s">
        <v>45</v>
      </c>
      <c r="F6" s="12" t="s">
        <v>46</v>
      </c>
      <c r="G6" s="12" t="s">
        <v>47</v>
      </c>
      <c r="H6" s="12" t="s">
        <v>31</v>
      </c>
      <c r="I6" s="9" t="s">
        <v>23</v>
      </c>
      <c r="J6" s="12" t="s">
        <v>48</v>
      </c>
      <c r="K6" s="12" t="s">
        <v>49</v>
      </c>
      <c r="L6" s="12">
        <v>2</v>
      </c>
      <c r="M6" s="9">
        <f t="shared" si="2"/>
        <v>20</v>
      </c>
      <c r="N6" s="12" t="s">
        <v>42</v>
      </c>
      <c r="O6" s="18" t="s">
        <v>26</v>
      </c>
      <c r="P6" s="19" t="s">
        <v>50</v>
      </c>
      <c r="Q6" s="19">
        <f t="shared" si="1"/>
        <v>0.22</v>
      </c>
      <c r="R6" s="12"/>
    </row>
    <row r="7" spans="1:18" ht="36">
      <c r="A7" s="2"/>
      <c r="B7" s="7">
        <f t="shared" si="0"/>
        <v>5</v>
      </c>
      <c r="C7" s="8" t="s">
        <v>17</v>
      </c>
      <c r="D7" s="9" t="s">
        <v>51</v>
      </c>
      <c r="E7" s="9" t="s">
        <v>52</v>
      </c>
      <c r="F7" s="9" t="s">
        <v>38</v>
      </c>
      <c r="G7" s="9" t="s">
        <v>53</v>
      </c>
      <c r="H7" s="9" t="s">
        <v>31</v>
      </c>
      <c r="I7" s="9" t="s">
        <v>23</v>
      </c>
      <c r="J7" s="9" t="s">
        <v>54</v>
      </c>
      <c r="K7" s="9" t="s">
        <v>33</v>
      </c>
      <c r="L7" s="9">
        <v>21</v>
      </c>
      <c r="M7" s="9">
        <f t="shared" si="2"/>
        <v>210</v>
      </c>
      <c r="N7" s="9">
        <v>300</v>
      </c>
      <c r="O7" s="18" t="s">
        <v>26</v>
      </c>
      <c r="P7" s="17" t="s">
        <v>55</v>
      </c>
      <c r="Q7" s="17">
        <f t="shared" si="1"/>
        <v>0.93</v>
      </c>
      <c r="R7" s="9"/>
    </row>
    <row r="8" spans="1:18">
      <c r="A8" s="2"/>
      <c r="B8" s="10">
        <f t="shared" si="0"/>
        <v>6</v>
      </c>
      <c r="C8" s="11" t="s">
        <v>17</v>
      </c>
      <c r="D8" s="12" t="s">
        <v>56</v>
      </c>
      <c r="E8" s="12" t="s">
        <v>57</v>
      </c>
      <c r="F8" s="12" t="s">
        <v>46</v>
      </c>
      <c r="G8" s="12" t="s">
        <v>58</v>
      </c>
      <c r="H8" s="12" t="s">
        <v>31</v>
      </c>
      <c r="I8" s="9" t="s">
        <v>23</v>
      </c>
      <c r="J8" s="12" t="s">
        <v>59</v>
      </c>
      <c r="K8" s="12" t="s">
        <v>41</v>
      </c>
      <c r="L8" s="12">
        <v>4</v>
      </c>
      <c r="M8" s="9">
        <f t="shared" si="2"/>
        <v>40</v>
      </c>
      <c r="N8" s="12" t="s">
        <v>42</v>
      </c>
      <c r="O8" s="18" t="s">
        <v>26</v>
      </c>
      <c r="P8" s="19" t="s">
        <v>60</v>
      </c>
      <c r="Q8" s="19">
        <f t="shared" si="1"/>
        <v>0.41</v>
      </c>
      <c r="R8" s="12"/>
    </row>
    <row r="9" spans="1:18">
      <c r="A9" s="2"/>
      <c r="B9" s="7">
        <f t="shared" si="0"/>
        <v>7</v>
      </c>
      <c r="C9" s="8" t="s">
        <v>17</v>
      </c>
      <c r="D9" s="9" t="s">
        <v>61</v>
      </c>
      <c r="E9" s="9" t="s">
        <v>62</v>
      </c>
      <c r="F9" s="9" t="s">
        <v>20</v>
      </c>
      <c r="G9" s="13" t="s">
        <v>63</v>
      </c>
      <c r="H9" s="9" t="s">
        <v>64</v>
      </c>
      <c r="I9" s="9" t="s">
        <v>65</v>
      </c>
      <c r="J9" s="9" t="s">
        <v>23</v>
      </c>
      <c r="K9" s="9" t="s">
        <v>66</v>
      </c>
      <c r="L9" s="9">
        <v>1</v>
      </c>
      <c r="M9" s="9">
        <f t="shared" si="2"/>
        <v>10</v>
      </c>
      <c r="N9" s="9">
        <v>10</v>
      </c>
      <c r="O9" s="18" t="s">
        <v>67</v>
      </c>
      <c r="P9" s="17">
        <v>0.38</v>
      </c>
      <c r="Q9" s="17">
        <f t="shared" si="1"/>
        <v>3.8</v>
      </c>
      <c r="R9" s="9"/>
    </row>
    <row r="10" spans="1:18">
      <c r="A10" s="2"/>
      <c r="B10" s="10">
        <f t="shared" si="0"/>
        <v>8</v>
      </c>
      <c r="C10" s="11" t="s">
        <v>17</v>
      </c>
      <c r="D10" s="12" t="s">
        <v>68</v>
      </c>
      <c r="E10" s="12" t="s">
        <v>69</v>
      </c>
      <c r="F10" s="12" t="s">
        <v>46</v>
      </c>
      <c r="G10" s="12" t="s">
        <v>70</v>
      </c>
      <c r="H10" s="12" t="s">
        <v>71</v>
      </c>
      <c r="I10" s="12" t="s">
        <v>23</v>
      </c>
      <c r="J10" s="12" t="s">
        <v>72</v>
      </c>
      <c r="K10" s="12" t="s">
        <v>73</v>
      </c>
      <c r="L10" s="12">
        <v>2</v>
      </c>
      <c r="M10" s="9">
        <f t="shared" si="2"/>
        <v>20</v>
      </c>
      <c r="N10" s="12" t="s">
        <v>34</v>
      </c>
      <c r="O10" s="18" t="s">
        <v>26</v>
      </c>
      <c r="P10" s="19" t="s">
        <v>74</v>
      </c>
      <c r="Q10" s="19">
        <f t="shared" si="1"/>
        <v>0.46</v>
      </c>
      <c r="R10" s="12"/>
    </row>
    <row r="11" spans="1:18" ht="36">
      <c r="A11" s="2"/>
      <c r="B11" s="7">
        <f t="shared" si="0"/>
        <v>9</v>
      </c>
      <c r="C11" s="11" t="s">
        <v>17</v>
      </c>
      <c r="D11" s="9" t="s">
        <v>75</v>
      </c>
      <c r="E11" s="9" t="s">
        <v>76</v>
      </c>
      <c r="F11" s="9" t="s">
        <v>46</v>
      </c>
      <c r="G11" s="9" t="s">
        <v>77</v>
      </c>
      <c r="H11" s="9" t="s">
        <v>71</v>
      </c>
      <c r="I11" s="12" t="s">
        <v>23</v>
      </c>
      <c r="J11" s="9" t="s">
        <v>78</v>
      </c>
      <c r="K11" s="9" t="s">
        <v>33</v>
      </c>
      <c r="L11" s="9">
        <v>15</v>
      </c>
      <c r="M11" s="9">
        <f t="shared" si="2"/>
        <v>150</v>
      </c>
      <c r="N11" s="9">
        <v>150</v>
      </c>
      <c r="O11" s="18" t="s">
        <v>26</v>
      </c>
      <c r="P11" s="17" t="s">
        <v>80</v>
      </c>
      <c r="Q11" s="17">
        <f t="shared" si="1"/>
        <v>11.925000000000001</v>
      </c>
      <c r="R11" s="9"/>
    </row>
    <row r="12" spans="1:18" ht="36">
      <c r="A12" s="2"/>
      <c r="B12" s="10">
        <f t="shared" si="0"/>
        <v>10</v>
      </c>
      <c r="C12" s="11" t="s">
        <v>17</v>
      </c>
      <c r="D12" s="12" t="s">
        <v>81</v>
      </c>
      <c r="E12" s="12" t="s">
        <v>82</v>
      </c>
      <c r="F12" s="9" t="s">
        <v>20</v>
      </c>
      <c r="G12" s="12" t="s">
        <v>83</v>
      </c>
      <c r="H12" s="12" t="s">
        <v>84</v>
      </c>
      <c r="I12" s="12" t="s">
        <v>23</v>
      </c>
      <c r="J12" s="12" t="s">
        <v>85</v>
      </c>
      <c r="K12" s="12" t="s">
        <v>86</v>
      </c>
      <c r="L12" s="12">
        <v>1</v>
      </c>
      <c r="M12" s="9">
        <f t="shared" si="2"/>
        <v>10</v>
      </c>
      <c r="N12" s="12">
        <v>10</v>
      </c>
      <c r="O12" s="18" t="s">
        <v>26</v>
      </c>
      <c r="P12" s="19" t="s">
        <v>88</v>
      </c>
      <c r="Q12" s="19">
        <f t="shared" si="1"/>
        <v>3.7959999999999998</v>
      </c>
      <c r="R12" s="12"/>
    </row>
    <row r="13" spans="1:18" ht="24">
      <c r="A13" s="2"/>
      <c r="B13" s="7">
        <f t="shared" si="0"/>
        <v>11</v>
      </c>
      <c r="C13" s="11" t="s">
        <v>17</v>
      </c>
      <c r="D13" s="9" t="s">
        <v>89</v>
      </c>
      <c r="E13" s="9" t="s">
        <v>90</v>
      </c>
      <c r="F13" s="9" t="s">
        <v>38</v>
      </c>
      <c r="G13" s="9" t="s">
        <v>91</v>
      </c>
      <c r="H13" s="9" t="s">
        <v>31</v>
      </c>
      <c r="I13" s="12" t="s">
        <v>23</v>
      </c>
      <c r="J13" s="9" t="s">
        <v>92</v>
      </c>
      <c r="K13" s="9" t="s">
        <v>93</v>
      </c>
      <c r="L13" s="9">
        <v>1</v>
      </c>
      <c r="M13" s="9">
        <f t="shared" si="2"/>
        <v>10</v>
      </c>
      <c r="N13" s="9" t="s">
        <v>42</v>
      </c>
      <c r="O13" s="18" t="s">
        <v>26</v>
      </c>
      <c r="P13" s="17" t="s">
        <v>94</v>
      </c>
      <c r="Q13" s="17">
        <f t="shared" si="1"/>
        <v>0.26</v>
      </c>
      <c r="R13" s="9"/>
    </row>
    <row r="14" spans="1:18">
      <c r="A14" s="2"/>
      <c r="B14" s="10">
        <f t="shared" si="0"/>
        <v>12</v>
      </c>
      <c r="C14" s="11" t="s">
        <v>17</v>
      </c>
      <c r="D14" s="12" t="s">
        <v>95</v>
      </c>
      <c r="E14" s="12" t="s">
        <v>96</v>
      </c>
      <c r="F14" s="12" t="s">
        <v>97</v>
      </c>
      <c r="G14" s="12" t="s">
        <v>98</v>
      </c>
      <c r="H14" s="12" t="s">
        <v>31</v>
      </c>
      <c r="I14" s="12" t="s">
        <v>23</v>
      </c>
      <c r="J14" s="12" t="s">
        <v>99</v>
      </c>
      <c r="K14" s="12" t="s">
        <v>100</v>
      </c>
      <c r="L14" s="12">
        <v>4</v>
      </c>
      <c r="M14" s="9">
        <f t="shared" si="2"/>
        <v>40</v>
      </c>
      <c r="N14" s="12" t="s">
        <v>42</v>
      </c>
      <c r="O14" s="18" t="s">
        <v>26</v>
      </c>
      <c r="P14" s="19" t="s">
        <v>101</v>
      </c>
      <c r="Q14" s="19">
        <f t="shared" si="1"/>
        <v>0.1</v>
      </c>
      <c r="R14" s="12"/>
    </row>
    <row r="15" spans="1:18">
      <c r="A15" s="2"/>
      <c r="B15" s="7">
        <f t="shared" si="0"/>
        <v>13</v>
      </c>
      <c r="C15" s="11" t="s">
        <v>17</v>
      </c>
      <c r="D15" s="9" t="s">
        <v>102</v>
      </c>
      <c r="E15" s="9" t="s">
        <v>103</v>
      </c>
      <c r="F15" s="9" t="s">
        <v>38</v>
      </c>
      <c r="G15" s="9" t="s">
        <v>104</v>
      </c>
      <c r="H15" s="9" t="s">
        <v>31</v>
      </c>
      <c r="I15" s="12" t="s">
        <v>23</v>
      </c>
      <c r="J15" s="9" t="s">
        <v>105</v>
      </c>
      <c r="K15" s="9" t="s">
        <v>41</v>
      </c>
      <c r="L15" s="9">
        <v>5</v>
      </c>
      <c r="M15" s="9">
        <f t="shared" si="2"/>
        <v>50</v>
      </c>
      <c r="N15" s="9">
        <v>50</v>
      </c>
      <c r="O15" s="18" t="s">
        <v>26</v>
      </c>
      <c r="P15" s="17" t="s">
        <v>107</v>
      </c>
      <c r="Q15" s="17">
        <f t="shared" si="1"/>
        <v>1.21</v>
      </c>
      <c r="R15" s="9"/>
    </row>
    <row r="16" spans="1:18">
      <c r="A16" s="2"/>
      <c r="B16" s="10">
        <f t="shared" si="0"/>
        <v>14</v>
      </c>
      <c r="C16" s="11" t="s">
        <v>17</v>
      </c>
      <c r="D16" s="12" t="s">
        <v>108</v>
      </c>
      <c r="E16" s="12" t="s">
        <v>109</v>
      </c>
      <c r="F16" s="12" t="s">
        <v>29</v>
      </c>
      <c r="G16" s="12" t="s">
        <v>110</v>
      </c>
      <c r="H16" s="12" t="s">
        <v>31</v>
      </c>
      <c r="I16" s="12" t="s">
        <v>23</v>
      </c>
      <c r="J16" s="12" t="s">
        <v>111</v>
      </c>
      <c r="K16" s="12" t="s">
        <v>112</v>
      </c>
      <c r="L16" s="12">
        <v>1</v>
      </c>
      <c r="M16" s="9">
        <f t="shared" si="2"/>
        <v>10</v>
      </c>
      <c r="N16" s="12" t="s">
        <v>113</v>
      </c>
      <c r="O16" s="18" t="s">
        <v>26</v>
      </c>
      <c r="P16" s="19" t="s">
        <v>114</v>
      </c>
      <c r="Q16" s="19">
        <f t="shared" si="1"/>
        <v>0.56799999999999995</v>
      </c>
      <c r="R16" s="12"/>
    </row>
    <row r="17" spans="1:18">
      <c r="A17" s="2"/>
      <c r="B17" s="7">
        <f t="shared" si="0"/>
        <v>15</v>
      </c>
      <c r="C17" s="11" t="s">
        <v>17</v>
      </c>
      <c r="D17" s="9" t="s">
        <v>115</v>
      </c>
      <c r="E17" s="9" t="s">
        <v>116</v>
      </c>
      <c r="F17" s="9" t="s">
        <v>46</v>
      </c>
      <c r="G17" s="9" t="s">
        <v>117</v>
      </c>
      <c r="H17" s="9" t="s">
        <v>31</v>
      </c>
      <c r="I17" s="12" t="s">
        <v>23</v>
      </c>
      <c r="J17" s="9" t="s">
        <v>118</v>
      </c>
      <c r="K17" s="9" t="s">
        <v>119</v>
      </c>
      <c r="L17" s="9">
        <v>2</v>
      </c>
      <c r="M17" s="9">
        <f t="shared" si="2"/>
        <v>20</v>
      </c>
      <c r="N17" s="9" t="s">
        <v>42</v>
      </c>
      <c r="O17" s="18" t="s">
        <v>26</v>
      </c>
      <c r="P17" s="17" t="s">
        <v>120</v>
      </c>
      <c r="Q17" s="17">
        <f t="shared" si="1"/>
        <v>0.11</v>
      </c>
      <c r="R17" s="9"/>
    </row>
    <row r="18" spans="1:18">
      <c r="A18" s="2"/>
      <c r="B18" s="10">
        <f t="shared" si="0"/>
        <v>16</v>
      </c>
      <c r="C18" s="11" t="s">
        <v>17</v>
      </c>
      <c r="D18" s="12" t="s">
        <v>121</v>
      </c>
      <c r="E18" s="12" t="s">
        <v>122</v>
      </c>
      <c r="F18" s="12" t="s">
        <v>46</v>
      </c>
      <c r="G18" s="12" t="s">
        <v>123</v>
      </c>
      <c r="H18" s="12" t="s">
        <v>31</v>
      </c>
      <c r="I18" s="12" t="s">
        <v>23</v>
      </c>
      <c r="J18" s="12" t="s">
        <v>124</v>
      </c>
      <c r="K18" s="12" t="s">
        <v>33</v>
      </c>
      <c r="L18" s="12">
        <v>6</v>
      </c>
      <c r="M18" s="9">
        <f t="shared" si="2"/>
        <v>60</v>
      </c>
      <c r="N18" s="12" t="s">
        <v>42</v>
      </c>
      <c r="O18" s="18" t="s">
        <v>26</v>
      </c>
      <c r="P18" s="19" t="s">
        <v>125</v>
      </c>
      <c r="Q18" s="19">
        <f t="shared" si="1"/>
        <v>0.18</v>
      </c>
      <c r="R18" s="12"/>
    </row>
    <row r="19" spans="1:18">
      <c r="A19" s="2"/>
      <c r="B19" s="7">
        <f t="shared" si="0"/>
        <v>17</v>
      </c>
      <c r="C19" s="11" t="s">
        <v>17</v>
      </c>
      <c r="D19" s="9" t="s">
        <v>126</v>
      </c>
      <c r="E19" s="9" t="s">
        <v>127</v>
      </c>
      <c r="F19" s="9" t="s">
        <v>38</v>
      </c>
      <c r="G19" s="9" t="s">
        <v>128</v>
      </c>
      <c r="H19" s="9" t="s">
        <v>129</v>
      </c>
      <c r="I19" s="12" t="s">
        <v>23</v>
      </c>
      <c r="J19" s="9" t="s">
        <v>130</v>
      </c>
      <c r="K19" s="9" t="s">
        <v>25</v>
      </c>
      <c r="L19" s="9">
        <v>1</v>
      </c>
      <c r="M19" s="9">
        <f t="shared" si="2"/>
        <v>10</v>
      </c>
      <c r="N19" s="9" t="s">
        <v>131</v>
      </c>
      <c r="O19" s="18" t="s">
        <v>26</v>
      </c>
      <c r="P19" s="17" t="s">
        <v>132</v>
      </c>
      <c r="Q19" s="17">
        <f t="shared" si="1"/>
        <v>0.372</v>
      </c>
      <c r="R19" s="9"/>
    </row>
    <row r="20" spans="1:18">
      <c r="A20" s="2"/>
      <c r="B20" s="10">
        <f t="shared" si="0"/>
        <v>18</v>
      </c>
      <c r="C20" s="11" t="s">
        <v>17</v>
      </c>
      <c r="D20" s="12" t="s">
        <v>133</v>
      </c>
      <c r="E20" s="12" t="s">
        <v>134</v>
      </c>
      <c r="F20" s="12" t="s">
        <v>135</v>
      </c>
      <c r="G20" s="12" t="s">
        <v>136</v>
      </c>
      <c r="H20" s="12" t="s">
        <v>137</v>
      </c>
      <c r="I20" s="12" t="s">
        <v>23</v>
      </c>
      <c r="J20" s="12" t="s">
        <v>138</v>
      </c>
      <c r="K20" s="12" t="s">
        <v>139</v>
      </c>
      <c r="L20" s="12">
        <v>5</v>
      </c>
      <c r="M20" s="9">
        <f t="shared" si="2"/>
        <v>50</v>
      </c>
      <c r="N20" s="12">
        <v>50</v>
      </c>
      <c r="O20" s="18" t="s">
        <v>26</v>
      </c>
      <c r="P20" s="19" t="s">
        <v>141</v>
      </c>
      <c r="Q20" s="19">
        <f t="shared" si="1"/>
        <v>7.52</v>
      </c>
      <c r="R20" s="12"/>
    </row>
    <row r="21" spans="1:18">
      <c r="A21" s="2"/>
      <c r="B21" s="7">
        <f t="shared" si="0"/>
        <v>19</v>
      </c>
      <c r="C21" s="11" t="s">
        <v>17</v>
      </c>
      <c r="D21" s="9" t="s">
        <v>142</v>
      </c>
      <c r="E21" s="9" t="s">
        <v>143</v>
      </c>
      <c r="F21" s="9" t="s">
        <v>20</v>
      </c>
      <c r="G21" s="9" t="s">
        <v>144</v>
      </c>
      <c r="H21" s="9" t="s">
        <v>64</v>
      </c>
      <c r="I21" s="12" t="s">
        <v>23</v>
      </c>
      <c r="J21" s="9" t="s">
        <v>145</v>
      </c>
      <c r="K21" s="9" t="s">
        <v>146</v>
      </c>
      <c r="L21" s="9">
        <v>1</v>
      </c>
      <c r="M21" s="9">
        <f t="shared" si="2"/>
        <v>10</v>
      </c>
      <c r="N21" s="9">
        <v>10</v>
      </c>
      <c r="O21" s="18" t="s">
        <v>26</v>
      </c>
      <c r="P21" s="17" t="s">
        <v>147</v>
      </c>
      <c r="Q21" s="17">
        <f t="shared" si="1"/>
        <v>4.101</v>
      </c>
      <c r="R21" s="9"/>
    </row>
    <row r="22" spans="1:18">
      <c r="A22" s="2"/>
      <c r="B22" s="10">
        <f t="shared" si="0"/>
        <v>20</v>
      </c>
      <c r="C22" s="11" t="s">
        <v>17</v>
      </c>
      <c r="D22" s="12" t="s">
        <v>148</v>
      </c>
      <c r="E22" s="12" t="s">
        <v>149</v>
      </c>
      <c r="F22" s="12" t="s">
        <v>38</v>
      </c>
      <c r="G22" s="12" t="s">
        <v>150</v>
      </c>
      <c r="H22" s="12" t="s">
        <v>31</v>
      </c>
      <c r="I22" s="12" t="s">
        <v>23</v>
      </c>
      <c r="J22" s="12" t="s">
        <v>151</v>
      </c>
      <c r="K22" s="12" t="s">
        <v>25</v>
      </c>
      <c r="L22" s="12">
        <v>1</v>
      </c>
      <c r="M22" s="9">
        <f t="shared" si="2"/>
        <v>10</v>
      </c>
      <c r="N22" s="12">
        <v>10</v>
      </c>
      <c r="O22" s="18" t="s">
        <v>26</v>
      </c>
      <c r="P22" s="19" t="s">
        <v>152</v>
      </c>
      <c r="Q22" s="19">
        <f t="shared" si="1"/>
        <v>1.4359999999999999</v>
      </c>
      <c r="R22" s="12"/>
    </row>
    <row r="23" spans="1:18">
      <c r="A23" s="2"/>
      <c r="B23" s="7">
        <f t="shared" si="0"/>
        <v>21</v>
      </c>
      <c r="C23" s="11" t="s">
        <v>17</v>
      </c>
      <c r="D23" s="9" t="s">
        <v>153</v>
      </c>
      <c r="E23" s="9" t="s">
        <v>154</v>
      </c>
      <c r="F23" s="9" t="s">
        <v>46</v>
      </c>
      <c r="G23" s="9" t="s">
        <v>155</v>
      </c>
      <c r="H23" s="9" t="s">
        <v>156</v>
      </c>
      <c r="I23" s="12" t="s">
        <v>23</v>
      </c>
      <c r="J23" s="9" t="s">
        <v>157</v>
      </c>
      <c r="K23" s="9" t="s">
        <v>33</v>
      </c>
      <c r="L23" s="9">
        <v>1</v>
      </c>
      <c r="M23" s="9">
        <f t="shared" si="2"/>
        <v>10</v>
      </c>
      <c r="N23" s="9" t="s">
        <v>34</v>
      </c>
      <c r="O23" s="18" t="s">
        <v>26</v>
      </c>
      <c r="P23" s="17" t="s">
        <v>158</v>
      </c>
      <c r="Q23" s="17">
        <f t="shared" si="1"/>
        <v>0.23</v>
      </c>
      <c r="R23" s="9"/>
    </row>
    <row r="24" spans="1:18">
      <c r="A24" s="2"/>
      <c r="B24" s="10">
        <f t="shared" si="0"/>
        <v>22</v>
      </c>
      <c r="C24" s="11" t="s">
        <v>17</v>
      </c>
      <c r="D24" s="12" t="s">
        <v>159</v>
      </c>
      <c r="E24" s="12" t="s">
        <v>160</v>
      </c>
      <c r="F24" s="12" t="s">
        <v>38</v>
      </c>
      <c r="G24" s="12" t="s">
        <v>161</v>
      </c>
      <c r="H24" s="12" t="s">
        <v>71</v>
      </c>
      <c r="I24" s="12" t="s">
        <v>23</v>
      </c>
      <c r="J24" s="12" t="s">
        <v>162</v>
      </c>
      <c r="K24" s="12" t="s">
        <v>25</v>
      </c>
      <c r="L24" s="12">
        <v>1</v>
      </c>
      <c r="M24" s="9">
        <f t="shared" si="2"/>
        <v>10</v>
      </c>
      <c r="N24" s="12">
        <v>10</v>
      </c>
      <c r="O24" s="18" t="s">
        <v>26</v>
      </c>
      <c r="P24" s="19" t="s">
        <v>163</v>
      </c>
      <c r="Q24" s="19">
        <f t="shared" si="1"/>
        <v>8.4380000000000006</v>
      </c>
      <c r="R24" s="12"/>
    </row>
    <row r="25" spans="1:18">
      <c r="A25" s="2"/>
      <c r="B25" s="7">
        <f t="shared" si="0"/>
        <v>23</v>
      </c>
      <c r="C25" s="11" t="s">
        <v>17</v>
      </c>
      <c r="D25" s="9" t="s">
        <v>164</v>
      </c>
      <c r="E25" s="9" t="s">
        <v>165</v>
      </c>
      <c r="F25" s="9" t="s">
        <v>46</v>
      </c>
      <c r="G25" s="9" t="s">
        <v>166</v>
      </c>
      <c r="H25" s="9" t="s">
        <v>129</v>
      </c>
      <c r="I25" s="12" t="s">
        <v>23</v>
      </c>
      <c r="J25" s="9" t="s">
        <v>167</v>
      </c>
      <c r="K25" s="9" t="s">
        <v>33</v>
      </c>
      <c r="L25" s="9">
        <v>2</v>
      </c>
      <c r="M25" s="9">
        <f t="shared" si="2"/>
        <v>20</v>
      </c>
      <c r="N25" s="9" t="s">
        <v>34</v>
      </c>
      <c r="O25" s="18" t="s">
        <v>26</v>
      </c>
      <c r="P25" s="17" t="s">
        <v>168</v>
      </c>
      <c r="Q25" s="17">
        <f t="shared" si="1"/>
        <v>0.48</v>
      </c>
      <c r="R25" s="9"/>
    </row>
    <row r="26" spans="1:18">
      <c r="A26" s="2"/>
      <c r="B26" s="10">
        <f t="shared" si="0"/>
        <v>24</v>
      </c>
      <c r="C26" s="11" t="s">
        <v>17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173</v>
      </c>
      <c r="I26" s="12" t="s">
        <v>23</v>
      </c>
      <c r="J26" s="12" t="s">
        <v>174</v>
      </c>
      <c r="K26" s="12" t="s">
        <v>175</v>
      </c>
      <c r="L26" s="12">
        <v>1</v>
      </c>
      <c r="M26" s="9">
        <f t="shared" si="2"/>
        <v>10</v>
      </c>
      <c r="N26" s="12">
        <v>10</v>
      </c>
      <c r="O26" s="18" t="s">
        <v>26</v>
      </c>
      <c r="P26" s="19" t="s">
        <v>176</v>
      </c>
      <c r="Q26" s="19">
        <f t="shared" si="1"/>
        <v>17.004999999999999</v>
      </c>
      <c r="R26" s="12"/>
    </row>
    <row r="27" spans="1:18">
      <c r="A27" s="2"/>
      <c r="B27" s="7">
        <f t="shared" si="0"/>
        <v>25</v>
      </c>
      <c r="C27" s="11" t="s">
        <v>17</v>
      </c>
      <c r="D27" s="9" t="s">
        <v>177</v>
      </c>
      <c r="E27" s="9" t="s">
        <v>178</v>
      </c>
      <c r="F27" s="9" t="s">
        <v>179</v>
      </c>
      <c r="G27" s="9" t="s">
        <v>180</v>
      </c>
      <c r="H27" s="9" t="s">
        <v>173</v>
      </c>
      <c r="I27" s="12" t="s">
        <v>23</v>
      </c>
      <c r="J27" s="9" t="s">
        <v>181</v>
      </c>
      <c r="K27" s="9" t="s">
        <v>66</v>
      </c>
      <c r="L27" s="9">
        <v>1</v>
      </c>
      <c r="M27" s="9">
        <f t="shared" si="2"/>
        <v>10</v>
      </c>
      <c r="N27" s="9">
        <v>10</v>
      </c>
      <c r="O27" s="18" t="s">
        <v>26</v>
      </c>
      <c r="P27" s="17" t="s">
        <v>182</v>
      </c>
      <c r="Q27" s="17">
        <f t="shared" si="1"/>
        <v>2.6179999999999999</v>
      </c>
      <c r="R27" s="9"/>
    </row>
    <row r="28" spans="1:18">
      <c r="A28" s="2"/>
      <c r="B28" s="10">
        <f t="shared" si="0"/>
        <v>26</v>
      </c>
      <c r="C28" s="11" t="s">
        <v>17</v>
      </c>
      <c r="D28" s="12" t="s">
        <v>183</v>
      </c>
      <c r="E28" s="12" t="s">
        <v>184</v>
      </c>
      <c r="F28" s="12" t="s">
        <v>46</v>
      </c>
      <c r="G28" s="12" t="s">
        <v>185</v>
      </c>
      <c r="H28" s="12" t="s">
        <v>31</v>
      </c>
      <c r="I28" s="12" t="s">
        <v>23</v>
      </c>
      <c r="J28" s="12" t="s">
        <v>186</v>
      </c>
      <c r="K28" s="12" t="s">
        <v>25</v>
      </c>
      <c r="L28" s="12">
        <v>2</v>
      </c>
      <c r="M28" s="9">
        <f t="shared" si="2"/>
        <v>20</v>
      </c>
      <c r="N28" s="12" t="s">
        <v>113</v>
      </c>
      <c r="O28" s="18" t="s">
        <v>26</v>
      </c>
      <c r="P28" s="19" t="s">
        <v>187</v>
      </c>
      <c r="Q28" s="19">
        <f t="shared" si="1"/>
        <v>0.50800000000000001</v>
      </c>
      <c r="R28" s="12"/>
    </row>
    <row r="29" spans="1:18">
      <c r="A29" s="2"/>
      <c r="B29" s="7">
        <f t="shared" si="0"/>
        <v>27</v>
      </c>
      <c r="C29" s="11" t="s">
        <v>17</v>
      </c>
      <c r="D29" s="9" t="s">
        <v>188</v>
      </c>
      <c r="E29" s="9" t="s">
        <v>189</v>
      </c>
      <c r="F29" s="9" t="s">
        <v>190</v>
      </c>
      <c r="G29" s="9" t="s">
        <v>191</v>
      </c>
      <c r="H29" s="9" t="s">
        <v>129</v>
      </c>
      <c r="I29" s="12" t="s">
        <v>23</v>
      </c>
      <c r="J29" s="9" t="s">
        <v>192</v>
      </c>
      <c r="K29" s="9" t="s">
        <v>33</v>
      </c>
      <c r="L29" s="9">
        <v>1</v>
      </c>
      <c r="M29" s="9">
        <f t="shared" si="2"/>
        <v>10</v>
      </c>
      <c r="N29" s="9" t="s">
        <v>34</v>
      </c>
      <c r="O29" s="18" t="s">
        <v>26</v>
      </c>
      <c r="P29" s="17" t="s">
        <v>193</v>
      </c>
      <c r="Q29" s="17">
        <f t="shared" si="1"/>
        <v>0.44500000000000001</v>
      </c>
      <c r="R29" s="9"/>
    </row>
    <row r="30" spans="1:18">
      <c r="A30" s="2"/>
      <c r="B30" s="10">
        <f t="shared" si="0"/>
        <v>28</v>
      </c>
      <c r="C30" s="11" t="s">
        <v>194</v>
      </c>
      <c r="D30" s="12" t="s">
        <v>195</v>
      </c>
      <c r="E30" s="12" t="s">
        <v>196</v>
      </c>
      <c r="F30" s="9" t="s">
        <v>20</v>
      </c>
      <c r="G30" s="12" t="s">
        <v>197</v>
      </c>
      <c r="H30" s="12" t="s">
        <v>173</v>
      </c>
      <c r="I30" s="12" t="s">
        <v>23</v>
      </c>
      <c r="J30" s="12" t="s">
        <v>23</v>
      </c>
      <c r="K30" s="12" t="s">
        <v>198</v>
      </c>
      <c r="L30" s="12">
        <v>1</v>
      </c>
      <c r="M30" s="9">
        <f t="shared" si="2"/>
        <v>10</v>
      </c>
      <c r="N30" s="12">
        <v>10</v>
      </c>
      <c r="O30" s="20" t="s">
        <v>67</v>
      </c>
      <c r="P30" s="19">
        <v>2.54</v>
      </c>
      <c r="Q30" s="19">
        <f t="shared" si="1"/>
        <v>25.4</v>
      </c>
      <c r="R30" s="12"/>
    </row>
    <row r="31" spans="1:18">
      <c r="A31" s="2"/>
      <c r="B31" s="7">
        <f t="shared" si="0"/>
        <v>29</v>
      </c>
      <c r="C31" s="11" t="s">
        <v>17</v>
      </c>
      <c r="D31" s="9" t="s">
        <v>199</v>
      </c>
      <c r="E31" s="9" t="s">
        <v>200</v>
      </c>
      <c r="F31" s="9" t="s">
        <v>29</v>
      </c>
      <c r="G31" s="9" t="s">
        <v>201</v>
      </c>
      <c r="H31" s="9" t="s">
        <v>71</v>
      </c>
      <c r="I31" s="12" t="s">
        <v>23</v>
      </c>
      <c r="J31" s="9" t="s">
        <v>202</v>
      </c>
      <c r="K31" s="9" t="s">
        <v>203</v>
      </c>
      <c r="L31" s="9">
        <v>2</v>
      </c>
      <c r="M31" s="9">
        <f t="shared" si="2"/>
        <v>20</v>
      </c>
      <c r="N31" s="9">
        <v>20</v>
      </c>
      <c r="O31" s="18" t="s">
        <v>26</v>
      </c>
      <c r="P31" s="17" t="s">
        <v>204</v>
      </c>
      <c r="Q31" s="17">
        <f t="shared" si="1"/>
        <v>34.881999999999998</v>
      </c>
      <c r="R31" s="9"/>
    </row>
    <row r="32" spans="1:18">
      <c r="A32" s="2"/>
      <c r="B32" s="10">
        <f t="shared" si="0"/>
        <v>30</v>
      </c>
      <c r="C32" s="11" t="s">
        <v>17</v>
      </c>
      <c r="D32" s="12" t="s">
        <v>205</v>
      </c>
      <c r="E32" s="12" t="s">
        <v>206</v>
      </c>
      <c r="F32" s="12" t="s">
        <v>38</v>
      </c>
      <c r="G32" s="12" t="s">
        <v>207</v>
      </c>
      <c r="H32" s="12" t="s">
        <v>31</v>
      </c>
      <c r="I32" s="12" t="s">
        <v>23</v>
      </c>
      <c r="J32" s="12" t="s">
        <v>208</v>
      </c>
      <c r="K32" s="12" t="s">
        <v>209</v>
      </c>
      <c r="L32" s="12">
        <v>1</v>
      </c>
      <c r="M32" s="9">
        <f t="shared" si="2"/>
        <v>10</v>
      </c>
      <c r="N32" s="12" t="s">
        <v>34</v>
      </c>
      <c r="O32" s="18" t="s">
        <v>26</v>
      </c>
      <c r="P32" s="19" t="s">
        <v>74</v>
      </c>
      <c r="Q32" s="19">
        <f t="shared" si="1"/>
        <v>0.46</v>
      </c>
      <c r="R32" s="12"/>
    </row>
    <row r="33" spans="1:18">
      <c r="A33" s="2"/>
      <c r="B33" s="7">
        <f t="shared" si="0"/>
        <v>31</v>
      </c>
      <c r="C33" s="8" t="s">
        <v>17</v>
      </c>
      <c r="D33" s="9" t="s">
        <v>210</v>
      </c>
      <c r="E33" s="9" t="s">
        <v>211</v>
      </c>
      <c r="F33" s="9" t="s">
        <v>38</v>
      </c>
      <c r="G33" s="9" t="s">
        <v>212</v>
      </c>
      <c r="H33" s="9" t="s">
        <v>31</v>
      </c>
      <c r="I33" s="12" t="s">
        <v>23</v>
      </c>
      <c r="J33" s="9" t="s">
        <v>213</v>
      </c>
      <c r="K33" s="9" t="s">
        <v>214</v>
      </c>
      <c r="L33" s="9">
        <v>1</v>
      </c>
      <c r="M33" s="9">
        <f t="shared" si="2"/>
        <v>10</v>
      </c>
      <c r="N33" s="9" t="s">
        <v>42</v>
      </c>
      <c r="O33" s="18" t="s">
        <v>26</v>
      </c>
      <c r="P33" s="17" t="s">
        <v>94</v>
      </c>
      <c r="Q33" s="17">
        <f t="shared" si="1"/>
        <v>0.26</v>
      </c>
      <c r="R33" s="9"/>
    </row>
    <row r="34" spans="1:18">
      <c r="A34" s="2"/>
      <c r="B34" s="10">
        <f t="shared" si="0"/>
        <v>32</v>
      </c>
      <c r="C34" s="11" t="s">
        <v>17</v>
      </c>
      <c r="D34" s="12" t="s">
        <v>215</v>
      </c>
      <c r="E34" s="12" t="s">
        <v>216</v>
      </c>
      <c r="F34" s="12" t="s">
        <v>38</v>
      </c>
      <c r="G34" s="12" t="s">
        <v>217</v>
      </c>
      <c r="H34" s="12" t="s">
        <v>31</v>
      </c>
      <c r="I34" s="12" t="s">
        <v>23</v>
      </c>
      <c r="J34" s="12" t="s">
        <v>218</v>
      </c>
      <c r="K34" s="12" t="s">
        <v>139</v>
      </c>
      <c r="L34" s="12">
        <v>2</v>
      </c>
      <c r="M34" s="9">
        <f t="shared" si="2"/>
        <v>20</v>
      </c>
      <c r="N34" s="12">
        <v>20</v>
      </c>
      <c r="O34" s="18" t="s">
        <v>26</v>
      </c>
      <c r="P34" s="19" t="s">
        <v>219</v>
      </c>
      <c r="Q34" s="19">
        <f t="shared" si="1"/>
        <v>0.78600000000000003</v>
      </c>
      <c r="R34" s="12"/>
    </row>
    <row r="35" spans="1:18">
      <c r="A35" s="2"/>
      <c r="B35" s="7">
        <f t="shared" ref="B35:B66" si="3">ROW(B35)-ROW($B$2)</f>
        <v>33</v>
      </c>
      <c r="C35" s="8" t="s">
        <v>17</v>
      </c>
      <c r="D35" s="9" t="s">
        <v>220</v>
      </c>
      <c r="E35" s="9" t="s">
        <v>221</v>
      </c>
      <c r="F35" s="9" t="s">
        <v>46</v>
      </c>
      <c r="G35" s="9" t="s">
        <v>222</v>
      </c>
      <c r="H35" s="9" t="s">
        <v>129</v>
      </c>
      <c r="I35" s="12" t="s">
        <v>23</v>
      </c>
      <c r="J35" s="9" t="s">
        <v>223</v>
      </c>
      <c r="K35" s="9" t="s">
        <v>224</v>
      </c>
      <c r="L35" s="9">
        <v>2</v>
      </c>
      <c r="M35" s="9">
        <f t="shared" si="2"/>
        <v>20</v>
      </c>
      <c r="N35" s="9" t="s">
        <v>34</v>
      </c>
      <c r="O35" s="18" t="s">
        <v>26</v>
      </c>
      <c r="P35" s="17" t="s">
        <v>225</v>
      </c>
      <c r="Q35" s="17">
        <f t="shared" si="1"/>
        <v>0.89500000000000002</v>
      </c>
      <c r="R35" s="9"/>
    </row>
    <row r="36" spans="1:18">
      <c r="A36" s="2"/>
      <c r="B36" s="10">
        <f t="shared" si="3"/>
        <v>34</v>
      </c>
      <c r="C36" s="11" t="s">
        <v>17</v>
      </c>
      <c r="D36" s="12" t="s">
        <v>226</v>
      </c>
      <c r="E36" s="12" t="s">
        <v>227</v>
      </c>
      <c r="F36" s="12" t="s">
        <v>38</v>
      </c>
      <c r="G36" s="12" t="s">
        <v>228</v>
      </c>
      <c r="H36" s="12" t="s">
        <v>31</v>
      </c>
      <c r="I36" s="12" t="s">
        <v>23</v>
      </c>
      <c r="J36" s="12" t="s">
        <v>229</v>
      </c>
      <c r="K36" s="12" t="s">
        <v>119</v>
      </c>
      <c r="L36" s="12">
        <v>1</v>
      </c>
      <c r="M36" s="9">
        <f t="shared" ref="M36:M67" si="4">L36*10</f>
        <v>10</v>
      </c>
      <c r="N36" s="12" t="s">
        <v>42</v>
      </c>
      <c r="O36" s="18" t="s">
        <v>26</v>
      </c>
      <c r="P36" s="19" t="s">
        <v>230</v>
      </c>
      <c r="Q36" s="19">
        <f t="shared" si="1"/>
        <v>0.34</v>
      </c>
      <c r="R36" s="12"/>
    </row>
    <row r="37" spans="1:18">
      <c r="A37" s="2"/>
      <c r="B37" s="7">
        <f t="shared" si="3"/>
        <v>35</v>
      </c>
      <c r="C37" s="11" t="s">
        <v>17</v>
      </c>
      <c r="D37" s="9" t="s">
        <v>231</v>
      </c>
      <c r="E37" s="9" t="s">
        <v>232</v>
      </c>
      <c r="F37" s="9" t="s">
        <v>46</v>
      </c>
      <c r="G37" s="9" t="s">
        <v>233</v>
      </c>
      <c r="H37" s="9" t="s">
        <v>31</v>
      </c>
      <c r="I37" s="12" t="s">
        <v>23</v>
      </c>
      <c r="J37" s="9" t="s">
        <v>234</v>
      </c>
      <c r="K37" s="9" t="s">
        <v>33</v>
      </c>
      <c r="L37" s="9">
        <v>3</v>
      </c>
      <c r="M37" s="9">
        <f t="shared" si="4"/>
        <v>30</v>
      </c>
      <c r="N37" s="9" t="s">
        <v>42</v>
      </c>
      <c r="O37" s="18" t="s">
        <v>26</v>
      </c>
      <c r="P37" s="17" t="s">
        <v>235</v>
      </c>
      <c r="Q37" s="17">
        <f t="shared" si="1"/>
        <v>0.15</v>
      </c>
      <c r="R37" s="9"/>
    </row>
    <row r="38" spans="1:18">
      <c r="A38" s="2"/>
      <c r="B38" s="10">
        <f t="shared" si="3"/>
        <v>36</v>
      </c>
      <c r="C38" s="11" t="s">
        <v>17</v>
      </c>
      <c r="D38" s="12" t="s">
        <v>236</v>
      </c>
      <c r="E38" s="12" t="s">
        <v>237</v>
      </c>
      <c r="F38" s="12" t="s">
        <v>135</v>
      </c>
      <c r="G38" s="12" t="s">
        <v>238</v>
      </c>
      <c r="H38" s="12" t="s">
        <v>239</v>
      </c>
      <c r="I38" s="12" t="s">
        <v>23</v>
      </c>
      <c r="J38" s="12" t="s">
        <v>240</v>
      </c>
      <c r="K38" s="12" t="s">
        <v>25</v>
      </c>
      <c r="L38" s="12">
        <v>1</v>
      </c>
      <c r="M38" s="9">
        <f t="shared" si="4"/>
        <v>10</v>
      </c>
      <c r="N38" s="12" t="s">
        <v>131</v>
      </c>
      <c r="O38" s="18" t="s">
        <v>26</v>
      </c>
      <c r="P38" s="19" t="s">
        <v>241</v>
      </c>
      <c r="Q38" s="19">
        <f t="shared" si="1"/>
        <v>0.53500000000000003</v>
      </c>
      <c r="R38" s="12"/>
    </row>
    <row r="39" spans="1:18">
      <c r="A39" s="2"/>
      <c r="B39" s="7">
        <f t="shared" si="3"/>
        <v>37</v>
      </c>
      <c r="C39" s="11" t="s">
        <v>17</v>
      </c>
      <c r="D39" s="9" t="s">
        <v>242</v>
      </c>
      <c r="E39" s="9" t="s">
        <v>243</v>
      </c>
      <c r="F39" s="9" t="s">
        <v>46</v>
      </c>
      <c r="G39" s="9" t="s">
        <v>244</v>
      </c>
      <c r="H39" s="9" t="s">
        <v>31</v>
      </c>
      <c r="I39" s="12" t="s">
        <v>23</v>
      </c>
      <c r="J39" s="9" t="s">
        <v>245</v>
      </c>
      <c r="K39" s="9" t="s">
        <v>41</v>
      </c>
      <c r="L39" s="9">
        <v>1</v>
      </c>
      <c r="M39" s="9">
        <f t="shared" si="4"/>
        <v>10</v>
      </c>
      <c r="N39" s="9" t="s">
        <v>42</v>
      </c>
      <c r="O39" s="18" t="s">
        <v>26</v>
      </c>
      <c r="P39" s="17" t="s">
        <v>246</v>
      </c>
      <c r="Q39" s="17">
        <f t="shared" si="1"/>
        <v>0.74</v>
      </c>
      <c r="R39" s="9"/>
    </row>
    <row r="40" spans="1:18">
      <c r="A40" s="2"/>
      <c r="B40" s="10">
        <f t="shared" si="3"/>
        <v>38</v>
      </c>
      <c r="C40" s="11" t="s">
        <v>17</v>
      </c>
      <c r="D40" s="12" t="s">
        <v>247</v>
      </c>
      <c r="E40" s="12" t="s">
        <v>248</v>
      </c>
      <c r="F40" s="12" t="s">
        <v>135</v>
      </c>
      <c r="G40" s="12" t="s">
        <v>249</v>
      </c>
      <c r="H40" s="12" t="s">
        <v>31</v>
      </c>
      <c r="I40" s="12" t="s">
        <v>23</v>
      </c>
      <c r="J40" s="12" t="s">
        <v>250</v>
      </c>
      <c r="K40" s="12" t="s">
        <v>25</v>
      </c>
      <c r="L40" s="12">
        <v>1</v>
      </c>
      <c r="M40" s="9">
        <f t="shared" si="4"/>
        <v>10</v>
      </c>
      <c r="N40" s="12" t="s">
        <v>113</v>
      </c>
      <c r="O40" s="18" t="s">
        <v>26</v>
      </c>
      <c r="P40" s="19" t="s">
        <v>251</v>
      </c>
      <c r="Q40" s="19">
        <f t="shared" si="1"/>
        <v>0.59199999999999997</v>
      </c>
      <c r="R40" s="12"/>
    </row>
    <row r="41" spans="1:18" ht="36">
      <c r="A41" s="2"/>
      <c r="B41" s="7">
        <f t="shared" si="3"/>
        <v>39</v>
      </c>
      <c r="C41" s="8" t="s">
        <v>252</v>
      </c>
      <c r="D41" s="9" t="s">
        <v>253</v>
      </c>
      <c r="E41" s="9" t="s">
        <v>254</v>
      </c>
      <c r="F41" s="9" t="s">
        <v>255</v>
      </c>
      <c r="G41" s="9" t="s">
        <v>256</v>
      </c>
      <c r="H41" s="9" t="s">
        <v>257</v>
      </c>
      <c r="I41" s="12" t="s">
        <v>23</v>
      </c>
      <c r="J41" s="9" t="s">
        <v>258</v>
      </c>
      <c r="K41" s="9" t="s">
        <v>23</v>
      </c>
      <c r="L41" s="9">
        <v>1</v>
      </c>
      <c r="M41" s="9">
        <f t="shared" si="4"/>
        <v>10</v>
      </c>
      <c r="N41" s="9" t="s">
        <v>106</v>
      </c>
      <c r="O41" s="18" t="s">
        <v>26</v>
      </c>
      <c r="P41" s="17" t="s">
        <v>259</v>
      </c>
      <c r="Q41" s="17">
        <f t="shared" si="1"/>
        <v>0.84</v>
      </c>
      <c r="R41" s="9"/>
    </row>
    <row r="42" spans="1:18">
      <c r="A42" s="2"/>
      <c r="B42" s="10">
        <f t="shared" si="3"/>
        <v>40</v>
      </c>
      <c r="C42" s="11" t="s">
        <v>260</v>
      </c>
      <c r="D42" s="12" t="s">
        <v>261</v>
      </c>
      <c r="E42" s="12" t="s">
        <v>262</v>
      </c>
      <c r="F42" s="12" t="s">
        <v>255</v>
      </c>
      <c r="G42" s="12" t="s">
        <v>263</v>
      </c>
      <c r="H42" s="12" t="s">
        <v>264</v>
      </c>
      <c r="I42" s="12" t="s">
        <v>23</v>
      </c>
      <c r="J42" s="12" t="s">
        <v>265</v>
      </c>
      <c r="K42" s="9" t="s">
        <v>23</v>
      </c>
      <c r="L42" s="12">
        <v>1</v>
      </c>
      <c r="M42" s="9">
        <f t="shared" si="4"/>
        <v>10</v>
      </c>
      <c r="N42" s="12" t="s">
        <v>131</v>
      </c>
      <c r="O42" s="18" t="s">
        <v>26</v>
      </c>
      <c r="P42" s="19" t="s">
        <v>266</v>
      </c>
      <c r="Q42" s="19">
        <f t="shared" si="1"/>
        <v>1.7110000000000001</v>
      </c>
      <c r="R42" s="12"/>
    </row>
    <row r="43" spans="1:18" ht="24">
      <c r="A43" s="2"/>
      <c r="B43" s="7">
        <f t="shared" si="3"/>
        <v>41</v>
      </c>
      <c r="C43" s="8" t="s">
        <v>252</v>
      </c>
      <c r="D43" s="9" t="s">
        <v>267</v>
      </c>
      <c r="E43" s="9" t="s">
        <v>268</v>
      </c>
      <c r="F43" s="9" t="s">
        <v>269</v>
      </c>
      <c r="G43" s="9" t="s">
        <v>270</v>
      </c>
      <c r="H43" s="9" t="s">
        <v>271</v>
      </c>
      <c r="I43" s="12" t="s">
        <v>23</v>
      </c>
      <c r="J43" s="9" t="s">
        <v>272</v>
      </c>
      <c r="K43" s="9" t="s">
        <v>23</v>
      </c>
      <c r="L43" s="9">
        <v>2</v>
      </c>
      <c r="M43" s="9">
        <f t="shared" si="4"/>
        <v>20</v>
      </c>
      <c r="N43" s="9">
        <v>20</v>
      </c>
      <c r="O43" s="18" t="s">
        <v>26</v>
      </c>
      <c r="P43" s="17" t="s">
        <v>273</v>
      </c>
      <c r="Q43" s="17">
        <f t="shared" si="1"/>
        <v>0.77400000000000002</v>
      </c>
      <c r="R43" s="9"/>
    </row>
    <row r="44" spans="1:18" ht="24">
      <c r="A44" s="2"/>
      <c r="B44" s="10">
        <f t="shared" si="3"/>
        <v>42</v>
      </c>
      <c r="C44" s="11" t="s">
        <v>252</v>
      </c>
      <c r="D44" s="12" t="s">
        <v>274</v>
      </c>
      <c r="E44" s="12" t="s">
        <v>275</v>
      </c>
      <c r="F44" s="12" t="s">
        <v>276</v>
      </c>
      <c r="G44" s="12" t="s">
        <v>277</v>
      </c>
      <c r="H44" s="12" t="s">
        <v>278</v>
      </c>
      <c r="I44" s="12" t="s">
        <v>23</v>
      </c>
      <c r="J44" s="12" t="s">
        <v>279</v>
      </c>
      <c r="K44" s="9" t="s">
        <v>23</v>
      </c>
      <c r="L44" s="12">
        <v>1</v>
      </c>
      <c r="M44" s="9">
        <f t="shared" si="4"/>
        <v>10</v>
      </c>
      <c r="N44" s="12" t="s">
        <v>131</v>
      </c>
      <c r="O44" s="18" t="s">
        <v>26</v>
      </c>
      <c r="P44" s="19" t="s">
        <v>280</v>
      </c>
      <c r="Q44" s="19">
        <f t="shared" si="1"/>
        <v>0.82</v>
      </c>
      <c r="R44" s="12"/>
    </row>
    <row r="45" spans="1:18" ht="36">
      <c r="A45" s="2"/>
      <c r="B45" s="7">
        <f t="shared" si="3"/>
        <v>43</v>
      </c>
      <c r="C45" s="8" t="s">
        <v>252</v>
      </c>
      <c r="D45" s="9" t="s">
        <v>281</v>
      </c>
      <c r="E45" s="9" t="s">
        <v>282</v>
      </c>
      <c r="F45" s="9" t="s">
        <v>283</v>
      </c>
      <c r="G45" s="9" t="s">
        <v>284</v>
      </c>
      <c r="H45" s="9" t="s">
        <v>285</v>
      </c>
      <c r="I45" s="12" t="s">
        <v>23</v>
      </c>
      <c r="J45" s="9" t="s">
        <v>286</v>
      </c>
      <c r="K45" s="9" t="s">
        <v>23</v>
      </c>
      <c r="L45" s="9">
        <v>2</v>
      </c>
      <c r="M45" s="9">
        <f t="shared" si="4"/>
        <v>20</v>
      </c>
      <c r="N45" s="9">
        <v>20</v>
      </c>
      <c r="O45" s="18" t="s">
        <v>26</v>
      </c>
      <c r="P45" s="17" t="s">
        <v>287</v>
      </c>
      <c r="Q45" s="17">
        <f t="shared" si="1"/>
        <v>0.89600000000000002</v>
      </c>
      <c r="R45" s="9"/>
    </row>
    <row r="46" spans="1:18" ht="36">
      <c r="A46" s="2"/>
      <c r="B46" s="10">
        <f t="shared" si="3"/>
        <v>44</v>
      </c>
      <c r="C46" s="11" t="s">
        <v>252</v>
      </c>
      <c r="D46" s="12" t="s">
        <v>288</v>
      </c>
      <c r="E46" s="12" t="s">
        <v>289</v>
      </c>
      <c r="F46" s="12" t="s">
        <v>290</v>
      </c>
      <c r="G46" s="12" t="s">
        <v>291</v>
      </c>
      <c r="H46" s="12" t="s">
        <v>292</v>
      </c>
      <c r="I46" s="12" t="s">
        <v>23</v>
      </c>
      <c r="J46" s="12" t="s">
        <v>293</v>
      </c>
      <c r="K46" s="9" t="s">
        <v>23</v>
      </c>
      <c r="L46" s="12">
        <v>1</v>
      </c>
      <c r="M46" s="9">
        <f t="shared" si="4"/>
        <v>10</v>
      </c>
      <c r="N46" s="12" t="s">
        <v>131</v>
      </c>
      <c r="O46" s="18" t="s">
        <v>26</v>
      </c>
      <c r="P46" s="19" t="s">
        <v>294</v>
      </c>
      <c r="Q46" s="19">
        <f t="shared" si="1"/>
        <v>0.58699999999999997</v>
      </c>
      <c r="R46" s="12"/>
    </row>
    <row r="47" spans="1:18">
      <c r="A47" s="2"/>
      <c r="B47" s="7">
        <f t="shared" si="3"/>
        <v>45</v>
      </c>
      <c r="C47" s="8" t="s">
        <v>252</v>
      </c>
      <c r="D47" s="9" t="s">
        <v>295</v>
      </c>
      <c r="E47" s="9" t="s">
        <v>296</v>
      </c>
      <c r="F47" s="9" t="s">
        <v>290</v>
      </c>
      <c r="G47" s="9" t="s">
        <v>297</v>
      </c>
      <c r="H47" s="9" t="s">
        <v>298</v>
      </c>
      <c r="I47" s="12" t="s">
        <v>23</v>
      </c>
      <c r="J47" s="9" t="s">
        <v>299</v>
      </c>
      <c r="K47" s="9" t="s">
        <v>23</v>
      </c>
      <c r="L47" s="9">
        <v>1</v>
      </c>
      <c r="M47" s="9">
        <f t="shared" si="4"/>
        <v>10</v>
      </c>
      <c r="N47" s="9" t="s">
        <v>131</v>
      </c>
      <c r="O47" s="18" t="s">
        <v>26</v>
      </c>
      <c r="P47" s="17" t="s">
        <v>300</v>
      </c>
      <c r="Q47" s="17">
        <f t="shared" si="1"/>
        <v>0.36199999999999999</v>
      </c>
      <c r="R47" s="9"/>
    </row>
    <row r="48" spans="1:18" ht="24">
      <c r="A48" s="2"/>
      <c r="B48" s="10">
        <f t="shared" si="3"/>
        <v>46</v>
      </c>
      <c r="C48" s="11" t="s">
        <v>252</v>
      </c>
      <c r="D48" s="12" t="s">
        <v>301</v>
      </c>
      <c r="E48" s="12" t="s">
        <v>302</v>
      </c>
      <c r="F48" s="12" t="s">
        <v>303</v>
      </c>
      <c r="G48" s="12" t="s">
        <v>304</v>
      </c>
      <c r="H48" s="12" t="s">
        <v>305</v>
      </c>
      <c r="I48" s="12" t="s">
        <v>23</v>
      </c>
      <c r="J48" s="12" t="s">
        <v>306</v>
      </c>
      <c r="K48" s="9" t="s">
        <v>23</v>
      </c>
      <c r="L48" s="12">
        <v>2</v>
      </c>
      <c r="M48" s="9">
        <f t="shared" si="4"/>
        <v>20</v>
      </c>
      <c r="N48" s="12" t="s">
        <v>34</v>
      </c>
      <c r="O48" s="18" t="s">
        <v>26</v>
      </c>
      <c r="P48" s="19" t="s">
        <v>307</v>
      </c>
      <c r="Q48" s="19">
        <f t="shared" si="1"/>
        <v>0.80500000000000005</v>
      </c>
      <c r="R48" s="12"/>
    </row>
    <row r="49" spans="1:18" ht="36">
      <c r="A49" s="2"/>
      <c r="B49" s="7">
        <f t="shared" si="3"/>
        <v>47</v>
      </c>
      <c r="C49" s="8" t="s">
        <v>252</v>
      </c>
      <c r="D49" s="9" t="s">
        <v>308</v>
      </c>
      <c r="E49" s="9" t="s">
        <v>309</v>
      </c>
      <c r="F49" s="9" t="s">
        <v>310</v>
      </c>
      <c r="G49" s="9" t="s">
        <v>311</v>
      </c>
      <c r="H49" s="9" t="s">
        <v>298</v>
      </c>
      <c r="I49" s="12" t="s">
        <v>23</v>
      </c>
      <c r="J49" s="9" t="s">
        <v>312</v>
      </c>
      <c r="K49" s="9" t="s">
        <v>23</v>
      </c>
      <c r="L49" s="9">
        <v>1</v>
      </c>
      <c r="M49" s="9">
        <f t="shared" si="4"/>
        <v>10</v>
      </c>
      <c r="N49" s="9">
        <v>10</v>
      </c>
      <c r="O49" s="18" t="s">
        <v>26</v>
      </c>
      <c r="P49" s="17" t="s">
        <v>313</v>
      </c>
      <c r="Q49" s="17">
        <f t="shared" si="1"/>
        <v>1.579</v>
      </c>
      <c r="R49" s="9"/>
    </row>
    <row r="50" spans="1:18" ht="36">
      <c r="A50" s="2"/>
      <c r="B50" s="10">
        <f t="shared" si="3"/>
        <v>48</v>
      </c>
      <c r="C50" s="11" t="s">
        <v>305</v>
      </c>
      <c r="D50" s="12" t="s">
        <v>314</v>
      </c>
      <c r="E50" s="12" t="s">
        <v>315</v>
      </c>
      <c r="F50" s="12" t="s">
        <v>316</v>
      </c>
      <c r="G50" s="12" t="s">
        <v>317</v>
      </c>
      <c r="H50" s="12" t="s">
        <v>285</v>
      </c>
      <c r="I50" s="12" t="s">
        <v>23</v>
      </c>
      <c r="J50" s="12" t="s">
        <v>318</v>
      </c>
      <c r="K50" s="9" t="s">
        <v>23</v>
      </c>
      <c r="L50" s="12">
        <v>2</v>
      </c>
      <c r="M50" s="9">
        <f t="shared" si="4"/>
        <v>20</v>
      </c>
      <c r="N50" s="12">
        <v>20</v>
      </c>
      <c r="O50" s="18" t="s">
        <v>26</v>
      </c>
      <c r="P50" s="19" t="s">
        <v>319</v>
      </c>
      <c r="Q50" s="19">
        <f t="shared" si="1"/>
        <v>18.364000000000001</v>
      </c>
      <c r="R50" s="12"/>
    </row>
    <row r="51" spans="1:18" ht="24">
      <c r="A51" s="2"/>
      <c r="B51" s="7">
        <f t="shared" si="3"/>
        <v>49</v>
      </c>
      <c r="C51" s="8" t="s">
        <v>252</v>
      </c>
      <c r="D51" s="9" t="s">
        <v>320</v>
      </c>
      <c r="E51" s="9" t="s">
        <v>321</v>
      </c>
      <c r="F51" s="9" t="s">
        <v>322</v>
      </c>
      <c r="G51" s="9" t="s">
        <v>323</v>
      </c>
      <c r="H51" s="9" t="s">
        <v>324</v>
      </c>
      <c r="I51" s="12" t="s">
        <v>23</v>
      </c>
      <c r="J51" s="9" t="s">
        <v>325</v>
      </c>
      <c r="K51" s="9" t="s">
        <v>23</v>
      </c>
      <c r="L51" s="9">
        <v>1</v>
      </c>
      <c r="M51" s="9">
        <f t="shared" si="4"/>
        <v>10</v>
      </c>
      <c r="N51" s="9">
        <v>10</v>
      </c>
      <c r="O51" s="18" t="s">
        <v>26</v>
      </c>
      <c r="P51" s="17" t="s">
        <v>326</v>
      </c>
      <c r="Q51" s="17">
        <f t="shared" si="1"/>
        <v>0.85699999999999998</v>
      </c>
      <c r="R51" s="9"/>
    </row>
    <row r="52" spans="1:18" ht="84">
      <c r="A52" s="2"/>
      <c r="B52" s="10">
        <f t="shared" si="3"/>
        <v>50</v>
      </c>
      <c r="C52" s="11" t="s">
        <v>327</v>
      </c>
      <c r="D52" s="12" t="s">
        <v>328</v>
      </c>
      <c r="E52" s="12" t="s">
        <v>329</v>
      </c>
      <c r="F52" s="12" t="s">
        <v>330</v>
      </c>
      <c r="G52" s="12" t="s">
        <v>331</v>
      </c>
      <c r="H52" s="12" t="s">
        <v>332</v>
      </c>
      <c r="I52" s="12" t="s">
        <v>23</v>
      </c>
      <c r="J52" s="12" t="s">
        <v>333</v>
      </c>
      <c r="K52" s="9" t="s">
        <v>23</v>
      </c>
      <c r="L52" s="12">
        <v>42</v>
      </c>
      <c r="M52" s="9">
        <f t="shared" si="4"/>
        <v>420</v>
      </c>
      <c r="N52" s="12">
        <v>450</v>
      </c>
      <c r="O52" s="18" t="s">
        <v>26</v>
      </c>
      <c r="P52" s="19" t="s">
        <v>335</v>
      </c>
      <c r="Q52" s="19">
        <f t="shared" si="1"/>
        <v>3.96</v>
      </c>
      <c r="R52" s="12"/>
    </row>
    <row r="53" spans="1:18" ht="36">
      <c r="A53" s="2"/>
      <c r="B53" s="7">
        <f t="shared" si="3"/>
        <v>51</v>
      </c>
      <c r="C53" s="8" t="s">
        <v>252</v>
      </c>
      <c r="D53" s="9" t="s">
        <v>336</v>
      </c>
      <c r="E53" s="9" t="s">
        <v>337</v>
      </c>
      <c r="F53" s="9" t="s">
        <v>338</v>
      </c>
      <c r="G53" s="9" t="s">
        <v>339</v>
      </c>
      <c r="H53" s="9" t="s">
        <v>340</v>
      </c>
      <c r="I53" s="12" t="s">
        <v>23</v>
      </c>
      <c r="J53" s="9" t="s">
        <v>341</v>
      </c>
      <c r="K53" s="9" t="s">
        <v>23</v>
      </c>
      <c r="L53" s="9">
        <v>1</v>
      </c>
      <c r="M53" s="9">
        <f t="shared" si="4"/>
        <v>10</v>
      </c>
      <c r="N53" s="9" t="s">
        <v>34</v>
      </c>
      <c r="O53" s="18" t="s">
        <v>26</v>
      </c>
      <c r="P53" s="17" t="s">
        <v>342</v>
      </c>
      <c r="Q53" s="17">
        <f t="shared" si="1"/>
        <v>0.435</v>
      </c>
      <c r="R53" s="9"/>
    </row>
    <row r="54" spans="1:18">
      <c r="A54" s="2"/>
      <c r="B54" s="10">
        <f t="shared" si="3"/>
        <v>52</v>
      </c>
      <c r="C54" s="11" t="s">
        <v>252</v>
      </c>
      <c r="D54" s="12" t="s">
        <v>343</v>
      </c>
      <c r="E54" s="12" t="s">
        <v>344</v>
      </c>
      <c r="F54" s="12" t="s">
        <v>345</v>
      </c>
      <c r="G54" s="12" t="s">
        <v>346</v>
      </c>
      <c r="H54" s="12" t="s">
        <v>347</v>
      </c>
      <c r="I54" s="12" t="s">
        <v>23</v>
      </c>
      <c r="J54" s="12" t="s">
        <v>348</v>
      </c>
      <c r="K54" s="9" t="s">
        <v>23</v>
      </c>
      <c r="L54" s="12">
        <v>2</v>
      </c>
      <c r="M54" s="9">
        <f t="shared" si="4"/>
        <v>20</v>
      </c>
      <c r="N54" s="12">
        <v>20</v>
      </c>
      <c r="O54" s="18" t="s">
        <v>26</v>
      </c>
      <c r="P54" s="19" t="s">
        <v>349</v>
      </c>
      <c r="Q54" s="19">
        <f t="shared" si="1"/>
        <v>0.79400000000000004</v>
      </c>
      <c r="R54" s="12"/>
    </row>
    <row r="55" spans="1:18" ht="24">
      <c r="A55" s="2"/>
      <c r="B55" s="7">
        <f t="shared" si="3"/>
        <v>53</v>
      </c>
      <c r="C55" s="8" t="s">
        <v>350</v>
      </c>
      <c r="D55" s="9" t="s">
        <v>351</v>
      </c>
      <c r="E55" s="9" t="s">
        <v>352</v>
      </c>
      <c r="F55" s="9" t="s">
        <v>290</v>
      </c>
      <c r="G55" s="9" t="s">
        <v>353</v>
      </c>
      <c r="H55" s="9" t="s">
        <v>354</v>
      </c>
      <c r="I55" s="12" t="s">
        <v>23</v>
      </c>
      <c r="J55" s="9" t="s">
        <v>355</v>
      </c>
      <c r="K55" s="9" t="s">
        <v>23</v>
      </c>
      <c r="L55" s="9">
        <v>1</v>
      </c>
      <c r="M55" s="9">
        <f t="shared" si="4"/>
        <v>10</v>
      </c>
      <c r="N55" s="9">
        <v>10</v>
      </c>
      <c r="O55" s="18" t="s">
        <v>26</v>
      </c>
      <c r="P55" s="17" t="s">
        <v>356</v>
      </c>
      <c r="Q55" s="17">
        <f t="shared" si="1"/>
        <v>0.95</v>
      </c>
      <c r="R55" s="9"/>
    </row>
    <row r="56" spans="1:18">
      <c r="A56" s="2"/>
      <c r="B56" s="10">
        <f t="shared" si="3"/>
        <v>54</v>
      </c>
      <c r="C56" s="11" t="s">
        <v>252</v>
      </c>
      <c r="D56" s="12" t="s">
        <v>357</v>
      </c>
      <c r="E56" s="12" t="s">
        <v>358</v>
      </c>
      <c r="F56" s="12" t="s">
        <v>303</v>
      </c>
      <c r="G56" s="12" t="s">
        <v>359</v>
      </c>
      <c r="H56" s="12" t="s">
        <v>305</v>
      </c>
      <c r="I56" s="12" t="s">
        <v>23</v>
      </c>
      <c r="J56" s="12" t="s">
        <v>360</v>
      </c>
      <c r="K56" s="9" t="s">
        <v>23</v>
      </c>
      <c r="L56" s="12">
        <v>1</v>
      </c>
      <c r="M56" s="9">
        <f t="shared" si="4"/>
        <v>10</v>
      </c>
      <c r="N56" s="12" t="s">
        <v>113</v>
      </c>
      <c r="O56" s="18" t="s">
        <v>26</v>
      </c>
      <c r="P56" s="19" t="s">
        <v>361</v>
      </c>
      <c r="Q56" s="19">
        <f t="shared" si="1"/>
        <v>0.54</v>
      </c>
      <c r="R56" s="12"/>
    </row>
    <row r="57" spans="1:18" ht="36">
      <c r="A57" s="2"/>
      <c r="B57" s="7">
        <f t="shared" si="3"/>
        <v>55</v>
      </c>
      <c r="C57" s="8" t="s">
        <v>362</v>
      </c>
      <c r="D57" s="9" t="s">
        <v>363</v>
      </c>
      <c r="E57" s="9" t="s">
        <v>364</v>
      </c>
      <c r="F57" s="9" t="s">
        <v>365</v>
      </c>
      <c r="G57" s="9" t="s">
        <v>366</v>
      </c>
      <c r="H57" s="9" t="s">
        <v>367</v>
      </c>
      <c r="I57" s="12" t="s">
        <v>23</v>
      </c>
      <c r="J57" s="9" t="s">
        <v>368</v>
      </c>
      <c r="K57" s="9" t="s">
        <v>23</v>
      </c>
      <c r="L57" s="9">
        <v>3</v>
      </c>
      <c r="M57" s="9">
        <f t="shared" si="4"/>
        <v>30</v>
      </c>
      <c r="N57" s="9">
        <v>30</v>
      </c>
      <c r="O57" s="18" t="s">
        <v>26</v>
      </c>
      <c r="P57" s="17" t="s">
        <v>369</v>
      </c>
      <c r="Q57" s="17">
        <f t="shared" si="1"/>
        <v>0.68700000000000006</v>
      </c>
      <c r="R57" s="9"/>
    </row>
    <row r="58" spans="1:18">
      <c r="A58" s="2"/>
      <c r="B58" s="10">
        <f t="shared" si="3"/>
        <v>56</v>
      </c>
      <c r="C58" s="11" t="s">
        <v>305</v>
      </c>
      <c r="D58" s="12" t="s">
        <v>370</v>
      </c>
      <c r="E58" s="12" t="s">
        <v>371</v>
      </c>
      <c r="F58" s="12" t="s">
        <v>372</v>
      </c>
      <c r="G58" s="12" t="s">
        <v>373</v>
      </c>
      <c r="H58" s="12" t="s">
        <v>305</v>
      </c>
      <c r="I58" s="12" t="s">
        <v>23</v>
      </c>
      <c r="J58" s="12" t="s">
        <v>374</v>
      </c>
      <c r="K58" s="9" t="s">
        <v>23</v>
      </c>
      <c r="L58" s="12">
        <v>1</v>
      </c>
      <c r="M58" s="9">
        <f t="shared" si="4"/>
        <v>10</v>
      </c>
      <c r="N58" s="12" t="s">
        <v>113</v>
      </c>
      <c r="O58" s="18" t="s">
        <v>26</v>
      </c>
      <c r="P58" s="19" t="s">
        <v>375</v>
      </c>
      <c r="Q58" s="19">
        <f t="shared" si="1"/>
        <v>0.69399999999999995</v>
      </c>
      <c r="R58" s="12"/>
    </row>
    <row r="59" spans="1:18">
      <c r="A59" s="2"/>
      <c r="B59" s="7">
        <f t="shared" si="3"/>
        <v>57</v>
      </c>
      <c r="C59" s="8" t="s">
        <v>376</v>
      </c>
      <c r="D59" s="9" t="s">
        <v>377</v>
      </c>
      <c r="E59" s="9" t="s">
        <v>378</v>
      </c>
      <c r="F59" s="9" t="s">
        <v>20</v>
      </c>
      <c r="G59" s="9" t="s">
        <v>379</v>
      </c>
      <c r="H59" s="9" t="s">
        <v>380</v>
      </c>
      <c r="I59" s="12" t="s">
        <v>23</v>
      </c>
      <c r="J59" s="9" t="s">
        <v>381</v>
      </c>
      <c r="K59" s="9" t="s">
        <v>23</v>
      </c>
      <c r="L59" s="9">
        <v>1</v>
      </c>
      <c r="M59" s="9">
        <f t="shared" si="4"/>
        <v>10</v>
      </c>
      <c r="N59" s="9" t="s">
        <v>131</v>
      </c>
      <c r="O59" s="18" t="s">
        <v>26</v>
      </c>
      <c r="P59" s="17" t="s">
        <v>382</v>
      </c>
      <c r="Q59" s="17">
        <f t="shared" si="1"/>
        <v>6.8760000000000003</v>
      </c>
      <c r="R59" s="9"/>
    </row>
    <row r="60" spans="1:18" ht="48">
      <c r="A60" s="2"/>
      <c r="B60" s="10">
        <f t="shared" si="3"/>
        <v>58</v>
      </c>
      <c r="C60" s="11" t="s">
        <v>383</v>
      </c>
      <c r="D60" s="12" t="s">
        <v>384</v>
      </c>
      <c r="E60" s="12" t="s">
        <v>385</v>
      </c>
      <c r="F60" s="9" t="s">
        <v>20</v>
      </c>
      <c r="G60" s="12" t="s">
        <v>386</v>
      </c>
      <c r="H60" s="12" t="s">
        <v>387</v>
      </c>
      <c r="I60" s="12" t="s">
        <v>23</v>
      </c>
      <c r="J60" s="12" t="s">
        <v>388</v>
      </c>
      <c r="K60" s="9" t="s">
        <v>23</v>
      </c>
      <c r="L60" s="12">
        <v>1</v>
      </c>
      <c r="M60" s="9">
        <f t="shared" si="4"/>
        <v>10</v>
      </c>
      <c r="N60" s="12">
        <v>10</v>
      </c>
      <c r="O60" s="18" t="s">
        <v>26</v>
      </c>
      <c r="P60" s="19" t="s">
        <v>389</v>
      </c>
      <c r="Q60" s="19">
        <f t="shared" si="1"/>
        <v>6.7119999999999997</v>
      </c>
      <c r="R60" s="12"/>
    </row>
    <row r="61" spans="1:18">
      <c r="A61" s="2"/>
      <c r="B61" s="7">
        <f t="shared" si="3"/>
        <v>59</v>
      </c>
      <c r="C61" s="8" t="s">
        <v>390</v>
      </c>
      <c r="D61" s="9" t="s">
        <v>391</v>
      </c>
      <c r="E61" s="9" t="s">
        <v>392</v>
      </c>
      <c r="F61" s="9" t="s">
        <v>20</v>
      </c>
      <c r="G61" s="9" t="s">
        <v>393</v>
      </c>
      <c r="H61" s="9" t="s">
        <v>394</v>
      </c>
      <c r="I61" s="12" t="s">
        <v>23</v>
      </c>
      <c r="J61" s="9" t="s">
        <v>23</v>
      </c>
      <c r="K61" s="9" t="s">
        <v>23</v>
      </c>
      <c r="L61" s="9">
        <v>9</v>
      </c>
      <c r="M61" s="9">
        <f t="shared" si="4"/>
        <v>90</v>
      </c>
      <c r="N61" s="9">
        <v>90</v>
      </c>
      <c r="O61" s="30" t="s">
        <v>395</v>
      </c>
      <c r="P61" s="22">
        <v>0.63</v>
      </c>
      <c r="Q61" s="17">
        <f t="shared" si="1"/>
        <v>56.7</v>
      </c>
      <c r="R61" s="9"/>
    </row>
    <row r="62" spans="1:18" ht="24">
      <c r="A62" s="2"/>
      <c r="B62" s="10">
        <f t="shared" si="3"/>
        <v>60</v>
      </c>
      <c r="C62" s="11" t="s">
        <v>396</v>
      </c>
      <c r="D62" s="12" t="s">
        <v>397</v>
      </c>
      <c r="E62" s="12" t="s">
        <v>398</v>
      </c>
      <c r="F62" s="9" t="s">
        <v>20</v>
      </c>
      <c r="G62" s="12" t="s">
        <v>399</v>
      </c>
      <c r="H62" s="12" t="s">
        <v>380</v>
      </c>
      <c r="I62" s="12" t="s">
        <v>23</v>
      </c>
      <c r="J62" s="12" t="s">
        <v>400</v>
      </c>
      <c r="K62" s="12" t="s">
        <v>23</v>
      </c>
      <c r="L62" s="12">
        <v>1</v>
      </c>
      <c r="M62" s="9">
        <f t="shared" si="4"/>
        <v>10</v>
      </c>
      <c r="N62" s="12">
        <v>10</v>
      </c>
      <c r="O62" s="18" t="s">
        <v>26</v>
      </c>
      <c r="P62" s="19" t="s">
        <v>401</v>
      </c>
      <c r="Q62" s="19">
        <f t="shared" si="1"/>
        <v>2.1480000000000001</v>
      </c>
      <c r="R62" s="12"/>
    </row>
    <row r="63" spans="1:18">
      <c r="A63" s="2"/>
      <c r="B63" s="7">
        <f t="shared" si="3"/>
        <v>61</v>
      </c>
      <c r="C63" s="8" t="s">
        <v>390</v>
      </c>
      <c r="D63" s="9" t="s">
        <v>402</v>
      </c>
      <c r="E63" s="9" t="s">
        <v>403</v>
      </c>
      <c r="F63" s="9" t="s">
        <v>20</v>
      </c>
      <c r="G63" s="9" t="s">
        <v>404</v>
      </c>
      <c r="H63" s="9" t="s">
        <v>405</v>
      </c>
      <c r="I63" s="12" t="s">
        <v>23</v>
      </c>
      <c r="J63" s="9" t="s">
        <v>23</v>
      </c>
      <c r="K63" s="9" t="s">
        <v>23</v>
      </c>
      <c r="L63" s="9">
        <v>1</v>
      </c>
      <c r="M63" s="9">
        <f t="shared" si="4"/>
        <v>10</v>
      </c>
      <c r="N63" s="12">
        <v>10</v>
      </c>
      <c r="O63" s="30" t="s">
        <v>395</v>
      </c>
      <c r="P63" s="22">
        <v>1.1399999999999999</v>
      </c>
      <c r="Q63" s="17">
        <f t="shared" si="1"/>
        <v>11.4</v>
      </c>
      <c r="R63" s="9"/>
    </row>
    <row r="64" spans="1:18">
      <c r="A64" s="2"/>
      <c r="B64" s="10">
        <f t="shared" si="3"/>
        <v>62</v>
      </c>
      <c r="C64" s="11" t="s">
        <v>406</v>
      </c>
      <c r="D64" s="12" t="s">
        <v>407</v>
      </c>
      <c r="E64" s="12" t="s">
        <v>408</v>
      </c>
      <c r="F64" s="9" t="s">
        <v>20</v>
      </c>
      <c r="G64" s="12">
        <v>22112032</v>
      </c>
      <c r="H64" s="12" t="s">
        <v>409</v>
      </c>
      <c r="I64" s="12" t="s">
        <v>23</v>
      </c>
      <c r="J64" s="12" t="s">
        <v>410</v>
      </c>
      <c r="K64" s="12" t="s">
        <v>23</v>
      </c>
      <c r="L64" s="12">
        <v>1</v>
      </c>
      <c r="M64" s="9">
        <f t="shared" si="4"/>
        <v>10</v>
      </c>
      <c r="N64" s="12">
        <v>10</v>
      </c>
      <c r="O64" s="18" t="s">
        <v>26</v>
      </c>
      <c r="P64" s="19" t="s">
        <v>411</v>
      </c>
      <c r="Q64" s="19">
        <f t="shared" si="1"/>
        <v>3.274</v>
      </c>
      <c r="R64" s="12"/>
    </row>
    <row r="65" spans="1:18">
      <c r="A65" s="2"/>
      <c r="B65" s="7">
        <f t="shared" si="3"/>
        <v>63</v>
      </c>
      <c r="C65" s="8" t="s">
        <v>406</v>
      </c>
      <c r="D65" s="9" t="s">
        <v>412</v>
      </c>
      <c r="E65" s="9" t="s">
        <v>413</v>
      </c>
      <c r="F65" s="9" t="s">
        <v>20</v>
      </c>
      <c r="G65" s="9">
        <v>22112022</v>
      </c>
      <c r="H65" s="9" t="s">
        <v>409</v>
      </c>
      <c r="I65" s="12" t="s">
        <v>23</v>
      </c>
      <c r="J65" s="9" t="s">
        <v>414</v>
      </c>
      <c r="K65" s="12" t="s">
        <v>23</v>
      </c>
      <c r="L65" s="9">
        <v>1</v>
      </c>
      <c r="M65" s="9">
        <f t="shared" si="4"/>
        <v>10</v>
      </c>
      <c r="N65" s="12">
        <v>10</v>
      </c>
      <c r="O65" s="18" t="s">
        <v>26</v>
      </c>
      <c r="P65" s="17" t="s">
        <v>415</v>
      </c>
      <c r="Q65" s="17">
        <f t="shared" si="1"/>
        <v>2.4390000000000001</v>
      </c>
      <c r="R65" s="9"/>
    </row>
    <row r="66" spans="1:18" ht="60">
      <c r="A66" s="2"/>
      <c r="B66" s="10">
        <f t="shared" si="3"/>
        <v>64</v>
      </c>
      <c r="C66" s="11" t="s">
        <v>416</v>
      </c>
      <c r="D66" s="12" t="s">
        <v>417</v>
      </c>
      <c r="E66" s="12" t="s">
        <v>418</v>
      </c>
      <c r="F66" s="9" t="s">
        <v>20</v>
      </c>
      <c r="G66" s="12" t="s">
        <v>419</v>
      </c>
      <c r="H66" s="12" t="s">
        <v>420</v>
      </c>
      <c r="I66" s="12" t="s">
        <v>23</v>
      </c>
      <c r="J66" s="12" t="s">
        <v>421</v>
      </c>
      <c r="K66" s="12" t="s">
        <v>23</v>
      </c>
      <c r="L66" s="12">
        <v>3</v>
      </c>
      <c r="M66" s="9">
        <f t="shared" si="4"/>
        <v>30</v>
      </c>
      <c r="N66" s="12">
        <v>30</v>
      </c>
      <c r="O66" s="18" t="s">
        <v>26</v>
      </c>
      <c r="P66" s="19" t="s">
        <v>423</v>
      </c>
      <c r="Q66" s="19">
        <f t="shared" si="1"/>
        <v>5.1180000000000003</v>
      </c>
      <c r="R66" s="12"/>
    </row>
    <row r="67" spans="1:18" ht="60">
      <c r="A67" s="2"/>
      <c r="B67" s="7">
        <f t="shared" ref="B67:B98" si="5">ROW(B67)-ROW($B$2)</f>
        <v>65</v>
      </c>
      <c r="C67" s="8" t="s">
        <v>424</v>
      </c>
      <c r="D67" s="9" t="s">
        <v>425</v>
      </c>
      <c r="E67" s="9" t="s">
        <v>426</v>
      </c>
      <c r="F67" s="9" t="s">
        <v>427</v>
      </c>
      <c r="G67" s="9" t="s">
        <v>428</v>
      </c>
      <c r="H67" s="9" t="s">
        <v>429</v>
      </c>
      <c r="I67" s="12" t="s">
        <v>23</v>
      </c>
      <c r="J67" s="9" t="s">
        <v>430</v>
      </c>
      <c r="K67" s="12" t="s">
        <v>23</v>
      </c>
      <c r="L67" s="9">
        <v>2</v>
      </c>
      <c r="M67" s="9">
        <f t="shared" si="4"/>
        <v>20</v>
      </c>
      <c r="N67" s="9" t="s">
        <v>34</v>
      </c>
      <c r="O67" s="18" t="s">
        <v>26</v>
      </c>
      <c r="P67" s="17" t="s">
        <v>431</v>
      </c>
      <c r="Q67" s="17">
        <f t="shared" ref="Q67:Q86" si="6">P67*N67</f>
        <v>0.83499999999999996</v>
      </c>
      <c r="R67" s="9"/>
    </row>
    <row r="68" spans="1:18" ht="48">
      <c r="A68" s="2"/>
      <c r="B68" s="10">
        <f t="shared" si="5"/>
        <v>66</v>
      </c>
      <c r="C68" s="11" t="s">
        <v>255</v>
      </c>
      <c r="D68" s="12" t="s">
        <v>432</v>
      </c>
      <c r="E68" s="12" t="s">
        <v>433</v>
      </c>
      <c r="F68" s="9" t="s">
        <v>20</v>
      </c>
      <c r="G68" s="12" t="s">
        <v>434</v>
      </c>
      <c r="H68" s="12" t="s">
        <v>435</v>
      </c>
      <c r="I68" s="12" t="s">
        <v>23</v>
      </c>
      <c r="J68" s="12" t="s">
        <v>436</v>
      </c>
      <c r="K68" s="12" t="s">
        <v>23</v>
      </c>
      <c r="L68" s="12">
        <v>1</v>
      </c>
      <c r="M68" s="9">
        <f t="shared" ref="M68:M99" si="7">L68*10</f>
        <v>10</v>
      </c>
      <c r="N68" s="12">
        <v>10</v>
      </c>
      <c r="O68" s="18" t="s">
        <v>26</v>
      </c>
      <c r="P68" s="19" t="s">
        <v>437</v>
      </c>
      <c r="Q68" s="19">
        <f t="shared" si="6"/>
        <v>9.8539999999999992</v>
      </c>
      <c r="R68" s="12"/>
    </row>
    <row r="69" spans="1:18">
      <c r="A69" s="2"/>
      <c r="B69" s="7">
        <f t="shared" si="5"/>
        <v>67</v>
      </c>
      <c r="C69" s="8" t="s">
        <v>390</v>
      </c>
      <c r="D69" s="9" t="s">
        <v>438</v>
      </c>
      <c r="E69" s="9" t="s">
        <v>392</v>
      </c>
      <c r="F69" s="9" t="s">
        <v>20</v>
      </c>
      <c r="G69" s="9" t="s">
        <v>439</v>
      </c>
      <c r="H69" s="9" t="s">
        <v>394</v>
      </c>
      <c r="I69" s="12" t="s">
        <v>23</v>
      </c>
      <c r="J69" s="9" t="s">
        <v>23</v>
      </c>
      <c r="K69" s="9" t="s">
        <v>23</v>
      </c>
      <c r="L69" s="9">
        <v>1</v>
      </c>
      <c r="M69" s="9">
        <f t="shared" si="7"/>
        <v>10</v>
      </c>
      <c r="N69" s="12">
        <v>10</v>
      </c>
      <c r="O69" s="18" t="s">
        <v>395</v>
      </c>
      <c r="P69" s="17">
        <v>0.75</v>
      </c>
      <c r="Q69" s="17">
        <f t="shared" si="6"/>
        <v>7.5</v>
      </c>
      <c r="R69" s="9"/>
    </row>
    <row r="70" spans="1:18" ht="60">
      <c r="A70" s="2"/>
      <c r="B70" s="10">
        <f t="shared" si="5"/>
        <v>68</v>
      </c>
      <c r="C70" s="11" t="s">
        <v>440</v>
      </c>
      <c r="D70" s="12" t="s">
        <v>441</v>
      </c>
      <c r="E70" s="12" t="s">
        <v>442</v>
      </c>
      <c r="F70" s="9" t="s">
        <v>20</v>
      </c>
      <c r="G70" s="12" t="s">
        <v>443</v>
      </c>
      <c r="H70" s="12" t="s">
        <v>420</v>
      </c>
      <c r="I70" s="12" t="s">
        <v>23</v>
      </c>
      <c r="J70" s="12" t="s">
        <v>444</v>
      </c>
      <c r="K70" s="9" t="s">
        <v>23</v>
      </c>
      <c r="L70" s="12">
        <v>2</v>
      </c>
      <c r="M70" s="9">
        <f t="shared" si="7"/>
        <v>20</v>
      </c>
      <c r="N70" s="12">
        <v>20</v>
      </c>
      <c r="O70" s="18" t="s">
        <v>26</v>
      </c>
      <c r="P70" s="19" t="s">
        <v>445</v>
      </c>
      <c r="Q70" s="19">
        <f t="shared" si="6"/>
        <v>2.1760000000000002</v>
      </c>
      <c r="R70" s="12"/>
    </row>
    <row r="71" spans="1:18" ht="60">
      <c r="A71" s="2"/>
      <c r="B71" s="7">
        <f t="shared" si="5"/>
        <v>69</v>
      </c>
      <c r="C71" s="8" t="s">
        <v>416</v>
      </c>
      <c r="D71" s="9" t="s">
        <v>446</v>
      </c>
      <c r="E71" s="9" t="s">
        <v>447</v>
      </c>
      <c r="F71" s="9" t="s">
        <v>20</v>
      </c>
      <c r="G71" s="9" t="s">
        <v>448</v>
      </c>
      <c r="H71" s="9" t="s">
        <v>420</v>
      </c>
      <c r="I71" s="12" t="s">
        <v>23</v>
      </c>
      <c r="J71" s="9" t="s">
        <v>449</v>
      </c>
      <c r="K71" s="9" t="s">
        <v>23</v>
      </c>
      <c r="L71" s="9">
        <v>1</v>
      </c>
      <c r="M71" s="9">
        <f t="shared" si="7"/>
        <v>10</v>
      </c>
      <c r="N71" s="9">
        <v>10</v>
      </c>
      <c r="O71" s="18" t="s">
        <v>26</v>
      </c>
      <c r="P71" s="17" t="s">
        <v>450</v>
      </c>
      <c r="Q71" s="17">
        <f t="shared" si="6"/>
        <v>1.9950000000000001</v>
      </c>
      <c r="R71" s="9"/>
    </row>
    <row r="72" spans="1:18" ht="24">
      <c r="A72" s="2"/>
      <c r="B72" s="10">
        <f t="shared" si="5"/>
        <v>70</v>
      </c>
      <c r="C72" s="11" t="s">
        <v>451</v>
      </c>
      <c r="D72" s="12" t="s">
        <v>452</v>
      </c>
      <c r="E72" s="12" t="s">
        <v>453</v>
      </c>
      <c r="F72" s="9" t="s">
        <v>20</v>
      </c>
      <c r="G72" s="12" t="s">
        <v>454</v>
      </c>
      <c r="H72" s="12" t="s">
        <v>455</v>
      </c>
      <c r="I72" s="12" t="s">
        <v>23</v>
      </c>
      <c r="J72" s="12" t="s">
        <v>456</v>
      </c>
      <c r="K72" s="9" t="s">
        <v>23</v>
      </c>
      <c r="L72" s="12">
        <v>1</v>
      </c>
      <c r="M72" s="9">
        <f t="shared" si="7"/>
        <v>10</v>
      </c>
      <c r="N72" s="9">
        <v>10</v>
      </c>
      <c r="O72" s="18" t="s">
        <v>26</v>
      </c>
      <c r="P72" s="19" t="s">
        <v>457</v>
      </c>
      <c r="Q72" s="19">
        <f t="shared" si="6"/>
        <v>22.282</v>
      </c>
      <c r="R72" s="12"/>
    </row>
    <row r="73" spans="1:18">
      <c r="A73" s="2"/>
      <c r="B73" s="7">
        <f t="shared" si="5"/>
        <v>71</v>
      </c>
      <c r="C73" s="8" t="s">
        <v>390</v>
      </c>
      <c r="D73" s="9" t="s">
        <v>458</v>
      </c>
      <c r="E73" s="9" t="s">
        <v>392</v>
      </c>
      <c r="F73" s="9" t="s">
        <v>20</v>
      </c>
      <c r="G73" s="9" t="s">
        <v>459</v>
      </c>
      <c r="H73" s="9" t="s">
        <v>394</v>
      </c>
      <c r="I73" s="12" t="s">
        <v>23</v>
      </c>
      <c r="J73" s="9" t="s">
        <v>23</v>
      </c>
      <c r="K73" s="9" t="s">
        <v>23</v>
      </c>
      <c r="L73" s="9">
        <v>2</v>
      </c>
      <c r="M73" s="9">
        <f t="shared" si="7"/>
        <v>20</v>
      </c>
      <c r="N73" s="9">
        <v>10</v>
      </c>
      <c r="O73" s="18" t="s">
        <v>395</v>
      </c>
      <c r="P73" s="17">
        <v>1.1399999999999999</v>
      </c>
      <c r="Q73" s="17">
        <f t="shared" si="6"/>
        <v>11.4</v>
      </c>
      <c r="R73" s="9"/>
    </row>
    <row r="74" spans="1:18" ht="60">
      <c r="A74" s="2"/>
      <c r="B74" s="10">
        <f t="shared" si="5"/>
        <v>72</v>
      </c>
      <c r="C74" s="11" t="s">
        <v>460</v>
      </c>
      <c r="D74" s="12" t="s">
        <v>461</v>
      </c>
      <c r="E74" s="12" t="s">
        <v>462</v>
      </c>
      <c r="F74" s="12" t="s">
        <v>463</v>
      </c>
      <c r="G74" s="12" t="s">
        <v>464</v>
      </c>
      <c r="H74" s="12" t="s">
        <v>465</v>
      </c>
      <c r="I74" s="12" t="s">
        <v>23</v>
      </c>
      <c r="J74" s="12" t="s">
        <v>466</v>
      </c>
      <c r="K74" s="9" t="s">
        <v>23</v>
      </c>
      <c r="L74" s="12">
        <v>2</v>
      </c>
      <c r="M74" s="9">
        <f t="shared" si="7"/>
        <v>20</v>
      </c>
      <c r="N74" s="9" t="s">
        <v>113</v>
      </c>
      <c r="O74" s="18" t="s">
        <v>26</v>
      </c>
      <c r="P74" s="17" t="s">
        <v>467</v>
      </c>
      <c r="Q74" s="19">
        <f t="shared" si="6"/>
        <v>0.61599999999999999</v>
      </c>
      <c r="R74" s="12"/>
    </row>
    <row r="75" spans="1:18">
      <c r="A75" s="2"/>
      <c r="B75" s="7">
        <f t="shared" si="5"/>
        <v>73</v>
      </c>
      <c r="C75" s="8" t="s">
        <v>468</v>
      </c>
      <c r="D75" s="9" t="s">
        <v>469</v>
      </c>
      <c r="E75" s="9" t="s">
        <v>470</v>
      </c>
      <c r="F75" s="9" t="s">
        <v>471</v>
      </c>
      <c r="G75" s="9" t="s">
        <v>472</v>
      </c>
      <c r="H75" s="9" t="s">
        <v>473</v>
      </c>
      <c r="I75" s="12" t="s">
        <v>23</v>
      </c>
      <c r="J75" s="9" t="s">
        <v>474</v>
      </c>
      <c r="K75" s="9" t="s">
        <v>475</v>
      </c>
      <c r="L75" s="9">
        <v>1</v>
      </c>
      <c r="M75" s="9">
        <f t="shared" si="7"/>
        <v>10</v>
      </c>
      <c r="N75" s="12" t="s">
        <v>131</v>
      </c>
      <c r="O75" s="18" t="s">
        <v>26</v>
      </c>
      <c r="P75" s="19" t="s">
        <v>476</v>
      </c>
      <c r="Q75" s="17">
        <f t="shared" si="6"/>
        <v>0.39400000000000002</v>
      </c>
      <c r="R75" s="9"/>
    </row>
    <row r="76" spans="1:18" ht="36">
      <c r="A76" s="2"/>
      <c r="B76" s="10">
        <f t="shared" si="5"/>
        <v>74</v>
      </c>
      <c r="C76" s="11" t="s">
        <v>468</v>
      </c>
      <c r="D76" s="12" t="s">
        <v>477</v>
      </c>
      <c r="E76" s="12" t="s">
        <v>478</v>
      </c>
      <c r="F76" s="9" t="s">
        <v>20</v>
      </c>
      <c r="G76" s="12" t="s">
        <v>479</v>
      </c>
      <c r="H76" s="12" t="s">
        <v>71</v>
      </c>
      <c r="I76" s="12" t="s">
        <v>23</v>
      </c>
      <c r="J76" s="12" t="s">
        <v>480</v>
      </c>
      <c r="K76" s="12" t="s">
        <v>481</v>
      </c>
      <c r="L76" s="12">
        <v>1</v>
      </c>
      <c r="M76" s="9">
        <f t="shared" si="7"/>
        <v>10</v>
      </c>
      <c r="N76" s="9">
        <v>10</v>
      </c>
      <c r="O76" s="18" t="s">
        <v>26</v>
      </c>
      <c r="P76" s="17" t="s">
        <v>482</v>
      </c>
      <c r="Q76" s="19">
        <f t="shared" si="6"/>
        <v>4.3150000000000004</v>
      </c>
      <c r="R76" s="12"/>
    </row>
    <row r="77" spans="1:18" ht="24">
      <c r="A77" s="2"/>
      <c r="B77" s="7">
        <f t="shared" si="5"/>
        <v>75</v>
      </c>
      <c r="C77" s="8" t="s">
        <v>468</v>
      </c>
      <c r="D77" s="9" t="s">
        <v>483</v>
      </c>
      <c r="E77" s="9" t="s">
        <v>484</v>
      </c>
      <c r="F77" s="9" t="s">
        <v>20</v>
      </c>
      <c r="G77" s="9" t="s">
        <v>485</v>
      </c>
      <c r="H77" s="9" t="s">
        <v>486</v>
      </c>
      <c r="I77" s="12" t="s">
        <v>23</v>
      </c>
      <c r="J77" s="9" t="s">
        <v>487</v>
      </c>
      <c r="K77" s="9" t="s">
        <v>488</v>
      </c>
      <c r="L77" s="9">
        <v>1</v>
      </c>
      <c r="M77" s="9">
        <f t="shared" si="7"/>
        <v>10</v>
      </c>
      <c r="N77" s="9">
        <v>10</v>
      </c>
      <c r="O77" s="18" t="s">
        <v>26</v>
      </c>
      <c r="P77" s="19" t="s">
        <v>489</v>
      </c>
      <c r="Q77" s="17">
        <f t="shared" si="6"/>
        <v>2.2909999999999999</v>
      </c>
      <c r="R77" s="9"/>
    </row>
    <row r="78" spans="1:18" ht="24">
      <c r="A78" s="2"/>
      <c r="B78" s="10">
        <f t="shared" si="5"/>
        <v>76</v>
      </c>
      <c r="C78" s="11" t="s">
        <v>468</v>
      </c>
      <c r="D78" s="12" t="s">
        <v>490</v>
      </c>
      <c r="E78" s="12" t="s">
        <v>491</v>
      </c>
      <c r="F78" s="9" t="s">
        <v>20</v>
      </c>
      <c r="G78" s="12" t="s">
        <v>492</v>
      </c>
      <c r="H78" s="12" t="s">
        <v>486</v>
      </c>
      <c r="I78" s="12" t="s">
        <v>23</v>
      </c>
      <c r="J78" s="12" t="s">
        <v>493</v>
      </c>
      <c r="K78" s="12" t="s">
        <v>494</v>
      </c>
      <c r="L78" s="12">
        <v>1</v>
      </c>
      <c r="M78" s="9">
        <f t="shared" si="7"/>
        <v>10</v>
      </c>
      <c r="N78" s="9" t="s">
        <v>131</v>
      </c>
      <c r="O78" s="18" t="s">
        <v>26</v>
      </c>
      <c r="P78" s="17" t="s">
        <v>495</v>
      </c>
      <c r="Q78" s="19">
        <f t="shared" si="6"/>
        <v>0.59499999999999997</v>
      </c>
      <c r="R78" s="12"/>
    </row>
    <row r="79" spans="1:18">
      <c r="A79" s="2"/>
      <c r="B79" s="7">
        <f t="shared" si="5"/>
        <v>77</v>
      </c>
      <c r="C79" s="8" t="s">
        <v>468</v>
      </c>
      <c r="D79" s="9" t="s">
        <v>496</v>
      </c>
      <c r="E79" s="9" t="s">
        <v>497</v>
      </c>
      <c r="F79" s="9" t="s">
        <v>20</v>
      </c>
      <c r="G79" s="9" t="s">
        <v>498</v>
      </c>
      <c r="H79" s="9" t="s">
        <v>499</v>
      </c>
      <c r="I79" s="12" t="s">
        <v>23</v>
      </c>
      <c r="J79" s="9" t="s">
        <v>23</v>
      </c>
      <c r="K79" s="9" t="s">
        <v>500</v>
      </c>
      <c r="L79" s="9">
        <v>1</v>
      </c>
      <c r="M79" s="9">
        <f t="shared" si="7"/>
        <v>10</v>
      </c>
      <c r="N79" s="9">
        <v>10</v>
      </c>
      <c r="O79" s="18" t="s">
        <v>26</v>
      </c>
      <c r="P79" s="19" t="s">
        <v>501</v>
      </c>
      <c r="Q79" s="17">
        <f t="shared" si="6"/>
        <v>3.3580000000000001</v>
      </c>
      <c r="R79" s="9"/>
    </row>
    <row r="80" spans="1:18" ht="24">
      <c r="A80" s="2"/>
      <c r="B80" s="10">
        <f t="shared" si="5"/>
        <v>78</v>
      </c>
      <c r="C80" s="11" t="s">
        <v>468</v>
      </c>
      <c r="D80" s="12" t="s">
        <v>502</v>
      </c>
      <c r="E80" s="12" t="s">
        <v>503</v>
      </c>
      <c r="F80" s="12" t="s">
        <v>504</v>
      </c>
      <c r="G80" s="12" t="s">
        <v>505</v>
      </c>
      <c r="H80" s="12" t="s">
        <v>129</v>
      </c>
      <c r="I80" s="12" t="s">
        <v>23</v>
      </c>
      <c r="J80" s="9" t="s">
        <v>506</v>
      </c>
      <c r="K80" s="12" t="s">
        <v>507</v>
      </c>
      <c r="L80" s="12">
        <v>1</v>
      </c>
      <c r="M80" s="9">
        <f t="shared" si="7"/>
        <v>10</v>
      </c>
      <c r="N80" s="9">
        <v>10</v>
      </c>
      <c r="O80" s="18" t="s">
        <v>26</v>
      </c>
      <c r="P80" s="17" t="s">
        <v>508</v>
      </c>
      <c r="Q80" s="19">
        <f t="shared" si="6"/>
        <v>1.3440000000000001</v>
      </c>
      <c r="R80" s="12"/>
    </row>
    <row r="81" spans="1:18">
      <c r="A81" s="2"/>
      <c r="B81" s="7">
        <f t="shared" si="5"/>
        <v>79</v>
      </c>
      <c r="C81" s="8" t="s">
        <v>509</v>
      </c>
      <c r="D81" s="9" t="s">
        <v>510</v>
      </c>
      <c r="E81" s="9" t="s">
        <v>511</v>
      </c>
      <c r="F81" s="9" t="s">
        <v>512</v>
      </c>
      <c r="G81" s="9" t="s">
        <v>513</v>
      </c>
      <c r="H81" s="9" t="s">
        <v>514</v>
      </c>
      <c r="I81" s="12" t="s">
        <v>23</v>
      </c>
      <c r="J81" s="9" t="s">
        <v>23</v>
      </c>
      <c r="K81" s="9" t="s">
        <v>23</v>
      </c>
      <c r="L81" s="9">
        <v>3</v>
      </c>
      <c r="M81" s="9">
        <f t="shared" si="7"/>
        <v>30</v>
      </c>
      <c r="N81" s="9">
        <v>30</v>
      </c>
      <c r="O81" s="18" t="s">
        <v>67</v>
      </c>
      <c r="P81" s="17">
        <v>0.22</v>
      </c>
      <c r="Q81" s="17">
        <f t="shared" si="6"/>
        <v>6.6</v>
      </c>
      <c r="R81" s="9"/>
    </row>
    <row r="82" spans="1:18">
      <c r="A82" s="2"/>
      <c r="B82" s="10">
        <f t="shared" si="5"/>
        <v>80</v>
      </c>
      <c r="C82" s="11" t="s">
        <v>515</v>
      </c>
      <c r="D82" s="12" t="s">
        <v>516</v>
      </c>
      <c r="E82" s="12" t="s">
        <v>517</v>
      </c>
      <c r="F82" s="9" t="s">
        <v>20</v>
      </c>
      <c r="G82" s="12" t="s">
        <v>518</v>
      </c>
      <c r="H82" s="12" t="s">
        <v>519</v>
      </c>
      <c r="I82" s="12" t="s">
        <v>23</v>
      </c>
      <c r="J82" s="12" t="s">
        <v>520</v>
      </c>
      <c r="K82" s="12" t="s">
        <v>23</v>
      </c>
      <c r="L82" s="12">
        <v>1</v>
      </c>
      <c r="M82" s="9">
        <f t="shared" si="7"/>
        <v>10</v>
      </c>
      <c r="N82" s="9">
        <v>10</v>
      </c>
      <c r="O82" s="18" t="s">
        <v>26</v>
      </c>
      <c r="P82" s="17" t="s">
        <v>521</v>
      </c>
      <c r="Q82" s="19">
        <f t="shared" si="6"/>
        <v>0.997</v>
      </c>
      <c r="R82" s="12"/>
    </row>
    <row r="83" spans="1:18" ht="36">
      <c r="A83" s="2"/>
      <c r="B83" s="7">
        <f t="shared" si="5"/>
        <v>81</v>
      </c>
      <c r="C83" s="8" t="s">
        <v>509</v>
      </c>
      <c r="D83" s="9" t="s">
        <v>522</v>
      </c>
      <c r="E83" s="9" t="s">
        <v>523</v>
      </c>
      <c r="F83" s="9" t="s">
        <v>524</v>
      </c>
      <c r="G83" s="9" t="s">
        <v>525</v>
      </c>
      <c r="H83" s="9" t="s">
        <v>526</v>
      </c>
      <c r="I83" s="12" t="s">
        <v>23</v>
      </c>
      <c r="J83" s="9" t="s">
        <v>527</v>
      </c>
      <c r="K83" s="12" t="s">
        <v>23</v>
      </c>
      <c r="L83" s="9">
        <v>1</v>
      </c>
      <c r="M83" s="9">
        <f t="shared" si="7"/>
        <v>10</v>
      </c>
      <c r="N83" s="12" t="s">
        <v>113</v>
      </c>
      <c r="O83" s="18" t="s">
        <v>26</v>
      </c>
      <c r="P83" s="19" t="s">
        <v>528</v>
      </c>
      <c r="Q83" s="17">
        <f t="shared" si="6"/>
        <v>0.50600000000000001</v>
      </c>
      <c r="R83" s="9"/>
    </row>
    <row r="84" spans="1:18" ht="24">
      <c r="A84" s="2"/>
      <c r="B84" s="10">
        <f t="shared" si="5"/>
        <v>82</v>
      </c>
      <c r="C84" s="11" t="s">
        <v>509</v>
      </c>
      <c r="D84" s="12" t="s">
        <v>529</v>
      </c>
      <c r="E84" s="12" t="s">
        <v>530</v>
      </c>
      <c r="F84" s="12" t="s">
        <v>512</v>
      </c>
      <c r="G84" s="12" t="s">
        <v>531</v>
      </c>
      <c r="H84" s="12" t="s">
        <v>532</v>
      </c>
      <c r="I84" s="12" t="s">
        <v>23</v>
      </c>
      <c r="J84" s="12" t="s">
        <v>533</v>
      </c>
      <c r="K84" s="12" t="s">
        <v>23</v>
      </c>
      <c r="L84" s="12">
        <v>1</v>
      </c>
      <c r="M84" s="9">
        <f t="shared" si="7"/>
        <v>10</v>
      </c>
      <c r="N84" s="9" t="s">
        <v>131</v>
      </c>
      <c r="O84" s="18" t="s">
        <v>26</v>
      </c>
      <c r="P84" s="17" t="s">
        <v>534</v>
      </c>
      <c r="Q84" s="19">
        <f t="shared" si="6"/>
        <v>0.55000000000000004</v>
      </c>
      <c r="R84" s="12"/>
    </row>
    <row r="85" spans="1:18" ht="24">
      <c r="A85" s="2"/>
      <c r="B85" s="7">
        <f t="shared" si="5"/>
        <v>83</v>
      </c>
      <c r="C85" s="8" t="s">
        <v>509</v>
      </c>
      <c r="D85" s="9" t="s">
        <v>535</v>
      </c>
      <c r="E85" s="9" t="s">
        <v>536</v>
      </c>
      <c r="F85" s="9" t="s">
        <v>524</v>
      </c>
      <c r="G85" s="9" t="s">
        <v>537</v>
      </c>
      <c r="H85" s="9" t="s">
        <v>532</v>
      </c>
      <c r="I85" s="12" t="s">
        <v>23</v>
      </c>
      <c r="J85" s="9" t="s">
        <v>538</v>
      </c>
      <c r="K85" s="12" t="s">
        <v>23</v>
      </c>
      <c r="L85" s="9">
        <v>1</v>
      </c>
      <c r="M85" s="9">
        <f t="shared" si="7"/>
        <v>10</v>
      </c>
      <c r="N85" s="12">
        <v>20</v>
      </c>
      <c r="O85" s="18" t="s">
        <v>26</v>
      </c>
      <c r="P85" s="19">
        <v>2.53E-2</v>
      </c>
      <c r="Q85" s="17">
        <f t="shared" si="6"/>
        <v>0.50600000000000001</v>
      </c>
      <c r="R85" s="9"/>
    </row>
    <row r="86" spans="1:18" ht="36">
      <c r="A86" s="2"/>
      <c r="B86" s="10">
        <f t="shared" si="5"/>
        <v>84</v>
      </c>
      <c r="C86" s="11" t="s">
        <v>539</v>
      </c>
      <c r="D86" s="12" t="s">
        <v>540</v>
      </c>
      <c r="E86" s="12" t="s">
        <v>541</v>
      </c>
      <c r="F86" s="9" t="s">
        <v>20</v>
      </c>
      <c r="G86" s="12" t="s">
        <v>542</v>
      </c>
      <c r="H86" s="12" t="s">
        <v>543</v>
      </c>
      <c r="I86" s="12" t="s">
        <v>23</v>
      </c>
      <c r="J86" s="12" t="s">
        <v>544</v>
      </c>
      <c r="K86" s="12" t="s">
        <v>23</v>
      </c>
      <c r="L86" s="12">
        <v>1</v>
      </c>
      <c r="M86" s="9">
        <f t="shared" si="7"/>
        <v>10</v>
      </c>
      <c r="N86" s="9">
        <v>10</v>
      </c>
      <c r="O86" s="18" t="s">
        <v>26</v>
      </c>
      <c r="P86" s="17" t="s">
        <v>545</v>
      </c>
      <c r="Q86" s="19">
        <f t="shared" si="6"/>
        <v>3.2709999999999999</v>
      </c>
      <c r="R86" s="12"/>
    </row>
    <row r="87" spans="1:18" ht="24">
      <c r="A87" s="2"/>
      <c r="B87" s="7">
        <f t="shared" si="5"/>
        <v>85</v>
      </c>
      <c r="C87" s="8" t="s">
        <v>546</v>
      </c>
      <c r="D87" s="13" t="s">
        <v>547</v>
      </c>
      <c r="E87" s="13" t="s">
        <v>548</v>
      </c>
      <c r="F87" s="13" t="s">
        <v>20</v>
      </c>
      <c r="G87" s="13" t="s">
        <v>549</v>
      </c>
      <c r="H87" s="13" t="s">
        <v>23</v>
      </c>
      <c r="I87" s="13" t="s">
        <v>23</v>
      </c>
      <c r="J87" s="13" t="s">
        <v>23</v>
      </c>
      <c r="K87" s="23" t="s">
        <v>23</v>
      </c>
      <c r="L87" s="13">
        <v>6</v>
      </c>
      <c r="M87" s="9">
        <f t="shared" si="7"/>
        <v>60</v>
      </c>
      <c r="N87" s="13" t="s">
        <v>23</v>
      </c>
      <c r="O87" s="13" t="s">
        <v>23</v>
      </c>
      <c r="P87" s="24" t="s">
        <v>23</v>
      </c>
      <c r="Q87" s="24" t="s">
        <v>23</v>
      </c>
      <c r="R87" s="27" t="s">
        <v>550</v>
      </c>
    </row>
    <row r="88" spans="1:18" ht="24">
      <c r="A88" s="2"/>
      <c r="B88" s="10">
        <f t="shared" si="5"/>
        <v>86</v>
      </c>
      <c r="C88" s="11" t="s">
        <v>551</v>
      </c>
      <c r="D88" s="12" t="s">
        <v>552</v>
      </c>
      <c r="E88" s="12" t="s">
        <v>553</v>
      </c>
      <c r="F88" s="12" t="s">
        <v>554</v>
      </c>
      <c r="G88" s="12" t="s">
        <v>555</v>
      </c>
      <c r="H88" s="12" t="s">
        <v>278</v>
      </c>
      <c r="I88" s="12" t="s">
        <v>23</v>
      </c>
      <c r="J88" s="12" t="s">
        <v>556</v>
      </c>
      <c r="K88" s="12" t="s">
        <v>23</v>
      </c>
      <c r="L88" s="12">
        <v>2</v>
      </c>
      <c r="M88" s="9">
        <f t="shared" si="7"/>
        <v>20</v>
      </c>
      <c r="N88" s="9">
        <v>20</v>
      </c>
      <c r="O88" s="18" t="s">
        <v>26</v>
      </c>
      <c r="P88" s="17" t="s">
        <v>557</v>
      </c>
      <c r="Q88" s="19">
        <f t="shared" ref="Q88:Q114" si="8">P88*N88</f>
        <v>1.274</v>
      </c>
      <c r="R88" s="12"/>
    </row>
    <row r="89" spans="1:18" ht="24">
      <c r="A89" s="2"/>
      <c r="B89" s="7">
        <f t="shared" si="5"/>
        <v>87</v>
      </c>
      <c r="C89" s="8" t="s">
        <v>558</v>
      </c>
      <c r="D89" s="9" t="s">
        <v>559</v>
      </c>
      <c r="E89" s="9" t="s">
        <v>560</v>
      </c>
      <c r="F89" s="9" t="s">
        <v>345</v>
      </c>
      <c r="G89" s="9" t="s">
        <v>561</v>
      </c>
      <c r="H89" s="9" t="s">
        <v>562</v>
      </c>
      <c r="I89" s="12" t="s">
        <v>23</v>
      </c>
      <c r="J89" s="9" t="s">
        <v>563</v>
      </c>
      <c r="K89" s="12" t="s">
        <v>23</v>
      </c>
      <c r="L89" s="9">
        <v>3</v>
      </c>
      <c r="M89" s="9">
        <f t="shared" si="7"/>
        <v>30</v>
      </c>
      <c r="N89" s="12" t="s">
        <v>34</v>
      </c>
      <c r="O89" s="18" t="s">
        <v>26</v>
      </c>
      <c r="P89" s="19" t="s">
        <v>168</v>
      </c>
      <c r="Q89" s="17">
        <f t="shared" si="8"/>
        <v>0.48</v>
      </c>
      <c r="R89" s="9"/>
    </row>
    <row r="90" spans="1:18" ht="24">
      <c r="A90" s="2"/>
      <c r="B90" s="10">
        <f t="shared" si="5"/>
        <v>88</v>
      </c>
      <c r="C90" s="11" t="s">
        <v>551</v>
      </c>
      <c r="D90" s="12" t="s">
        <v>564</v>
      </c>
      <c r="E90" s="12" t="s">
        <v>565</v>
      </c>
      <c r="F90" s="12" t="s">
        <v>345</v>
      </c>
      <c r="G90" s="12" t="s">
        <v>566</v>
      </c>
      <c r="H90" s="12" t="s">
        <v>567</v>
      </c>
      <c r="I90" s="12" t="s">
        <v>23</v>
      </c>
      <c r="J90" s="12" t="s">
        <v>568</v>
      </c>
      <c r="K90" s="12" t="s">
        <v>23</v>
      </c>
      <c r="L90" s="12">
        <v>1</v>
      </c>
      <c r="M90" s="9">
        <f t="shared" si="7"/>
        <v>10</v>
      </c>
      <c r="N90" s="9">
        <v>10</v>
      </c>
      <c r="O90" s="18" t="s">
        <v>26</v>
      </c>
      <c r="P90" s="17" t="s">
        <v>569</v>
      </c>
      <c r="Q90" s="19">
        <f t="shared" si="8"/>
        <v>1.96</v>
      </c>
      <c r="R90" s="12"/>
    </row>
    <row r="91" spans="1:18" ht="24">
      <c r="A91" s="2"/>
      <c r="B91" s="7">
        <f t="shared" si="5"/>
        <v>89</v>
      </c>
      <c r="C91" s="8" t="s">
        <v>551</v>
      </c>
      <c r="D91" s="9" t="s">
        <v>570</v>
      </c>
      <c r="E91" s="9" t="s">
        <v>571</v>
      </c>
      <c r="F91" s="9" t="s">
        <v>572</v>
      </c>
      <c r="G91" s="9" t="s">
        <v>573</v>
      </c>
      <c r="H91" s="9" t="s">
        <v>574</v>
      </c>
      <c r="I91" s="12" t="s">
        <v>23</v>
      </c>
      <c r="J91" s="9" t="s">
        <v>575</v>
      </c>
      <c r="K91" s="12" t="s">
        <v>23</v>
      </c>
      <c r="L91" s="9">
        <v>2</v>
      </c>
      <c r="M91" s="9">
        <f t="shared" si="7"/>
        <v>20</v>
      </c>
      <c r="N91" s="12" t="s">
        <v>131</v>
      </c>
      <c r="O91" s="18" t="s">
        <v>26</v>
      </c>
      <c r="P91" s="19" t="s">
        <v>576</v>
      </c>
      <c r="Q91" s="17">
        <f t="shared" si="8"/>
        <v>6.2779999999999996</v>
      </c>
      <c r="R91" s="9"/>
    </row>
    <row r="92" spans="1:18" ht="24">
      <c r="A92" s="2"/>
      <c r="B92" s="10">
        <f t="shared" si="5"/>
        <v>90</v>
      </c>
      <c r="C92" s="11" t="s">
        <v>551</v>
      </c>
      <c r="D92" s="12" t="s">
        <v>577</v>
      </c>
      <c r="E92" s="12" t="s">
        <v>578</v>
      </c>
      <c r="F92" s="12" t="s">
        <v>345</v>
      </c>
      <c r="G92" s="12" t="s">
        <v>579</v>
      </c>
      <c r="H92" s="12" t="s">
        <v>580</v>
      </c>
      <c r="I92" s="12" t="s">
        <v>23</v>
      </c>
      <c r="J92" s="12" t="s">
        <v>581</v>
      </c>
      <c r="K92" s="12" t="s">
        <v>23</v>
      </c>
      <c r="L92" s="12">
        <v>1</v>
      </c>
      <c r="M92" s="9">
        <f t="shared" si="7"/>
        <v>10</v>
      </c>
      <c r="N92" s="9">
        <v>10</v>
      </c>
      <c r="O92" s="18" t="s">
        <v>26</v>
      </c>
      <c r="P92" s="17" t="s">
        <v>582</v>
      </c>
      <c r="Q92" s="19">
        <f t="shared" si="8"/>
        <v>0.82799999999999996</v>
      </c>
      <c r="R92" s="12"/>
    </row>
    <row r="93" spans="1:18">
      <c r="A93" s="2"/>
      <c r="B93" s="7">
        <f t="shared" si="5"/>
        <v>91</v>
      </c>
      <c r="C93" s="8" t="s">
        <v>551</v>
      </c>
      <c r="D93" s="9" t="s">
        <v>583</v>
      </c>
      <c r="E93" s="9" t="s">
        <v>584</v>
      </c>
      <c r="F93" s="9" t="s">
        <v>345</v>
      </c>
      <c r="G93" s="9" t="s">
        <v>585</v>
      </c>
      <c r="H93" s="9" t="s">
        <v>305</v>
      </c>
      <c r="I93" s="12" t="s">
        <v>23</v>
      </c>
      <c r="J93" s="9" t="s">
        <v>586</v>
      </c>
      <c r="K93" s="12" t="s">
        <v>23</v>
      </c>
      <c r="L93" s="9">
        <v>1</v>
      </c>
      <c r="M93" s="9">
        <f t="shared" si="7"/>
        <v>10</v>
      </c>
      <c r="N93" s="12" t="s">
        <v>113</v>
      </c>
      <c r="O93" s="18" t="s">
        <v>26</v>
      </c>
      <c r="P93" s="19" t="s">
        <v>587</v>
      </c>
      <c r="Q93" s="17">
        <f t="shared" si="8"/>
        <v>0.55000000000000004</v>
      </c>
      <c r="R93" s="9"/>
    </row>
    <row r="94" spans="1:18" ht="24">
      <c r="A94" s="2"/>
      <c r="B94" s="10">
        <f t="shared" si="5"/>
        <v>92</v>
      </c>
      <c r="C94" s="11" t="s">
        <v>588</v>
      </c>
      <c r="D94" s="12" t="s">
        <v>589</v>
      </c>
      <c r="E94" s="12" t="s">
        <v>590</v>
      </c>
      <c r="F94" s="12" t="s">
        <v>591</v>
      </c>
      <c r="G94" s="12" t="s">
        <v>592</v>
      </c>
      <c r="H94" s="12" t="s">
        <v>593</v>
      </c>
      <c r="I94" s="12" t="s">
        <v>23</v>
      </c>
      <c r="J94" s="12" t="s">
        <v>594</v>
      </c>
      <c r="K94" s="12" t="s">
        <v>23</v>
      </c>
      <c r="L94" s="12">
        <v>1</v>
      </c>
      <c r="M94" s="9">
        <f t="shared" si="7"/>
        <v>10</v>
      </c>
      <c r="N94" s="9">
        <v>10</v>
      </c>
      <c r="O94" s="18" t="s">
        <v>26</v>
      </c>
      <c r="P94" s="17">
        <v>1.5448</v>
      </c>
      <c r="Q94" s="19">
        <f t="shared" si="8"/>
        <v>15.448</v>
      </c>
      <c r="R94" s="12"/>
    </row>
    <row r="95" spans="1:18">
      <c r="A95" s="2"/>
      <c r="B95" s="7">
        <f t="shared" si="5"/>
        <v>93</v>
      </c>
      <c r="C95" s="8" t="s">
        <v>551</v>
      </c>
      <c r="D95" s="9" t="s">
        <v>595</v>
      </c>
      <c r="E95" s="9" t="s">
        <v>596</v>
      </c>
      <c r="F95" s="9" t="s">
        <v>276</v>
      </c>
      <c r="G95" s="9" t="s">
        <v>597</v>
      </c>
      <c r="H95" s="9" t="s">
        <v>347</v>
      </c>
      <c r="I95" s="12" t="s">
        <v>23</v>
      </c>
      <c r="J95" s="9" t="s">
        <v>598</v>
      </c>
      <c r="K95" s="12" t="s">
        <v>23</v>
      </c>
      <c r="L95" s="9">
        <v>1</v>
      </c>
      <c r="M95" s="9">
        <f t="shared" si="7"/>
        <v>10</v>
      </c>
      <c r="N95" s="12" t="s">
        <v>113</v>
      </c>
      <c r="O95" s="18" t="s">
        <v>26</v>
      </c>
      <c r="P95" s="19" t="s">
        <v>107</v>
      </c>
      <c r="Q95" s="17">
        <f t="shared" si="8"/>
        <v>0.48399999999999999</v>
      </c>
      <c r="R95" s="9"/>
    </row>
    <row r="96" spans="1:18" ht="36">
      <c r="A96" s="2"/>
      <c r="B96" s="10">
        <f t="shared" si="5"/>
        <v>94</v>
      </c>
      <c r="C96" s="11" t="s">
        <v>551</v>
      </c>
      <c r="D96" s="12" t="s">
        <v>599</v>
      </c>
      <c r="E96" s="12" t="s">
        <v>600</v>
      </c>
      <c r="F96" s="12" t="s">
        <v>345</v>
      </c>
      <c r="G96" s="12" t="s">
        <v>601</v>
      </c>
      <c r="H96" s="12" t="s">
        <v>257</v>
      </c>
      <c r="I96" s="12" t="s">
        <v>23</v>
      </c>
      <c r="J96" s="12" t="s">
        <v>602</v>
      </c>
      <c r="K96" s="12" t="s">
        <v>23</v>
      </c>
      <c r="L96" s="12">
        <v>1</v>
      </c>
      <c r="M96" s="9">
        <f t="shared" si="7"/>
        <v>10</v>
      </c>
      <c r="N96" s="9" t="s">
        <v>113</v>
      </c>
      <c r="O96" s="18" t="s">
        <v>26</v>
      </c>
      <c r="P96" s="17" t="s">
        <v>603</v>
      </c>
      <c r="Q96" s="19">
        <f t="shared" si="8"/>
        <v>0.54800000000000004</v>
      </c>
      <c r="R96" s="12"/>
    </row>
    <row r="97" spans="1:18">
      <c r="A97" s="2"/>
      <c r="B97" s="7">
        <f t="shared" si="5"/>
        <v>95</v>
      </c>
      <c r="C97" s="8" t="s">
        <v>588</v>
      </c>
      <c r="D97" s="9" t="s">
        <v>604</v>
      </c>
      <c r="E97" s="9" t="s">
        <v>605</v>
      </c>
      <c r="F97" s="9" t="s">
        <v>345</v>
      </c>
      <c r="G97" s="9" t="s">
        <v>606</v>
      </c>
      <c r="H97" s="9" t="s">
        <v>305</v>
      </c>
      <c r="I97" s="12" t="s">
        <v>23</v>
      </c>
      <c r="J97" s="9" t="s">
        <v>607</v>
      </c>
      <c r="K97" s="12" t="s">
        <v>23</v>
      </c>
      <c r="L97" s="9">
        <v>1</v>
      </c>
      <c r="M97" s="9">
        <f t="shared" si="7"/>
        <v>10</v>
      </c>
      <c r="N97" s="12" t="s">
        <v>113</v>
      </c>
      <c r="O97" s="18" t="s">
        <v>26</v>
      </c>
      <c r="P97" s="19" t="s">
        <v>608</v>
      </c>
      <c r="Q97" s="17">
        <f t="shared" si="8"/>
        <v>0.46200000000000002</v>
      </c>
      <c r="R97" s="9"/>
    </row>
    <row r="98" spans="1:18" ht="36">
      <c r="A98" s="2"/>
      <c r="B98" s="10">
        <f t="shared" si="5"/>
        <v>96</v>
      </c>
      <c r="C98" s="11" t="s">
        <v>609</v>
      </c>
      <c r="D98" s="12" t="s">
        <v>610</v>
      </c>
      <c r="E98" s="12" t="s">
        <v>611</v>
      </c>
      <c r="F98" s="12" t="s">
        <v>612</v>
      </c>
      <c r="G98" s="12" t="s">
        <v>613</v>
      </c>
      <c r="H98" s="12" t="s">
        <v>614</v>
      </c>
      <c r="I98" s="12" t="s">
        <v>23</v>
      </c>
      <c r="J98" s="12" t="s">
        <v>615</v>
      </c>
      <c r="K98" s="12" t="s">
        <v>616</v>
      </c>
      <c r="L98" s="12">
        <v>1</v>
      </c>
      <c r="M98" s="9">
        <f t="shared" si="7"/>
        <v>10</v>
      </c>
      <c r="N98" s="9" t="s">
        <v>42</v>
      </c>
      <c r="O98" s="18" t="s">
        <v>26</v>
      </c>
      <c r="P98" s="17" t="s">
        <v>617</v>
      </c>
      <c r="Q98" s="19">
        <f t="shared" si="8"/>
        <v>0.12</v>
      </c>
      <c r="R98" s="12"/>
    </row>
    <row r="99" spans="1:18" ht="48">
      <c r="A99" s="2"/>
      <c r="B99" s="7">
        <f t="shared" ref="B99:B130" si="9">ROW(B99)-ROW($B$2)</f>
        <v>97</v>
      </c>
      <c r="C99" s="8" t="s">
        <v>609</v>
      </c>
      <c r="D99" s="9" t="s">
        <v>618</v>
      </c>
      <c r="E99" s="9" t="s">
        <v>619</v>
      </c>
      <c r="F99" s="9" t="s">
        <v>612</v>
      </c>
      <c r="G99" s="9" t="s">
        <v>620</v>
      </c>
      <c r="H99" s="9" t="s">
        <v>621</v>
      </c>
      <c r="I99" s="12" t="s">
        <v>23</v>
      </c>
      <c r="J99" s="9" t="s">
        <v>622</v>
      </c>
      <c r="K99" s="9" t="s">
        <v>623</v>
      </c>
      <c r="L99" s="9">
        <v>1</v>
      </c>
      <c r="M99" s="9">
        <f t="shared" si="7"/>
        <v>10</v>
      </c>
      <c r="N99" s="12" t="s">
        <v>42</v>
      </c>
      <c r="O99" s="18" t="s">
        <v>26</v>
      </c>
      <c r="P99" s="19" t="s">
        <v>158</v>
      </c>
      <c r="Q99" s="17">
        <f t="shared" si="8"/>
        <v>0.46</v>
      </c>
      <c r="R99" s="9"/>
    </row>
    <row r="100" spans="1:18">
      <c r="A100" s="2"/>
      <c r="B100" s="10">
        <f t="shared" si="9"/>
        <v>98</v>
      </c>
      <c r="C100" s="8" t="s">
        <v>609</v>
      </c>
      <c r="D100" s="12" t="s">
        <v>624</v>
      </c>
      <c r="E100" s="12" t="s">
        <v>625</v>
      </c>
      <c r="F100" s="12" t="s">
        <v>612</v>
      </c>
      <c r="G100" s="12" t="s">
        <v>626</v>
      </c>
      <c r="H100" s="12" t="s">
        <v>31</v>
      </c>
      <c r="I100" s="12" t="s">
        <v>23</v>
      </c>
      <c r="J100" s="12" t="s">
        <v>627</v>
      </c>
      <c r="K100" s="12" t="s">
        <v>628</v>
      </c>
      <c r="L100" s="12">
        <v>1</v>
      </c>
      <c r="M100" s="9">
        <f t="shared" ref="M100:M131" si="10">L100*10</f>
        <v>10</v>
      </c>
      <c r="N100" s="9" t="s">
        <v>42</v>
      </c>
      <c r="O100" s="18" t="s">
        <v>26</v>
      </c>
      <c r="P100" s="17" t="s">
        <v>617</v>
      </c>
      <c r="Q100" s="19">
        <f t="shared" si="8"/>
        <v>0.12</v>
      </c>
      <c r="R100" s="12"/>
    </row>
    <row r="101" spans="1:18">
      <c r="A101" s="2"/>
      <c r="B101" s="7">
        <f t="shared" si="9"/>
        <v>99</v>
      </c>
      <c r="C101" s="8" t="s">
        <v>609</v>
      </c>
      <c r="D101" s="9" t="s">
        <v>629</v>
      </c>
      <c r="E101" s="9" t="s">
        <v>630</v>
      </c>
      <c r="F101" s="9" t="s">
        <v>612</v>
      </c>
      <c r="G101" s="9" t="s">
        <v>631</v>
      </c>
      <c r="H101" s="9" t="s">
        <v>31</v>
      </c>
      <c r="I101" s="12" t="s">
        <v>23</v>
      </c>
      <c r="J101" s="9" t="s">
        <v>632</v>
      </c>
      <c r="K101" s="9" t="s">
        <v>633</v>
      </c>
      <c r="L101" s="9">
        <v>2</v>
      </c>
      <c r="M101" s="9">
        <f t="shared" si="10"/>
        <v>20</v>
      </c>
      <c r="N101" s="12" t="s">
        <v>42</v>
      </c>
      <c r="O101" s="18" t="s">
        <v>26</v>
      </c>
      <c r="P101" s="19" t="s">
        <v>120</v>
      </c>
      <c r="Q101" s="17">
        <f t="shared" si="8"/>
        <v>0.11</v>
      </c>
      <c r="R101" s="9"/>
    </row>
    <row r="102" spans="1:18" ht="24">
      <c r="A102" s="2"/>
      <c r="B102" s="10">
        <f t="shared" si="9"/>
        <v>100</v>
      </c>
      <c r="C102" s="8" t="s">
        <v>609</v>
      </c>
      <c r="D102" s="12" t="s">
        <v>634</v>
      </c>
      <c r="E102" s="12" t="s">
        <v>635</v>
      </c>
      <c r="F102" s="12" t="s">
        <v>612</v>
      </c>
      <c r="G102" s="12" t="s">
        <v>636</v>
      </c>
      <c r="H102" s="12" t="s">
        <v>31</v>
      </c>
      <c r="I102" s="12" t="s">
        <v>23</v>
      </c>
      <c r="J102" s="12" t="s">
        <v>637</v>
      </c>
      <c r="K102" s="12" t="s">
        <v>633</v>
      </c>
      <c r="L102" s="12">
        <v>2</v>
      </c>
      <c r="M102" s="9">
        <f t="shared" si="10"/>
        <v>20</v>
      </c>
      <c r="N102" s="9" t="s">
        <v>113</v>
      </c>
      <c r="O102" s="18" t="s">
        <v>26</v>
      </c>
      <c r="P102" s="17" t="s">
        <v>638</v>
      </c>
      <c r="Q102" s="19">
        <f t="shared" si="8"/>
        <v>0.46600000000000003</v>
      </c>
      <c r="R102" s="12"/>
    </row>
    <row r="103" spans="1:18" ht="24">
      <c r="A103" s="2"/>
      <c r="B103" s="7">
        <f t="shared" si="9"/>
        <v>101</v>
      </c>
      <c r="C103" s="8" t="s">
        <v>609</v>
      </c>
      <c r="D103" s="9" t="s">
        <v>639</v>
      </c>
      <c r="E103" s="9" t="s">
        <v>640</v>
      </c>
      <c r="F103" s="9" t="s">
        <v>612</v>
      </c>
      <c r="G103" s="9" t="s">
        <v>641</v>
      </c>
      <c r="H103" s="9" t="s">
        <v>31</v>
      </c>
      <c r="I103" s="12" t="s">
        <v>23</v>
      </c>
      <c r="J103" s="9" t="s">
        <v>642</v>
      </c>
      <c r="K103" s="9" t="s">
        <v>643</v>
      </c>
      <c r="L103" s="9">
        <v>2</v>
      </c>
      <c r="M103" s="9">
        <f t="shared" si="10"/>
        <v>20</v>
      </c>
      <c r="N103" s="12" t="s">
        <v>113</v>
      </c>
      <c r="O103" s="18" t="s">
        <v>26</v>
      </c>
      <c r="P103" s="19" t="s">
        <v>644</v>
      </c>
      <c r="Q103" s="17">
        <f t="shared" si="8"/>
        <v>0.48199999999999998</v>
      </c>
      <c r="R103" s="9"/>
    </row>
    <row r="104" spans="1:18">
      <c r="A104" s="2"/>
      <c r="B104" s="10">
        <f t="shared" si="9"/>
        <v>102</v>
      </c>
      <c r="C104" s="8" t="s">
        <v>609</v>
      </c>
      <c r="D104" s="12" t="s">
        <v>645</v>
      </c>
      <c r="E104" s="12" t="s">
        <v>646</v>
      </c>
      <c r="F104" s="12" t="s">
        <v>612</v>
      </c>
      <c r="G104" s="12" t="s">
        <v>647</v>
      </c>
      <c r="H104" s="12" t="s">
        <v>31</v>
      </c>
      <c r="I104" s="12" t="s">
        <v>23</v>
      </c>
      <c r="J104" s="12" t="s">
        <v>648</v>
      </c>
      <c r="K104" s="12" t="s">
        <v>649</v>
      </c>
      <c r="L104" s="12">
        <v>2</v>
      </c>
      <c r="M104" s="9">
        <f t="shared" si="10"/>
        <v>20</v>
      </c>
      <c r="N104" s="9" t="s">
        <v>42</v>
      </c>
      <c r="O104" s="18" t="s">
        <v>26</v>
      </c>
      <c r="P104" s="17" t="s">
        <v>617</v>
      </c>
      <c r="Q104" s="19">
        <f t="shared" si="8"/>
        <v>0.12</v>
      </c>
      <c r="R104" s="12"/>
    </row>
    <row r="105" spans="1:18" ht="48">
      <c r="A105" s="2"/>
      <c r="B105" s="7">
        <f t="shared" si="9"/>
        <v>103</v>
      </c>
      <c r="C105" s="8" t="s">
        <v>609</v>
      </c>
      <c r="D105" s="9" t="s">
        <v>650</v>
      </c>
      <c r="E105" s="9" t="s">
        <v>651</v>
      </c>
      <c r="F105" s="9" t="s">
        <v>652</v>
      </c>
      <c r="G105" s="9" t="s">
        <v>653</v>
      </c>
      <c r="H105" s="9" t="s">
        <v>614</v>
      </c>
      <c r="I105" s="12" t="s">
        <v>23</v>
      </c>
      <c r="J105" s="9" t="s">
        <v>654</v>
      </c>
      <c r="K105" s="9" t="s">
        <v>655</v>
      </c>
      <c r="L105" s="9">
        <v>1</v>
      </c>
      <c r="M105" s="9">
        <f t="shared" si="10"/>
        <v>10</v>
      </c>
      <c r="N105" s="12" t="s">
        <v>42</v>
      </c>
      <c r="O105" s="18" t="s">
        <v>26</v>
      </c>
      <c r="P105" s="19" t="s">
        <v>125</v>
      </c>
      <c r="Q105" s="17">
        <f t="shared" si="8"/>
        <v>0.18</v>
      </c>
      <c r="R105" s="9"/>
    </row>
    <row r="106" spans="1:18">
      <c r="A106" s="2"/>
      <c r="B106" s="10">
        <f t="shared" si="9"/>
        <v>104</v>
      </c>
      <c r="C106" s="8" t="s">
        <v>609</v>
      </c>
      <c r="D106" s="12" t="s">
        <v>656</v>
      </c>
      <c r="E106" s="12" t="s">
        <v>657</v>
      </c>
      <c r="F106" s="12" t="s">
        <v>612</v>
      </c>
      <c r="G106" s="12" t="s">
        <v>658</v>
      </c>
      <c r="H106" s="12" t="s">
        <v>31</v>
      </c>
      <c r="I106" s="12" t="s">
        <v>23</v>
      </c>
      <c r="J106" s="12" t="s">
        <v>659</v>
      </c>
      <c r="K106" s="12" t="s">
        <v>660</v>
      </c>
      <c r="L106" s="12">
        <v>1</v>
      </c>
      <c r="M106" s="9">
        <f t="shared" si="10"/>
        <v>10</v>
      </c>
      <c r="N106" s="9" t="s">
        <v>42</v>
      </c>
      <c r="O106" s="18" t="s">
        <v>26</v>
      </c>
      <c r="P106" s="17" t="s">
        <v>617</v>
      </c>
      <c r="Q106" s="19">
        <f t="shared" si="8"/>
        <v>0.12</v>
      </c>
      <c r="R106" s="12"/>
    </row>
    <row r="107" spans="1:18">
      <c r="A107" s="2"/>
      <c r="B107" s="7">
        <f t="shared" si="9"/>
        <v>105</v>
      </c>
      <c r="C107" s="8" t="s">
        <v>609</v>
      </c>
      <c r="D107" s="9" t="s">
        <v>661</v>
      </c>
      <c r="E107" s="9" t="s">
        <v>662</v>
      </c>
      <c r="F107" s="9" t="s">
        <v>612</v>
      </c>
      <c r="G107" s="9" t="s">
        <v>663</v>
      </c>
      <c r="H107" s="9" t="s">
        <v>31</v>
      </c>
      <c r="I107" s="12" t="s">
        <v>23</v>
      </c>
      <c r="J107" s="9" t="s">
        <v>664</v>
      </c>
      <c r="K107" s="9" t="s">
        <v>665</v>
      </c>
      <c r="L107" s="9">
        <v>2</v>
      </c>
      <c r="M107" s="9">
        <f t="shared" si="10"/>
        <v>20</v>
      </c>
      <c r="N107" s="12" t="s">
        <v>42</v>
      </c>
      <c r="O107" s="18" t="s">
        <v>26</v>
      </c>
      <c r="P107" s="19" t="s">
        <v>666</v>
      </c>
      <c r="Q107" s="17">
        <f t="shared" si="8"/>
        <v>0.53</v>
      </c>
      <c r="R107" s="9"/>
    </row>
    <row r="108" spans="1:18">
      <c r="A108" s="2"/>
      <c r="B108" s="10">
        <f t="shared" si="9"/>
        <v>106</v>
      </c>
      <c r="C108" s="8" t="s">
        <v>609</v>
      </c>
      <c r="D108" s="12" t="s">
        <v>667</v>
      </c>
      <c r="E108" s="12" t="s">
        <v>668</v>
      </c>
      <c r="F108" s="12" t="s">
        <v>612</v>
      </c>
      <c r="G108" s="12" t="s">
        <v>669</v>
      </c>
      <c r="H108" s="12" t="s">
        <v>31</v>
      </c>
      <c r="I108" s="12" t="s">
        <v>23</v>
      </c>
      <c r="J108" s="12" t="s">
        <v>670</v>
      </c>
      <c r="K108" s="12" t="s">
        <v>671</v>
      </c>
      <c r="L108" s="12">
        <v>3</v>
      </c>
      <c r="M108" s="9">
        <f t="shared" si="10"/>
        <v>30</v>
      </c>
      <c r="N108" s="9" t="s">
        <v>42</v>
      </c>
      <c r="O108" s="18" t="s">
        <v>26</v>
      </c>
      <c r="P108" s="17" t="s">
        <v>617</v>
      </c>
      <c r="Q108" s="19">
        <f t="shared" si="8"/>
        <v>0.12</v>
      </c>
      <c r="R108" s="12"/>
    </row>
    <row r="109" spans="1:18" ht="48">
      <c r="A109" s="2"/>
      <c r="B109" s="7">
        <f t="shared" si="9"/>
        <v>107</v>
      </c>
      <c r="C109" s="8" t="s">
        <v>609</v>
      </c>
      <c r="D109" s="9" t="s">
        <v>672</v>
      </c>
      <c r="E109" s="9" t="s">
        <v>673</v>
      </c>
      <c r="F109" s="9" t="s">
        <v>674</v>
      </c>
      <c r="G109" s="9" t="s">
        <v>675</v>
      </c>
      <c r="H109" s="9" t="s">
        <v>31</v>
      </c>
      <c r="I109" s="12" t="s">
        <v>23</v>
      </c>
      <c r="J109" s="9" t="s">
        <v>676</v>
      </c>
      <c r="K109" s="9" t="s">
        <v>633</v>
      </c>
      <c r="L109" s="9">
        <v>17</v>
      </c>
      <c r="M109" s="9">
        <f t="shared" si="10"/>
        <v>170</v>
      </c>
      <c r="N109" s="12" t="s">
        <v>42</v>
      </c>
      <c r="O109" s="18" t="s">
        <v>26</v>
      </c>
      <c r="P109" s="19" t="s">
        <v>677</v>
      </c>
      <c r="Q109" s="17">
        <f t="shared" si="8"/>
        <v>7.0000000000000007E-2</v>
      </c>
      <c r="R109" s="9"/>
    </row>
    <row r="110" spans="1:18">
      <c r="A110" s="2"/>
      <c r="B110" s="10">
        <f t="shared" si="9"/>
        <v>108</v>
      </c>
      <c r="C110" s="8" t="s">
        <v>609</v>
      </c>
      <c r="D110" s="12" t="s">
        <v>678</v>
      </c>
      <c r="E110" s="12" t="s">
        <v>679</v>
      </c>
      <c r="F110" s="12" t="s">
        <v>612</v>
      </c>
      <c r="G110" s="9" t="s">
        <v>680</v>
      </c>
      <c r="H110" s="9" t="s">
        <v>681</v>
      </c>
      <c r="I110" s="12" t="s">
        <v>23</v>
      </c>
      <c r="J110" s="12" t="s">
        <v>682</v>
      </c>
      <c r="K110" s="12" t="s">
        <v>683</v>
      </c>
      <c r="L110" s="12">
        <v>4</v>
      </c>
      <c r="M110" s="9">
        <f t="shared" si="10"/>
        <v>40</v>
      </c>
      <c r="N110" s="9">
        <v>40</v>
      </c>
      <c r="O110" s="18" t="s">
        <v>26</v>
      </c>
      <c r="P110" s="17" t="s">
        <v>684</v>
      </c>
      <c r="Q110" s="19">
        <f t="shared" si="8"/>
        <v>1.1479999999999999</v>
      </c>
      <c r="R110" s="12"/>
    </row>
    <row r="111" spans="1:18">
      <c r="A111" s="2"/>
      <c r="B111" s="7">
        <f t="shared" si="9"/>
        <v>109</v>
      </c>
      <c r="C111" s="8" t="s">
        <v>609</v>
      </c>
      <c r="D111" s="9" t="s">
        <v>685</v>
      </c>
      <c r="E111" s="9" t="s">
        <v>686</v>
      </c>
      <c r="F111" s="9" t="s">
        <v>612</v>
      </c>
      <c r="G111" s="9" t="s">
        <v>687</v>
      </c>
      <c r="H111" s="9" t="s">
        <v>31</v>
      </c>
      <c r="I111" s="12" t="s">
        <v>23</v>
      </c>
      <c r="J111" s="9" t="s">
        <v>688</v>
      </c>
      <c r="K111" s="9" t="s">
        <v>689</v>
      </c>
      <c r="L111" s="9">
        <v>1</v>
      </c>
      <c r="M111" s="9">
        <f t="shared" si="10"/>
        <v>10</v>
      </c>
      <c r="N111" s="12" t="s">
        <v>34</v>
      </c>
      <c r="O111" s="18" t="s">
        <v>26</v>
      </c>
      <c r="P111" s="19" t="s">
        <v>690</v>
      </c>
      <c r="Q111" s="17">
        <f t="shared" si="8"/>
        <v>0.41</v>
      </c>
      <c r="R111" s="9"/>
    </row>
    <row r="112" spans="1:18">
      <c r="A112" s="2"/>
      <c r="B112" s="10">
        <f t="shared" si="9"/>
        <v>110</v>
      </c>
      <c r="C112" s="8" t="s">
        <v>609</v>
      </c>
      <c r="D112" s="12" t="s">
        <v>691</v>
      </c>
      <c r="E112" s="12" t="s">
        <v>692</v>
      </c>
      <c r="F112" s="12" t="s">
        <v>612</v>
      </c>
      <c r="G112" s="12" t="s">
        <v>693</v>
      </c>
      <c r="H112" s="12" t="s">
        <v>31</v>
      </c>
      <c r="I112" s="12" t="s">
        <v>23</v>
      </c>
      <c r="J112" s="12" t="s">
        <v>694</v>
      </c>
      <c r="K112" s="12" t="s">
        <v>695</v>
      </c>
      <c r="L112" s="12">
        <v>4</v>
      </c>
      <c r="M112" s="9">
        <f t="shared" si="10"/>
        <v>40</v>
      </c>
      <c r="N112" s="9" t="s">
        <v>42</v>
      </c>
      <c r="O112" s="18" t="s">
        <v>26</v>
      </c>
      <c r="P112" s="17" t="s">
        <v>617</v>
      </c>
      <c r="Q112" s="19">
        <f t="shared" si="8"/>
        <v>0.12</v>
      </c>
      <c r="R112" s="12"/>
    </row>
    <row r="113" spans="1:18" ht="24">
      <c r="A113" s="2"/>
      <c r="B113" s="7">
        <f t="shared" si="9"/>
        <v>111</v>
      </c>
      <c r="C113" s="8" t="s">
        <v>609</v>
      </c>
      <c r="D113" s="9" t="s">
        <v>696</v>
      </c>
      <c r="E113" s="9" t="s">
        <v>697</v>
      </c>
      <c r="F113" s="9" t="s">
        <v>612</v>
      </c>
      <c r="G113" s="9" t="s">
        <v>698</v>
      </c>
      <c r="H113" s="9" t="s">
        <v>31</v>
      </c>
      <c r="I113" s="12" t="s">
        <v>23</v>
      </c>
      <c r="J113" s="9" t="s">
        <v>699</v>
      </c>
      <c r="K113" s="9" t="s">
        <v>683</v>
      </c>
      <c r="L113" s="9">
        <v>7</v>
      </c>
      <c r="M113" s="9">
        <f t="shared" si="10"/>
        <v>70</v>
      </c>
      <c r="N113" s="12" t="s">
        <v>42</v>
      </c>
      <c r="O113" s="18" t="s">
        <v>26</v>
      </c>
      <c r="P113" s="19" t="s">
        <v>120</v>
      </c>
      <c r="Q113" s="17">
        <f t="shared" si="8"/>
        <v>0.11</v>
      </c>
      <c r="R113" s="9"/>
    </row>
    <row r="114" spans="1:18">
      <c r="A114" s="2"/>
      <c r="B114" s="10">
        <f t="shared" si="9"/>
        <v>112</v>
      </c>
      <c r="C114" s="8" t="s">
        <v>609</v>
      </c>
      <c r="D114" s="12" t="s">
        <v>700</v>
      </c>
      <c r="E114" s="12" t="s">
        <v>701</v>
      </c>
      <c r="F114" s="12" t="s">
        <v>612</v>
      </c>
      <c r="G114" s="12" t="s">
        <v>702</v>
      </c>
      <c r="H114" s="12" t="s">
        <v>31</v>
      </c>
      <c r="I114" s="12" t="s">
        <v>23</v>
      </c>
      <c r="J114" s="12" t="s">
        <v>703</v>
      </c>
      <c r="K114" s="12" t="s">
        <v>704</v>
      </c>
      <c r="L114" s="12">
        <v>2</v>
      </c>
      <c r="M114" s="9">
        <f t="shared" si="10"/>
        <v>20</v>
      </c>
      <c r="N114" s="9" t="s">
        <v>42</v>
      </c>
      <c r="O114" s="18" t="s">
        <v>26</v>
      </c>
      <c r="P114" s="17" t="s">
        <v>617</v>
      </c>
      <c r="Q114" s="19">
        <f t="shared" si="8"/>
        <v>0.12</v>
      </c>
      <c r="R114" s="12"/>
    </row>
    <row r="115" spans="1:18" ht="24">
      <c r="A115" s="2"/>
      <c r="B115" s="7">
        <f t="shared" si="9"/>
        <v>113</v>
      </c>
      <c r="C115" s="8" t="s">
        <v>609</v>
      </c>
      <c r="D115" s="13" t="s">
        <v>705</v>
      </c>
      <c r="E115" s="13" t="s">
        <v>706</v>
      </c>
      <c r="F115" s="13" t="s">
        <v>674</v>
      </c>
      <c r="G115" s="13" t="s">
        <v>707</v>
      </c>
      <c r="H115" s="13" t="s">
        <v>31</v>
      </c>
      <c r="I115" s="12" t="s">
        <v>23</v>
      </c>
      <c r="J115" s="13" t="s">
        <v>708</v>
      </c>
      <c r="K115" s="13" t="s">
        <v>709</v>
      </c>
      <c r="L115" s="13">
        <v>1</v>
      </c>
      <c r="M115" s="9">
        <f t="shared" si="10"/>
        <v>10</v>
      </c>
      <c r="N115" s="23" t="s">
        <v>42</v>
      </c>
      <c r="O115" s="25" t="s">
        <v>26</v>
      </c>
      <c r="P115" s="26" t="s">
        <v>23</v>
      </c>
      <c r="Q115" s="24" t="s">
        <v>23</v>
      </c>
      <c r="R115" s="27" t="s">
        <v>550</v>
      </c>
    </row>
    <row r="116" spans="1:18" ht="24">
      <c r="A116" s="2"/>
      <c r="B116" s="10">
        <f t="shared" si="9"/>
        <v>114</v>
      </c>
      <c r="C116" s="8" t="s">
        <v>609</v>
      </c>
      <c r="D116" s="23" t="s">
        <v>710</v>
      </c>
      <c r="E116" s="23" t="s">
        <v>711</v>
      </c>
      <c r="F116" s="23" t="s">
        <v>612</v>
      </c>
      <c r="G116" s="23" t="s">
        <v>712</v>
      </c>
      <c r="H116" s="23" t="s">
        <v>31</v>
      </c>
      <c r="I116" s="12" t="s">
        <v>23</v>
      </c>
      <c r="J116" s="23" t="s">
        <v>713</v>
      </c>
      <c r="K116" s="23" t="s">
        <v>709</v>
      </c>
      <c r="L116" s="23">
        <v>7</v>
      </c>
      <c r="M116" s="9">
        <f t="shared" si="10"/>
        <v>70</v>
      </c>
      <c r="N116" s="13" t="s">
        <v>42</v>
      </c>
      <c r="O116" s="25" t="s">
        <v>26</v>
      </c>
      <c r="P116" s="24" t="s">
        <v>23</v>
      </c>
      <c r="Q116" s="26" t="s">
        <v>23</v>
      </c>
      <c r="R116" s="27" t="s">
        <v>550</v>
      </c>
    </row>
    <row r="117" spans="1:18" ht="96">
      <c r="A117" s="2"/>
      <c r="B117" s="7">
        <f t="shared" si="9"/>
        <v>115</v>
      </c>
      <c r="C117" s="8" t="s">
        <v>609</v>
      </c>
      <c r="D117" s="9" t="s">
        <v>714</v>
      </c>
      <c r="E117" s="9" t="s">
        <v>711</v>
      </c>
      <c r="F117" s="9" t="s">
        <v>612</v>
      </c>
      <c r="G117" s="9" t="s">
        <v>712</v>
      </c>
      <c r="H117" s="9" t="s">
        <v>31</v>
      </c>
      <c r="I117" s="12" t="s">
        <v>23</v>
      </c>
      <c r="J117" s="9" t="s">
        <v>713</v>
      </c>
      <c r="K117" s="9" t="s">
        <v>715</v>
      </c>
      <c r="L117" s="9">
        <v>44</v>
      </c>
      <c r="M117" s="9">
        <f t="shared" si="10"/>
        <v>440</v>
      </c>
      <c r="N117" s="12">
        <v>500</v>
      </c>
      <c r="O117" s="18" t="s">
        <v>26</v>
      </c>
      <c r="P117" s="19" t="s">
        <v>120</v>
      </c>
      <c r="Q117" s="17">
        <f t="shared" ref="Q117:Q143" si="11">P117*N117</f>
        <v>0.55000000000000004</v>
      </c>
      <c r="R117" s="9"/>
    </row>
    <row r="118" spans="1:18" ht="24">
      <c r="A118" s="2"/>
      <c r="B118" s="10">
        <f t="shared" si="9"/>
        <v>116</v>
      </c>
      <c r="C118" s="8" t="s">
        <v>609</v>
      </c>
      <c r="D118" s="12" t="s">
        <v>717</v>
      </c>
      <c r="E118" s="12" t="s">
        <v>718</v>
      </c>
      <c r="F118" s="12" t="s">
        <v>612</v>
      </c>
      <c r="G118" s="12" t="s">
        <v>719</v>
      </c>
      <c r="H118" s="12" t="s">
        <v>31</v>
      </c>
      <c r="I118" s="12" t="s">
        <v>23</v>
      </c>
      <c r="J118" s="12" t="s">
        <v>720</v>
      </c>
      <c r="K118" s="12" t="s">
        <v>649</v>
      </c>
      <c r="L118" s="12">
        <v>1</v>
      </c>
      <c r="M118" s="9">
        <f t="shared" si="10"/>
        <v>10</v>
      </c>
      <c r="N118" s="9" t="s">
        <v>113</v>
      </c>
      <c r="O118" s="18" t="s">
        <v>26</v>
      </c>
      <c r="P118" s="17" t="s">
        <v>721</v>
      </c>
      <c r="Q118" s="19">
        <f t="shared" si="11"/>
        <v>0.40600000000000003</v>
      </c>
      <c r="R118" s="12"/>
    </row>
    <row r="119" spans="1:18">
      <c r="A119" s="2"/>
      <c r="B119" s="7">
        <f t="shared" si="9"/>
        <v>117</v>
      </c>
      <c r="C119" s="8" t="s">
        <v>609</v>
      </c>
      <c r="D119" s="9" t="s">
        <v>722</v>
      </c>
      <c r="E119" s="9" t="s">
        <v>723</v>
      </c>
      <c r="F119" s="9" t="s">
        <v>724</v>
      </c>
      <c r="G119" s="9" t="s">
        <v>725</v>
      </c>
      <c r="H119" s="9" t="s">
        <v>31</v>
      </c>
      <c r="I119" s="12" t="s">
        <v>23</v>
      </c>
      <c r="J119" s="9" t="s">
        <v>726</v>
      </c>
      <c r="K119" s="9" t="s">
        <v>727</v>
      </c>
      <c r="L119" s="9">
        <v>1</v>
      </c>
      <c r="M119" s="9">
        <f t="shared" si="10"/>
        <v>10</v>
      </c>
      <c r="N119" s="12" t="s">
        <v>42</v>
      </c>
      <c r="O119" s="18" t="s">
        <v>26</v>
      </c>
      <c r="P119" s="19" t="s">
        <v>50</v>
      </c>
      <c r="Q119" s="17">
        <f t="shared" si="11"/>
        <v>0.22</v>
      </c>
      <c r="R119" s="9"/>
    </row>
    <row r="120" spans="1:18">
      <c r="A120" s="2"/>
      <c r="B120" s="10">
        <f t="shared" si="9"/>
        <v>118</v>
      </c>
      <c r="C120" s="8" t="s">
        <v>609</v>
      </c>
      <c r="D120" s="12" t="s">
        <v>728</v>
      </c>
      <c r="E120" s="12" t="s">
        <v>729</v>
      </c>
      <c r="F120" s="12" t="s">
        <v>612</v>
      </c>
      <c r="G120" s="12" t="s">
        <v>730</v>
      </c>
      <c r="H120" s="12" t="s">
        <v>31</v>
      </c>
      <c r="I120" s="12" t="s">
        <v>23</v>
      </c>
      <c r="J120" s="12" t="s">
        <v>731</v>
      </c>
      <c r="K120" s="12" t="s">
        <v>732</v>
      </c>
      <c r="L120" s="12">
        <v>4</v>
      </c>
      <c r="M120" s="9">
        <f t="shared" si="10"/>
        <v>40</v>
      </c>
      <c r="N120" s="9" t="s">
        <v>42</v>
      </c>
      <c r="O120" s="18" t="s">
        <v>26</v>
      </c>
      <c r="P120" s="17" t="s">
        <v>120</v>
      </c>
      <c r="Q120" s="19">
        <f t="shared" si="11"/>
        <v>0.11</v>
      </c>
      <c r="R120" s="12"/>
    </row>
    <row r="121" spans="1:18" ht="24">
      <c r="A121" s="2"/>
      <c r="B121" s="7">
        <f t="shared" si="9"/>
        <v>119</v>
      </c>
      <c r="C121" s="8" t="s">
        <v>609</v>
      </c>
      <c r="D121" s="9" t="s">
        <v>733</v>
      </c>
      <c r="E121" s="9" t="s">
        <v>734</v>
      </c>
      <c r="F121" s="9" t="s">
        <v>612</v>
      </c>
      <c r="G121" s="9" t="s">
        <v>735</v>
      </c>
      <c r="H121" s="9" t="s">
        <v>31</v>
      </c>
      <c r="I121" s="12" t="s">
        <v>23</v>
      </c>
      <c r="J121" s="9" t="s">
        <v>736</v>
      </c>
      <c r="K121" s="9" t="s">
        <v>737</v>
      </c>
      <c r="L121" s="9">
        <v>1</v>
      </c>
      <c r="M121" s="9">
        <f t="shared" si="10"/>
        <v>10</v>
      </c>
      <c r="N121" s="12" t="s">
        <v>113</v>
      </c>
      <c r="O121" s="18" t="s">
        <v>26</v>
      </c>
      <c r="P121" s="19" t="s">
        <v>738</v>
      </c>
      <c r="Q121" s="17">
        <f t="shared" si="11"/>
        <v>0.47599999999999998</v>
      </c>
      <c r="R121" s="9"/>
    </row>
    <row r="122" spans="1:18">
      <c r="A122" s="2"/>
      <c r="B122" s="10">
        <f t="shared" si="9"/>
        <v>120</v>
      </c>
      <c r="C122" s="8" t="s">
        <v>609</v>
      </c>
      <c r="D122" s="12" t="s">
        <v>739</v>
      </c>
      <c r="E122" s="12" t="s">
        <v>740</v>
      </c>
      <c r="F122" s="12" t="s">
        <v>652</v>
      </c>
      <c r="G122" s="12" t="s">
        <v>741</v>
      </c>
      <c r="H122" s="12" t="s">
        <v>742</v>
      </c>
      <c r="I122" s="12" t="s">
        <v>23</v>
      </c>
      <c r="J122" s="12" t="s">
        <v>743</v>
      </c>
      <c r="K122" s="12" t="s">
        <v>744</v>
      </c>
      <c r="L122" s="12">
        <v>2</v>
      </c>
      <c r="M122" s="9">
        <f t="shared" si="10"/>
        <v>20</v>
      </c>
      <c r="N122" s="9">
        <v>20</v>
      </c>
      <c r="O122" s="18" t="s">
        <v>26</v>
      </c>
      <c r="P122" s="17" t="s">
        <v>745</v>
      </c>
      <c r="Q122" s="19">
        <f t="shared" si="11"/>
        <v>1.944</v>
      </c>
      <c r="R122" s="12"/>
    </row>
    <row r="123" spans="1:18">
      <c r="A123" s="2"/>
      <c r="B123" s="7">
        <f t="shared" si="9"/>
        <v>121</v>
      </c>
      <c r="C123" s="8" t="s">
        <v>609</v>
      </c>
      <c r="D123" s="9" t="s">
        <v>746</v>
      </c>
      <c r="E123" s="9" t="s">
        <v>747</v>
      </c>
      <c r="F123" s="9" t="s">
        <v>612</v>
      </c>
      <c r="G123" s="9" t="s">
        <v>748</v>
      </c>
      <c r="H123" s="9" t="s">
        <v>31</v>
      </c>
      <c r="I123" s="12" t="s">
        <v>23</v>
      </c>
      <c r="J123" s="9" t="s">
        <v>749</v>
      </c>
      <c r="K123" s="9" t="s">
        <v>750</v>
      </c>
      <c r="L123" s="9">
        <v>2</v>
      </c>
      <c r="M123" s="9">
        <f t="shared" si="10"/>
        <v>20</v>
      </c>
      <c r="N123" s="12" t="s">
        <v>42</v>
      </c>
      <c r="O123" s="18" t="s">
        <v>26</v>
      </c>
      <c r="P123" s="19" t="s">
        <v>617</v>
      </c>
      <c r="Q123" s="17">
        <f t="shared" si="11"/>
        <v>0.12</v>
      </c>
      <c r="R123" s="9"/>
    </row>
    <row r="124" spans="1:18">
      <c r="A124" s="2"/>
      <c r="B124" s="10">
        <f t="shared" si="9"/>
        <v>122</v>
      </c>
      <c r="C124" s="8" t="s">
        <v>609</v>
      </c>
      <c r="D124" s="12" t="s">
        <v>751</v>
      </c>
      <c r="E124" s="12" t="s">
        <v>752</v>
      </c>
      <c r="F124" s="12" t="s">
        <v>724</v>
      </c>
      <c r="G124" s="12" t="s">
        <v>753</v>
      </c>
      <c r="H124" s="12" t="s">
        <v>31</v>
      </c>
      <c r="I124" s="12" t="s">
        <v>23</v>
      </c>
      <c r="J124" s="12" t="s">
        <v>754</v>
      </c>
      <c r="K124" s="12" t="s">
        <v>755</v>
      </c>
      <c r="L124" s="12">
        <v>1</v>
      </c>
      <c r="M124" s="9">
        <f t="shared" si="10"/>
        <v>10</v>
      </c>
      <c r="N124" s="9" t="s">
        <v>42</v>
      </c>
      <c r="O124" s="18" t="s">
        <v>26</v>
      </c>
      <c r="P124" s="17" t="s">
        <v>756</v>
      </c>
      <c r="Q124" s="19">
        <f t="shared" si="11"/>
        <v>0.49</v>
      </c>
      <c r="R124" s="12"/>
    </row>
    <row r="125" spans="1:18">
      <c r="A125" s="2"/>
      <c r="B125" s="7">
        <f t="shared" si="9"/>
        <v>123</v>
      </c>
      <c r="C125" s="8" t="s">
        <v>609</v>
      </c>
      <c r="D125" s="9" t="s">
        <v>757</v>
      </c>
      <c r="E125" s="9" t="s">
        <v>758</v>
      </c>
      <c r="F125" s="9" t="s">
        <v>674</v>
      </c>
      <c r="G125" s="9" t="s">
        <v>759</v>
      </c>
      <c r="H125" s="9" t="s">
        <v>31</v>
      </c>
      <c r="I125" s="12" t="s">
        <v>23</v>
      </c>
      <c r="J125" s="9" t="s">
        <v>760</v>
      </c>
      <c r="K125" s="9" t="s">
        <v>761</v>
      </c>
      <c r="L125" s="9">
        <v>1</v>
      </c>
      <c r="M125" s="9">
        <f t="shared" si="10"/>
        <v>10</v>
      </c>
      <c r="N125" s="12" t="s">
        <v>131</v>
      </c>
      <c r="O125" s="18" t="s">
        <v>26</v>
      </c>
      <c r="P125" s="19" t="s">
        <v>762</v>
      </c>
      <c r="Q125" s="17">
        <f t="shared" si="11"/>
        <v>0.442</v>
      </c>
      <c r="R125" s="9"/>
    </row>
    <row r="126" spans="1:18" ht="24">
      <c r="A126" s="2"/>
      <c r="B126" s="10">
        <f t="shared" si="9"/>
        <v>124</v>
      </c>
      <c r="C126" s="8" t="s">
        <v>609</v>
      </c>
      <c r="D126" s="12" t="s">
        <v>763</v>
      </c>
      <c r="E126" s="12" t="s">
        <v>764</v>
      </c>
      <c r="F126" s="12" t="s">
        <v>674</v>
      </c>
      <c r="G126" s="12" t="s">
        <v>765</v>
      </c>
      <c r="H126" s="12" t="s">
        <v>31</v>
      </c>
      <c r="I126" s="12" t="s">
        <v>23</v>
      </c>
      <c r="J126" s="12" t="s">
        <v>766</v>
      </c>
      <c r="K126" s="12" t="s">
        <v>767</v>
      </c>
      <c r="L126" s="12">
        <v>1</v>
      </c>
      <c r="M126" s="9">
        <f t="shared" si="10"/>
        <v>10</v>
      </c>
      <c r="N126" s="9" t="s">
        <v>34</v>
      </c>
      <c r="O126" s="18" t="s">
        <v>26</v>
      </c>
      <c r="P126" s="17" t="s">
        <v>768</v>
      </c>
      <c r="Q126" s="19">
        <f t="shared" si="11"/>
        <v>0.99</v>
      </c>
      <c r="R126" s="12"/>
    </row>
    <row r="127" spans="1:18" ht="24">
      <c r="A127" s="2"/>
      <c r="B127" s="7">
        <f t="shared" si="9"/>
        <v>125</v>
      </c>
      <c r="C127" s="8" t="s">
        <v>609</v>
      </c>
      <c r="D127" s="9" t="s">
        <v>769</v>
      </c>
      <c r="E127" s="9" t="s">
        <v>770</v>
      </c>
      <c r="F127" s="9" t="s">
        <v>612</v>
      </c>
      <c r="G127" s="9" t="s">
        <v>771</v>
      </c>
      <c r="H127" s="9" t="s">
        <v>31</v>
      </c>
      <c r="I127" s="12" t="s">
        <v>23</v>
      </c>
      <c r="J127" s="9" t="s">
        <v>772</v>
      </c>
      <c r="K127" s="9" t="s">
        <v>773</v>
      </c>
      <c r="L127" s="9">
        <v>1</v>
      </c>
      <c r="M127" s="9">
        <f t="shared" si="10"/>
        <v>10</v>
      </c>
      <c r="N127" s="12" t="s">
        <v>131</v>
      </c>
      <c r="O127" s="18" t="s">
        <v>26</v>
      </c>
      <c r="P127" s="19" t="s">
        <v>774</v>
      </c>
      <c r="Q127" s="17">
        <f t="shared" si="11"/>
        <v>0.65900000000000003</v>
      </c>
      <c r="R127" s="9"/>
    </row>
    <row r="128" spans="1:18" ht="24">
      <c r="A128" s="2"/>
      <c r="B128" s="10">
        <f t="shared" si="9"/>
        <v>126</v>
      </c>
      <c r="C128" s="8" t="s">
        <v>609</v>
      </c>
      <c r="D128" s="12" t="s">
        <v>775</v>
      </c>
      <c r="E128" s="12" t="s">
        <v>776</v>
      </c>
      <c r="F128" s="12" t="s">
        <v>674</v>
      </c>
      <c r="G128" s="12" t="s">
        <v>777</v>
      </c>
      <c r="H128" s="12" t="s">
        <v>31</v>
      </c>
      <c r="I128" s="12" t="s">
        <v>23</v>
      </c>
      <c r="J128" s="12" t="s">
        <v>778</v>
      </c>
      <c r="K128" s="12" t="s">
        <v>715</v>
      </c>
      <c r="L128" s="12">
        <v>10</v>
      </c>
      <c r="M128" s="9">
        <f t="shared" si="10"/>
        <v>100</v>
      </c>
      <c r="N128" s="9" t="s">
        <v>42</v>
      </c>
      <c r="O128" s="18" t="s">
        <v>26</v>
      </c>
      <c r="P128" s="17" t="s">
        <v>779</v>
      </c>
      <c r="Q128" s="19">
        <f t="shared" si="11"/>
        <v>0.06</v>
      </c>
      <c r="R128" s="12"/>
    </row>
    <row r="129" spans="1:18">
      <c r="A129" s="2"/>
      <c r="B129" s="7">
        <f t="shared" si="9"/>
        <v>127</v>
      </c>
      <c r="C129" s="8" t="s">
        <v>609</v>
      </c>
      <c r="D129" s="9" t="s">
        <v>780</v>
      </c>
      <c r="E129" s="9" t="s">
        <v>781</v>
      </c>
      <c r="F129" s="9" t="s">
        <v>724</v>
      </c>
      <c r="G129" s="9" t="s">
        <v>782</v>
      </c>
      <c r="H129" s="9" t="s">
        <v>31</v>
      </c>
      <c r="I129" s="12" t="s">
        <v>23</v>
      </c>
      <c r="J129" s="9" t="s">
        <v>783</v>
      </c>
      <c r="K129" s="9" t="s">
        <v>784</v>
      </c>
      <c r="L129" s="9">
        <v>1</v>
      </c>
      <c r="M129" s="9">
        <f t="shared" si="10"/>
        <v>10</v>
      </c>
      <c r="N129" s="12" t="s">
        <v>42</v>
      </c>
      <c r="O129" s="18" t="s">
        <v>26</v>
      </c>
      <c r="P129" s="19" t="s">
        <v>785</v>
      </c>
      <c r="Q129" s="17">
        <f t="shared" si="11"/>
        <v>0.27</v>
      </c>
      <c r="R129" s="9"/>
    </row>
    <row r="130" spans="1:18">
      <c r="A130" s="2"/>
      <c r="B130" s="10">
        <f t="shared" si="9"/>
        <v>128</v>
      </c>
      <c r="C130" s="8" t="s">
        <v>609</v>
      </c>
      <c r="D130" s="12" t="s">
        <v>786</v>
      </c>
      <c r="E130" s="12" t="s">
        <v>787</v>
      </c>
      <c r="F130" s="12" t="s">
        <v>612</v>
      </c>
      <c r="G130" s="12" t="s">
        <v>788</v>
      </c>
      <c r="H130" s="12" t="s">
        <v>31</v>
      </c>
      <c r="I130" s="12" t="s">
        <v>23</v>
      </c>
      <c r="J130" s="12" t="s">
        <v>789</v>
      </c>
      <c r="K130" s="12" t="s">
        <v>790</v>
      </c>
      <c r="L130" s="12">
        <v>1</v>
      </c>
      <c r="M130" s="9">
        <f t="shared" si="10"/>
        <v>10</v>
      </c>
      <c r="N130" s="9" t="s">
        <v>42</v>
      </c>
      <c r="O130" s="18" t="s">
        <v>26</v>
      </c>
      <c r="P130" s="17" t="s">
        <v>617</v>
      </c>
      <c r="Q130" s="19">
        <f t="shared" si="11"/>
        <v>0.12</v>
      </c>
      <c r="R130" s="12"/>
    </row>
    <row r="131" spans="1:18" ht="36">
      <c r="A131" s="2"/>
      <c r="B131" s="7">
        <f t="shared" ref="B131:B162" si="12">ROW(B131)-ROW($B$2)</f>
        <v>129</v>
      </c>
      <c r="C131" s="8" t="s">
        <v>609</v>
      </c>
      <c r="D131" s="9" t="s">
        <v>791</v>
      </c>
      <c r="E131" s="9" t="s">
        <v>792</v>
      </c>
      <c r="F131" s="9" t="s">
        <v>612</v>
      </c>
      <c r="G131" s="9" t="s">
        <v>793</v>
      </c>
      <c r="H131" s="9" t="s">
        <v>794</v>
      </c>
      <c r="I131" s="12" t="s">
        <v>23</v>
      </c>
      <c r="J131" s="9" t="s">
        <v>795</v>
      </c>
      <c r="K131" s="9" t="s">
        <v>761</v>
      </c>
      <c r="L131" s="9">
        <v>1</v>
      </c>
      <c r="M131" s="9">
        <f t="shared" si="10"/>
        <v>10</v>
      </c>
      <c r="N131" s="12" t="s">
        <v>113</v>
      </c>
      <c r="O131" s="18" t="s">
        <v>26</v>
      </c>
      <c r="P131" s="19" t="s">
        <v>796</v>
      </c>
      <c r="Q131" s="17">
        <f t="shared" si="11"/>
        <v>0.52600000000000002</v>
      </c>
      <c r="R131" s="9"/>
    </row>
    <row r="132" spans="1:18" ht="24">
      <c r="A132" s="2"/>
      <c r="B132" s="10">
        <f t="shared" si="12"/>
        <v>130</v>
      </c>
      <c r="C132" s="8" t="s">
        <v>609</v>
      </c>
      <c r="D132" s="12" t="s">
        <v>797</v>
      </c>
      <c r="E132" s="12" t="s">
        <v>798</v>
      </c>
      <c r="F132" s="12" t="s">
        <v>674</v>
      </c>
      <c r="G132" s="12" t="s">
        <v>799</v>
      </c>
      <c r="H132" s="12" t="s">
        <v>31</v>
      </c>
      <c r="I132" s="12" t="s">
        <v>23</v>
      </c>
      <c r="J132" s="12" t="s">
        <v>800</v>
      </c>
      <c r="K132" s="12" t="s">
        <v>801</v>
      </c>
      <c r="L132" s="12">
        <v>1</v>
      </c>
      <c r="M132" s="9">
        <f t="shared" ref="M132:M163" si="13">L132*10</f>
        <v>10</v>
      </c>
      <c r="N132" s="9" t="s">
        <v>34</v>
      </c>
      <c r="O132" s="18" t="s">
        <v>26</v>
      </c>
      <c r="P132" s="17" t="s">
        <v>802</v>
      </c>
      <c r="Q132" s="19">
        <f t="shared" si="11"/>
        <v>1.0049999999999999</v>
      </c>
      <c r="R132" s="12"/>
    </row>
    <row r="133" spans="1:18">
      <c r="A133" s="2"/>
      <c r="B133" s="7">
        <f t="shared" si="12"/>
        <v>131</v>
      </c>
      <c r="C133" s="8" t="s">
        <v>609</v>
      </c>
      <c r="D133" s="9" t="s">
        <v>803</v>
      </c>
      <c r="E133" s="9" t="s">
        <v>804</v>
      </c>
      <c r="F133" s="9" t="s">
        <v>805</v>
      </c>
      <c r="G133" s="9" t="s">
        <v>806</v>
      </c>
      <c r="H133" s="9" t="s">
        <v>31</v>
      </c>
      <c r="I133" s="12" t="s">
        <v>23</v>
      </c>
      <c r="J133" s="9" t="s">
        <v>807</v>
      </c>
      <c r="K133" s="9" t="s">
        <v>715</v>
      </c>
      <c r="L133" s="9">
        <v>1</v>
      </c>
      <c r="M133" s="9">
        <f t="shared" si="13"/>
        <v>10</v>
      </c>
      <c r="N133" s="12" t="s">
        <v>113</v>
      </c>
      <c r="O133" s="18" t="s">
        <v>26</v>
      </c>
      <c r="P133" s="19" t="s">
        <v>808</v>
      </c>
      <c r="Q133" s="17">
        <f t="shared" si="11"/>
        <v>0.63400000000000001</v>
      </c>
      <c r="R133" s="9"/>
    </row>
    <row r="134" spans="1:18">
      <c r="A134" s="2"/>
      <c r="B134" s="10">
        <f t="shared" si="12"/>
        <v>132</v>
      </c>
      <c r="C134" s="8" t="s">
        <v>609</v>
      </c>
      <c r="D134" s="12" t="s">
        <v>809</v>
      </c>
      <c r="E134" s="12" t="s">
        <v>810</v>
      </c>
      <c r="F134" s="12" t="s">
        <v>674</v>
      </c>
      <c r="G134" s="12" t="s">
        <v>811</v>
      </c>
      <c r="H134" s="12" t="s">
        <v>31</v>
      </c>
      <c r="I134" s="12" t="s">
        <v>23</v>
      </c>
      <c r="J134" s="12" t="s">
        <v>812</v>
      </c>
      <c r="K134" s="12" t="s">
        <v>813</v>
      </c>
      <c r="L134" s="12">
        <v>1</v>
      </c>
      <c r="M134" s="9">
        <f t="shared" si="13"/>
        <v>10</v>
      </c>
      <c r="N134" s="9" t="s">
        <v>42</v>
      </c>
      <c r="O134" s="18" t="s">
        <v>26</v>
      </c>
      <c r="P134" s="17" t="s">
        <v>814</v>
      </c>
      <c r="Q134" s="19">
        <f t="shared" si="11"/>
        <v>0.16</v>
      </c>
      <c r="R134" s="12"/>
    </row>
    <row r="135" spans="1:18">
      <c r="A135" s="2"/>
      <c r="B135" s="7">
        <f t="shared" si="12"/>
        <v>133</v>
      </c>
      <c r="C135" s="8" t="s">
        <v>609</v>
      </c>
      <c r="D135" s="9" t="s">
        <v>815</v>
      </c>
      <c r="E135" s="9" t="s">
        <v>816</v>
      </c>
      <c r="F135" s="9" t="s">
        <v>817</v>
      </c>
      <c r="G135" s="9" t="s">
        <v>818</v>
      </c>
      <c r="H135" s="9" t="s">
        <v>31</v>
      </c>
      <c r="I135" s="12" t="s">
        <v>23</v>
      </c>
      <c r="J135" s="9" t="s">
        <v>819</v>
      </c>
      <c r="K135" s="9" t="s">
        <v>727</v>
      </c>
      <c r="L135" s="9">
        <v>1</v>
      </c>
      <c r="M135" s="9">
        <f t="shared" si="13"/>
        <v>10</v>
      </c>
      <c r="N135" s="12" t="s">
        <v>42</v>
      </c>
      <c r="O135" s="18" t="s">
        <v>26</v>
      </c>
      <c r="P135" s="19" t="s">
        <v>820</v>
      </c>
      <c r="Q135" s="17">
        <f t="shared" si="11"/>
        <v>0.08</v>
      </c>
      <c r="R135" s="9"/>
    </row>
    <row r="136" spans="1:18">
      <c r="A136" s="2"/>
      <c r="B136" s="10">
        <f t="shared" si="12"/>
        <v>134</v>
      </c>
      <c r="C136" s="8" t="s">
        <v>609</v>
      </c>
      <c r="D136" s="12" t="s">
        <v>821</v>
      </c>
      <c r="E136" s="12" t="s">
        <v>822</v>
      </c>
      <c r="F136" s="12" t="s">
        <v>674</v>
      </c>
      <c r="G136" s="12" t="s">
        <v>823</v>
      </c>
      <c r="H136" s="12" t="s">
        <v>31</v>
      </c>
      <c r="I136" s="12" t="s">
        <v>23</v>
      </c>
      <c r="J136" s="12" t="s">
        <v>824</v>
      </c>
      <c r="K136" s="12" t="s">
        <v>825</v>
      </c>
      <c r="L136" s="12">
        <v>1</v>
      </c>
      <c r="M136" s="9">
        <f t="shared" si="13"/>
        <v>10</v>
      </c>
      <c r="N136" s="9" t="s">
        <v>42</v>
      </c>
      <c r="O136" s="18" t="s">
        <v>26</v>
      </c>
      <c r="P136" s="17" t="s">
        <v>677</v>
      </c>
      <c r="Q136" s="19">
        <f t="shared" si="11"/>
        <v>7.0000000000000007E-2</v>
      </c>
      <c r="R136" s="12"/>
    </row>
    <row r="137" spans="1:18">
      <c r="A137" s="2"/>
      <c r="B137" s="7">
        <f t="shared" si="12"/>
        <v>135</v>
      </c>
      <c r="C137" s="8" t="s">
        <v>609</v>
      </c>
      <c r="D137" s="9" t="s">
        <v>826</v>
      </c>
      <c r="E137" s="9" t="s">
        <v>827</v>
      </c>
      <c r="F137" s="9" t="s">
        <v>828</v>
      </c>
      <c r="G137" s="9" t="s">
        <v>829</v>
      </c>
      <c r="H137" s="9" t="s">
        <v>31</v>
      </c>
      <c r="I137" s="12" t="s">
        <v>23</v>
      </c>
      <c r="J137" s="9" t="s">
        <v>830</v>
      </c>
      <c r="K137" s="9" t="s">
        <v>732</v>
      </c>
      <c r="L137" s="9">
        <v>1</v>
      </c>
      <c r="M137" s="9">
        <f t="shared" si="13"/>
        <v>10</v>
      </c>
      <c r="N137" s="12" t="s">
        <v>34</v>
      </c>
      <c r="O137" s="18" t="s">
        <v>26</v>
      </c>
      <c r="P137" s="19" t="s">
        <v>831</v>
      </c>
      <c r="Q137" s="17">
        <f t="shared" si="11"/>
        <v>0.52</v>
      </c>
      <c r="R137" s="9"/>
    </row>
    <row r="138" spans="1:18" ht="24">
      <c r="A138" s="2"/>
      <c r="B138" s="10">
        <f t="shared" si="12"/>
        <v>136</v>
      </c>
      <c r="C138" s="8" t="s">
        <v>609</v>
      </c>
      <c r="D138" s="12" t="s">
        <v>832</v>
      </c>
      <c r="E138" s="12" t="s">
        <v>833</v>
      </c>
      <c r="F138" s="12" t="s">
        <v>612</v>
      </c>
      <c r="G138" s="12" t="s">
        <v>834</v>
      </c>
      <c r="H138" s="12" t="s">
        <v>31</v>
      </c>
      <c r="I138" s="12" t="s">
        <v>23</v>
      </c>
      <c r="J138" s="12" t="s">
        <v>835</v>
      </c>
      <c r="K138" s="12" t="s">
        <v>836</v>
      </c>
      <c r="L138" s="12">
        <v>1</v>
      </c>
      <c r="M138" s="9">
        <f t="shared" si="13"/>
        <v>10</v>
      </c>
      <c r="N138" s="9" t="s">
        <v>113</v>
      </c>
      <c r="O138" s="18" t="s">
        <v>26</v>
      </c>
      <c r="P138" s="17" t="s">
        <v>837</v>
      </c>
      <c r="Q138" s="19">
        <f t="shared" si="11"/>
        <v>0.496</v>
      </c>
      <c r="R138" s="12"/>
    </row>
    <row r="139" spans="1:18">
      <c r="A139" s="2"/>
      <c r="B139" s="7">
        <f t="shared" si="12"/>
        <v>137</v>
      </c>
      <c r="C139" s="8" t="s">
        <v>609</v>
      </c>
      <c r="D139" s="9" t="s">
        <v>838</v>
      </c>
      <c r="E139" s="9" t="s">
        <v>839</v>
      </c>
      <c r="F139" s="9" t="s">
        <v>612</v>
      </c>
      <c r="G139" s="9" t="s">
        <v>840</v>
      </c>
      <c r="H139" s="9" t="s">
        <v>31</v>
      </c>
      <c r="I139" s="12" t="s">
        <v>23</v>
      </c>
      <c r="J139" s="9" t="s">
        <v>841</v>
      </c>
      <c r="K139" s="9" t="s">
        <v>842</v>
      </c>
      <c r="L139" s="9">
        <v>2</v>
      </c>
      <c r="M139" s="9">
        <f t="shared" si="13"/>
        <v>20</v>
      </c>
      <c r="N139" s="12" t="s">
        <v>42</v>
      </c>
      <c r="O139" s="18" t="s">
        <v>26</v>
      </c>
      <c r="P139" s="19" t="s">
        <v>617</v>
      </c>
      <c r="Q139" s="17">
        <f t="shared" si="11"/>
        <v>0.12</v>
      </c>
      <c r="R139" s="9"/>
    </row>
    <row r="140" spans="1:18" ht="36">
      <c r="A140" s="2"/>
      <c r="B140" s="10">
        <f t="shared" si="12"/>
        <v>138</v>
      </c>
      <c r="C140" s="8" t="s">
        <v>609</v>
      </c>
      <c r="D140" s="12" t="s">
        <v>843</v>
      </c>
      <c r="E140" s="12" t="s">
        <v>844</v>
      </c>
      <c r="F140" s="12" t="s">
        <v>674</v>
      </c>
      <c r="G140" s="12" t="s">
        <v>845</v>
      </c>
      <c r="H140" s="12" t="s">
        <v>31</v>
      </c>
      <c r="I140" s="12" t="s">
        <v>23</v>
      </c>
      <c r="J140" s="12" t="s">
        <v>846</v>
      </c>
      <c r="K140" s="12" t="s">
        <v>683</v>
      </c>
      <c r="L140" s="12">
        <v>13</v>
      </c>
      <c r="M140" s="9">
        <f t="shared" si="13"/>
        <v>130</v>
      </c>
      <c r="N140" s="9">
        <v>200</v>
      </c>
      <c r="O140" s="18" t="s">
        <v>26</v>
      </c>
      <c r="P140" s="17" t="s">
        <v>779</v>
      </c>
      <c r="Q140" s="19">
        <f t="shared" si="11"/>
        <v>0.12</v>
      </c>
      <c r="R140" s="12"/>
    </row>
    <row r="141" spans="1:18">
      <c r="A141" s="2"/>
      <c r="B141" s="7">
        <f t="shared" si="12"/>
        <v>139</v>
      </c>
      <c r="C141" s="8" t="s">
        <v>609</v>
      </c>
      <c r="D141" s="9" t="s">
        <v>847</v>
      </c>
      <c r="E141" s="9" t="s">
        <v>848</v>
      </c>
      <c r="F141" s="9" t="s">
        <v>612</v>
      </c>
      <c r="G141" s="9" t="s">
        <v>849</v>
      </c>
      <c r="H141" s="9" t="s">
        <v>850</v>
      </c>
      <c r="I141" s="12" t="s">
        <v>23</v>
      </c>
      <c r="J141" s="9" t="s">
        <v>851</v>
      </c>
      <c r="K141" s="9" t="s">
        <v>665</v>
      </c>
      <c r="L141" s="9">
        <v>1</v>
      </c>
      <c r="M141" s="9">
        <f t="shared" si="13"/>
        <v>10</v>
      </c>
      <c r="N141" s="12" t="s">
        <v>42</v>
      </c>
      <c r="O141" s="18" t="s">
        <v>26</v>
      </c>
      <c r="P141" s="19" t="s">
        <v>617</v>
      </c>
      <c r="Q141" s="17">
        <f t="shared" si="11"/>
        <v>0.12</v>
      </c>
      <c r="R141" s="9"/>
    </row>
    <row r="142" spans="1:18" ht="24">
      <c r="A142" s="2"/>
      <c r="B142" s="10">
        <f t="shared" si="12"/>
        <v>140</v>
      </c>
      <c r="C142" s="8" t="s">
        <v>609</v>
      </c>
      <c r="D142" s="12" t="s">
        <v>852</v>
      </c>
      <c r="E142" s="12" t="s">
        <v>853</v>
      </c>
      <c r="F142" s="12" t="s">
        <v>612</v>
      </c>
      <c r="G142" s="12" t="s">
        <v>854</v>
      </c>
      <c r="H142" s="12" t="s">
        <v>855</v>
      </c>
      <c r="I142" s="12" t="s">
        <v>23</v>
      </c>
      <c r="J142" s="9" t="s">
        <v>856</v>
      </c>
      <c r="K142" s="12" t="s">
        <v>857</v>
      </c>
      <c r="L142" s="12">
        <v>2</v>
      </c>
      <c r="M142" s="9">
        <f t="shared" si="13"/>
        <v>20</v>
      </c>
      <c r="N142" s="9">
        <v>20</v>
      </c>
      <c r="O142" s="18" t="s">
        <v>26</v>
      </c>
      <c r="P142" s="17" t="s">
        <v>858</v>
      </c>
      <c r="Q142" s="19">
        <f t="shared" si="11"/>
        <v>7.1999999999999995E-2</v>
      </c>
      <c r="R142" s="12"/>
    </row>
    <row r="143" spans="1:18">
      <c r="A143" s="2"/>
      <c r="B143" s="7">
        <f t="shared" si="12"/>
        <v>141</v>
      </c>
      <c r="C143" s="8" t="s">
        <v>609</v>
      </c>
      <c r="D143" s="9" t="s">
        <v>859</v>
      </c>
      <c r="E143" s="9" t="s">
        <v>860</v>
      </c>
      <c r="F143" s="9" t="s">
        <v>674</v>
      </c>
      <c r="G143" s="9" t="s">
        <v>861</v>
      </c>
      <c r="H143" s="9" t="s">
        <v>31</v>
      </c>
      <c r="I143" s="12" t="s">
        <v>23</v>
      </c>
      <c r="J143" s="9" t="s">
        <v>862</v>
      </c>
      <c r="K143" s="9" t="s">
        <v>732</v>
      </c>
      <c r="L143" s="9">
        <v>2</v>
      </c>
      <c r="M143" s="9">
        <f t="shared" si="13"/>
        <v>20</v>
      </c>
      <c r="N143" s="12" t="s">
        <v>42</v>
      </c>
      <c r="O143" s="18" t="s">
        <v>26</v>
      </c>
      <c r="P143" s="19" t="s">
        <v>779</v>
      </c>
      <c r="Q143" s="17">
        <f t="shared" si="11"/>
        <v>0.06</v>
      </c>
      <c r="R143" s="9"/>
    </row>
    <row r="144" spans="1:18" ht="24">
      <c r="A144" s="2"/>
      <c r="B144" s="10">
        <f t="shared" si="12"/>
        <v>142</v>
      </c>
      <c r="C144" s="8" t="s">
        <v>609</v>
      </c>
      <c r="D144" s="23" t="s">
        <v>863</v>
      </c>
      <c r="E144" s="23" t="s">
        <v>864</v>
      </c>
      <c r="F144" s="23" t="s">
        <v>828</v>
      </c>
      <c r="G144" s="23" t="s">
        <v>865</v>
      </c>
      <c r="H144" s="23" t="s">
        <v>31</v>
      </c>
      <c r="I144" s="12" t="s">
        <v>23</v>
      </c>
      <c r="J144" s="23"/>
      <c r="K144" s="23" t="s">
        <v>709</v>
      </c>
      <c r="L144" s="23">
        <v>1</v>
      </c>
      <c r="M144" s="9">
        <f t="shared" si="13"/>
        <v>10</v>
      </c>
      <c r="N144" s="13" t="s">
        <v>42</v>
      </c>
      <c r="O144" s="25" t="s">
        <v>26</v>
      </c>
      <c r="P144" s="24" t="s">
        <v>23</v>
      </c>
      <c r="Q144" s="26" t="s">
        <v>23</v>
      </c>
      <c r="R144" s="27" t="s">
        <v>550</v>
      </c>
    </row>
    <row r="145" spans="1:18" ht="48">
      <c r="A145" s="2"/>
      <c r="B145" s="7">
        <f t="shared" si="12"/>
        <v>143</v>
      </c>
      <c r="C145" s="8" t="s">
        <v>609</v>
      </c>
      <c r="D145" s="9" t="s">
        <v>866</v>
      </c>
      <c r="E145" s="9" t="s">
        <v>867</v>
      </c>
      <c r="F145" s="9" t="s">
        <v>868</v>
      </c>
      <c r="G145" s="9" t="s">
        <v>869</v>
      </c>
      <c r="H145" s="9" t="s">
        <v>870</v>
      </c>
      <c r="I145" s="12" t="s">
        <v>23</v>
      </c>
      <c r="J145" s="9" t="s">
        <v>871</v>
      </c>
      <c r="K145" s="9" t="s">
        <v>872</v>
      </c>
      <c r="L145" s="9">
        <v>1</v>
      </c>
      <c r="M145" s="9">
        <f t="shared" si="13"/>
        <v>10</v>
      </c>
      <c r="N145" s="12" t="s">
        <v>131</v>
      </c>
      <c r="O145" s="18" t="s">
        <v>26</v>
      </c>
      <c r="P145" s="19" t="s">
        <v>873</v>
      </c>
      <c r="Q145" s="17">
        <f t="shared" ref="Q145:Q150" si="14">P145*N145</f>
        <v>0.57099999999999995</v>
      </c>
      <c r="R145" s="9"/>
    </row>
    <row r="146" spans="1:18">
      <c r="A146" s="2"/>
      <c r="B146" s="10">
        <f t="shared" si="12"/>
        <v>144</v>
      </c>
      <c r="C146" s="8" t="s">
        <v>609</v>
      </c>
      <c r="D146" s="12" t="s">
        <v>874</v>
      </c>
      <c r="E146" s="12" t="s">
        <v>864</v>
      </c>
      <c r="F146" s="12" t="s">
        <v>828</v>
      </c>
      <c r="G146" s="12" t="s">
        <v>865</v>
      </c>
      <c r="H146" s="12" t="s">
        <v>31</v>
      </c>
      <c r="I146" s="12" t="s">
        <v>23</v>
      </c>
      <c r="J146" s="9" t="s">
        <v>875</v>
      </c>
      <c r="K146" s="12" t="s">
        <v>715</v>
      </c>
      <c r="L146" s="12">
        <v>1</v>
      </c>
      <c r="M146" s="9">
        <f t="shared" si="13"/>
        <v>10</v>
      </c>
      <c r="N146" s="9" t="s">
        <v>42</v>
      </c>
      <c r="O146" s="18" t="s">
        <v>26</v>
      </c>
      <c r="P146" s="17" t="s">
        <v>55</v>
      </c>
      <c r="Q146" s="19">
        <f t="shared" si="14"/>
        <v>0.31</v>
      </c>
      <c r="R146" s="12"/>
    </row>
    <row r="147" spans="1:18">
      <c r="A147" s="2"/>
      <c r="B147" s="7">
        <f t="shared" si="12"/>
        <v>145</v>
      </c>
      <c r="C147" s="8" t="s">
        <v>609</v>
      </c>
      <c r="D147" s="9" t="s">
        <v>876</v>
      </c>
      <c r="E147" s="9" t="s">
        <v>877</v>
      </c>
      <c r="F147" s="9" t="s">
        <v>612</v>
      </c>
      <c r="G147" s="9" t="s">
        <v>878</v>
      </c>
      <c r="H147" s="9" t="s">
        <v>31</v>
      </c>
      <c r="I147" s="12" t="s">
        <v>23</v>
      </c>
      <c r="J147" s="9" t="s">
        <v>879</v>
      </c>
      <c r="K147" s="9" t="s">
        <v>744</v>
      </c>
      <c r="L147" s="9">
        <v>1</v>
      </c>
      <c r="M147" s="9">
        <f t="shared" si="13"/>
        <v>10</v>
      </c>
      <c r="N147" s="12" t="s">
        <v>42</v>
      </c>
      <c r="O147" s="18" t="s">
        <v>26</v>
      </c>
      <c r="P147" s="19" t="s">
        <v>101</v>
      </c>
      <c r="Q147" s="17">
        <f t="shared" si="14"/>
        <v>0.1</v>
      </c>
      <c r="R147" s="9"/>
    </row>
    <row r="148" spans="1:18" ht="24">
      <c r="A148" s="2"/>
      <c r="B148" s="10">
        <f t="shared" si="12"/>
        <v>146</v>
      </c>
      <c r="C148" s="8" t="s">
        <v>609</v>
      </c>
      <c r="D148" s="12" t="s">
        <v>880</v>
      </c>
      <c r="E148" s="12" t="s">
        <v>881</v>
      </c>
      <c r="F148" s="12" t="s">
        <v>612</v>
      </c>
      <c r="G148" s="12" t="s">
        <v>882</v>
      </c>
      <c r="H148" s="12" t="s">
        <v>31</v>
      </c>
      <c r="I148" s="12" t="s">
        <v>23</v>
      </c>
      <c r="J148" s="12" t="s">
        <v>883</v>
      </c>
      <c r="K148" s="12" t="s">
        <v>683</v>
      </c>
      <c r="L148" s="12">
        <v>2</v>
      </c>
      <c r="M148" s="9">
        <f t="shared" si="13"/>
        <v>20</v>
      </c>
      <c r="N148" s="12">
        <v>20</v>
      </c>
      <c r="O148" s="18" t="s">
        <v>26</v>
      </c>
      <c r="P148" s="19">
        <v>2.01E-2</v>
      </c>
      <c r="Q148" s="19">
        <f t="shared" si="14"/>
        <v>0.40200000000000002</v>
      </c>
      <c r="R148" s="12"/>
    </row>
    <row r="149" spans="1:18" ht="24">
      <c r="A149" s="2"/>
      <c r="B149" s="7">
        <f t="shared" si="12"/>
        <v>147</v>
      </c>
      <c r="C149" s="8" t="s">
        <v>609</v>
      </c>
      <c r="D149" s="9" t="s">
        <v>884</v>
      </c>
      <c r="E149" s="9" t="s">
        <v>885</v>
      </c>
      <c r="F149" s="9" t="s">
        <v>612</v>
      </c>
      <c r="G149" s="9" t="s">
        <v>886</v>
      </c>
      <c r="H149" s="9" t="s">
        <v>31</v>
      </c>
      <c r="I149" s="12" t="s">
        <v>23</v>
      </c>
      <c r="J149" s="9" t="s">
        <v>887</v>
      </c>
      <c r="K149" s="9" t="s">
        <v>888</v>
      </c>
      <c r="L149" s="9">
        <v>2</v>
      </c>
      <c r="M149" s="9">
        <f t="shared" si="13"/>
        <v>20</v>
      </c>
      <c r="N149" s="9">
        <v>20</v>
      </c>
      <c r="O149" s="18" t="s">
        <v>26</v>
      </c>
      <c r="P149" s="17">
        <v>2.4299999999999999E-2</v>
      </c>
      <c r="Q149" s="17">
        <f t="shared" si="14"/>
        <v>0.48599999999999999</v>
      </c>
      <c r="R149" s="9"/>
    </row>
    <row r="150" spans="1:18">
      <c r="A150" s="2"/>
      <c r="B150" s="10">
        <f t="shared" si="12"/>
        <v>148</v>
      </c>
      <c r="C150" s="8" t="s">
        <v>609</v>
      </c>
      <c r="D150" s="12" t="s">
        <v>889</v>
      </c>
      <c r="E150" s="12" t="s">
        <v>890</v>
      </c>
      <c r="F150" s="12" t="s">
        <v>817</v>
      </c>
      <c r="G150" s="12" t="s">
        <v>891</v>
      </c>
      <c r="H150" s="12" t="s">
        <v>31</v>
      </c>
      <c r="I150" s="12" t="s">
        <v>23</v>
      </c>
      <c r="J150" s="12" t="s">
        <v>892</v>
      </c>
      <c r="K150" s="12" t="s">
        <v>842</v>
      </c>
      <c r="L150" s="12">
        <v>1</v>
      </c>
      <c r="M150" s="9">
        <f t="shared" si="13"/>
        <v>10</v>
      </c>
      <c r="N150" s="12">
        <v>100</v>
      </c>
      <c r="O150" s="20" t="s">
        <v>26</v>
      </c>
      <c r="P150" s="19">
        <v>8.0000000000000004E-4</v>
      </c>
      <c r="Q150" s="19">
        <f t="shared" si="14"/>
        <v>0.08</v>
      </c>
      <c r="R150" s="12"/>
    </row>
    <row r="151" spans="1:18" ht="24">
      <c r="A151" s="2"/>
      <c r="B151" s="7">
        <f t="shared" si="12"/>
        <v>149</v>
      </c>
      <c r="C151" s="8" t="s">
        <v>609</v>
      </c>
      <c r="D151" s="13" t="s">
        <v>893</v>
      </c>
      <c r="E151" s="13" t="s">
        <v>881</v>
      </c>
      <c r="F151" s="13" t="s">
        <v>612</v>
      </c>
      <c r="G151" s="13" t="s">
        <v>882</v>
      </c>
      <c r="H151" s="13" t="s">
        <v>31</v>
      </c>
      <c r="I151" s="12" t="s">
        <v>23</v>
      </c>
      <c r="J151" s="13" t="s">
        <v>883</v>
      </c>
      <c r="K151" s="13" t="s">
        <v>709</v>
      </c>
      <c r="L151" s="13">
        <v>2</v>
      </c>
      <c r="M151" s="9">
        <f t="shared" si="13"/>
        <v>20</v>
      </c>
      <c r="N151" s="13" t="s">
        <v>23</v>
      </c>
      <c r="O151" s="13" t="s">
        <v>23</v>
      </c>
      <c r="P151" s="24" t="s">
        <v>23</v>
      </c>
      <c r="Q151" s="24" t="s">
        <v>23</v>
      </c>
      <c r="R151" s="27" t="s">
        <v>550</v>
      </c>
    </row>
    <row r="152" spans="1:18" ht="36">
      <c r="A152" s="2"/>
      <c r="B152" s="10">
        <f t="shared" si="12"/>
        <v>150</v>
      </c>
      <c r="C152" s="8" t="s">
        <v>609</v>
      </c>
      <c r="D152" s="12" t="s">
        <v>894</v>
      </c>
      <c r="E152" s="12" t="s">
        <v>895</v>
      </c>
      <c r="F152" s="12" t="s">
        <v>868</v>
      </c>
      <c r="G152" s="12" t="s">
        <v>896</v>
      </c>
      <c r="H152" s="12" t="s">
        <v>897</v>
      </c>
      <c r="I152" s="12" t="s">
        <v>23</v>
      </c>
      <c r="J152" s="12" t="s">
        <v>898</v>
      </c>
      <c r="K152" s="12" t="s">
        <v>715</v>
      </c>
      <c r="L152" s="12">
        <v>1</v>
      </c>
      <c r="M152" s="9">
        <f t="shared" si="13"/>
        <v>10</v>
      </c>
      <c r="N152" s="12">
        <v>50</v>
      </c>
      <c r="O152" s="20" t="s">
        <v>26</v>
      </c>
      <c r="P152" s="19">
        <v>1.9E-2</v>
      </c>
      <c r="Q152" s="19">
        <f t="shared" ref="Q152:Q196" si="15">P152*N152</f>
        <v>0.95</v>
      </c>
      <c r="R152" s="12"/>
    </row>
    <row r="153" spans="1:18">
      <c r="A153" s="2"/>
      <c r="B153" s="7">
        <f t="shared" si="12"/>
        <v>151</v>
      </c>
      <c r="C153" s="8" t="s">
        <v>609</v>
      </c>
      <c r="D153" s="9" t="s">
        <v>899</v>
      </c>
      <c r="E153" s="9" t="s">
        <v>679</v>
      </c>
      <c r="F153" s="9" t="s">
        <v>612</v>
      </c>
      <c r="G153" s="9" t="s">
        <v>680</v>
      </c>
      <c r="H153" s="9" t="s">
        <v>900</v>
      </c>
      <c r="I153" s="12" t="s">
        <v>23</v>
      </c>
      <c r="J153" s="9" t="s">
        <v>682</v>
      </c>
      <c r="K153" s="9" t="s">
        <v>683</v>
      </c>
      <c r="L153" s="9">
        <v>1</v>
      </c>
      <c r="M153" s="9">
        <f t="shared" si="13"/>
        <v>10</v>
      </c>
      <c r="N153" s="9" t="s">
        <v>113</v>
      </c>
      <c r="O153" s="18" t="s">
        <v>26</v>
      </c>
      <c r="P153" s="17" t="s">
        <v>684</v>
      </c>
      <c r="Q153" s="17">
        <f t="shared" si="15"/>
        <v>0.57399999999999995</v>
      </c>
      <c r="R153" s="9"/>
    </row>
    <row r="154" spans="1:18">
      <c r="A154" s="2"/>
      <c r="B154" s="10">
        <f t="shared" si="12"/>
        <v>152</v>
      </c>
      <c r="C154" s="8" t="s">
        <v>609</v>
      </c>
      <c r="D154" s="12" t="s">
        <v>901</v>
      </c>
      <c r="E154" s="12" t="s">
        <v>902</v>
      </c>
      <c r="F154" s="12" t="s">
        <v>817</v>
      </c>
      <c r="G154" s="12" t="s">
        <v>903</v>
      </c>
      <c r="H154" s="12" t="s">
        <v>31</v>
      </c>
      <c r="I154" s="12" t="s">
        <v>23</v>
      </c>
      <c r="J154" s="12" t="s">
        <v>904</v>
      </c>
      <c r="K154" s="12" t="s">
        <v>683</v>
      </c>
      <c r="L154" s="12">
        <v>5</v>
      </c>
      <c r="M154" s="9">
        <f t="shared" si="13"/>
        <v>50</v>
      </c>
      <c r="N154" s="12">
        <v>100</v>
      </c>
      <c r="O154" s="20" t="s">
        <v>26</v>
      </c>
      <c r="P154" s="19">
        <v>8.9999999999999998E-4</v>
      </c>
      <c r="Q154" s="19">
        <f t="shared" si="15"/>
        <v>0.09</v>
      </c>
      <c r="R154" s="12"/>
    </row>
    <row r="155" spans="1:18">
      <c r="A155" s="2"/>
      <c r="B155" s="7">
        <f t="shared" si="12"/>
        <v>153</v>
      </c>
      <c r="C155" s="8" t="s">
        <v>609</v>
      </c>
      <c r="D155" s="9" t="s">
        <v>905</v>
      </c>
      <c r="E155" s="9" t="s">
        <v>906</v>
      </c>
      <c r="F155" s="9" t="s">
        <v>612</v>
      </c>
      <c r="G155" s="9" t="s">
        <v>907</v>
      </c>
      <c r="H155" s="9" t="s">
        <v>31</v>
      </c>
      <c r="I155" s="12" t="s">
        <v>23</v>
      </c>
      <c r="J155" s="9" t="s">
        <v>908</v>
      </c>
      <c r="K155" s="9" t="s">
        <v>909</v>
      </c>
      <c r="L155" s="9">
        <v>2</v>
      </c>
      <c r="M155" s="9">
        <f t="shared" si="13"/>
        <v>20</v>
      </c>
      <c r="N155" s="9">
        <v>100</v>
      </c>
      <c r="O155" s="16" t="s">
        <v>26</v>
      </c>
      <c r="P155" s="17">
        <v>1.1999999999999999E-3</v>
      </c>
      <c r="Q155" s="17">
        <f t="shared" si="15"/>
        <v>0.12</v>
      </c>
      <c r="R155" s="9"/>
    </row>
    <row r="156" spans="1:18">
      <c r="A156" s="2"/>
      <c r="B156" s="10">
        <f t="shared" si="12"/>
        <v>154</v>
      </c>
      <c r="C156" s="8" t="s">
        <v>609</v>
      </c>
      <c r="D156" s="12" t="s">
        <v>910</v>
      </c>
      <c r="E156" s="12" t="s">
        <v>911</v>
      </c>
      <c r="F156" s="12" t="s">
        <v>612</v>
      </c>
      <c r="G156" s="12" t="s">
        <v>912</v>
      </c>
      <c r="H156" s="12" t="s">
        <v>855</v>
      </c>
      <c r="I156" s="12" t="s">
        <v>23</v>
      </c>
      <c r="J156" s="12" t="s">
        <v>913</v>
      </c>
      <c r="K156" s="12" t="s">
        <v>914</v>
      </c>
      <c r="L156" s="12">
        <v>1</v>
      </c>
      <c r="M156" s="9">
        <f t="shared" si="13"/>
        <v>10</v>
      </c>
      <c r="N156" s="12">
        <v>50</v>
      </c>
      <c r="O156" s="20" t="s">
        <v>26</v>
      </c>
      <c r="P156" s="19">
        <v>4.7999999999999996E-3</v>
      </c>
      <c r="Q156" s="19">
        <f t="shared" si="15"/>
        <v>0.24</v>
      </c>
      <c r="R156" s="12"/>
    </row>
    <row r="157" spans="1:18">
      <c r="A157" s="2"/>
      <c r="B157" s="7">
        <f t="shared" si="12"/>
        <v>155</v>
      </c>
      <c r="C157" s="8" t="s">
        <v>609</v>
      </c>
      <c r="D157" s="9" t="s">
        <v>915</v>
      </c>
      <c r="E157" s="9" t="s">
        <v>916</v>
      </c>
      <c r="F157" s="9" t="s">
        <v>612</v>
      </c>
      <c r="G157" s="9" t="s">
        <v>917</v>
      </c>
      <c r="H157" s="9" t="s">
        <v>31</v>
      </c>
      <c r="I157" s="12" t="s">
        <v>23</v>
      </c>
      <c r="J157" s="9" t="s">
        <v>918</v>
      </c>
      <c r="K157" s="9" t="s">
        <v>919</v>
      </c>
      <c r="L157" s="9">
        <v>1</v>
      </c>
      <c r="M157" s="9">
        <f t="shared" si="13"/>
        <v>10</v>
      </c>
      <c r="N157" s="9">
        <v>100</v>
      </c>
      <c r="O157" s="16" t="s">
        <v>26</v>
      </c>
      <c r="P157" s="17">
        <v>6.9999999999999999E-4</v>
      </c>
      <c r="Q157" s="17">
        <f t="shared" si="15"/>
        <v>7.0000000000000007E-2</v>
      </c>
      <c r="R157" s="9"/>
    </row>
    <row r="158" spans="1:18">
      <c r="A158" s="2"/>
      <c r="B158" s="10">
        <f t="shared" si="12"/>
        <v>156</v>
      </c>
      <c r="C158" s="8" t="s">
        <v>609</v>
      </c>
      <c r="D158" s="12" t="s">
        <v>920</v>
      </c>
      <c r="E158" s="12" t="s">
        <v>921</v>
      </c>
      <c r="F158" s="12" t="s">
        <v>612</v>
      </c>
      <c r="G158" s="12" t="s">
        <v>922</v>
      </c>
      <c r="H158" s="12" t="s">
        <v>31</v>
      </c>
      <c r="I158" s="12" t="s">
        <v>23</v>
      </c>
      <c r="J158" s="12" t="s">
        <v>923</v>
      </c>
      <c r="K158" s="12" t="s">
        <v>761</v>
      </c>
      <c r="L158" s="12">
        <v>1</v>
      </c>
      <c r="M158" s="9">
        <f t="shared" si="13"/>
        <v>10</v>
      </c>
      <c r="N158" s="12">
        <v>100</v>
      </c>
      <c r="O158" s="20" t="s">
        <v>26</v>
      </c>
      <c r="P158" s="19">
        <v>1.1999999999999999E-3</v>
      </c>
      <c r="Q158" s="19">
        <f t="shared" si="15"/>
        <v>0.12</v>
      </c>
      <c r="R158" s="12"/>
    </row>
    <row r="159" spans="1:18">
      <c r="A159" s="2"/>
      <c r="B159" s="7">
        <f t="shared" si="12"/>
        <v>157</v>
      </c>
      <c r="C159" s="8" t="s">
        <v>609</v>
      </c>
      <c r="D159" s="9" t="s">
        <v>924</v>
      </c>
      <c r="E159" s="9" t="s">
        <v>925</v>
      </c>
      <c r="F159" s="9" t="s">
        <v>612</v>
      </c>
      <c r="G159" s="9" t="s">
        <v>926</v>
      </c>
      <c r="H159" s="9" t="s">
        <v>855</v>
      </c>
      <c r="I159" s="12" t="s">
        <v>23</v>
      </c>
      <c r="J159" s="9" t="s">
        <v>927</v>
      </c>
      <c r="K159" s="9" t="s">
        <v>928</v>
      </c>
      <c r="L159" s="9">
        <v>1</v>
      </c>
      <c r="M159" s="9">
        <f t="shared" si="13"/>
        <v>10</v>
      </c>
      <c r="N159" s="9">
        <v>100</v>
      </c>
      <c r="O159" s="16" t="s">
        <v>26</v>
      </c>
      <c r="P159" s="17">
        <v>3.8E-3</v>
      </c>
      <c r="Q159" s="17">
        <f t="shared" si="15"/>
        <v>0.38</v>
      </c>
      <c r="R159" s="9"/>
    </row>
    <row r="160" spans="1:18" ht="24">
      <c r="A160" s="2"/>
      <c r="B160" s="10">
        <f t="shared" si="12"/>
        <v>158</v>
      </c>
      <c r="C160" s="8" t="s">
        <v>609</v>
      </c>
      <c r="D160" s="12" t="s">
        <v>929</v>
      </c>
      <c r="E160" s="12" t="s">
        <v>930</v>
      </c>
      <c r="F160" s="12" t="s">
        <v>612</v>
      </c>
      <c r="G160" s="12" t="s">
        <v>931</v>
      </c>
      <c r="H160" s="12" t="s">
        <v>31</v>
      </c>
      <c r="I160" s="12" t="s">
        <v>23</v>
      </c>
      <c r="J160" s="12" t="s">
        <v>932</v>
      </c>
      <c r="K160" s="12" t="s">
        <v>727</v>
      </c>
      <c r="L160" s="12">
        <v>4</v>
      </c>
      <c r="M160" s="9">
        <f t="shared" si="13"/>
        <v>40</v>
      </c>
      <c r="N160" s="12">
        <v>40</v>
      </c>
      <c r="O160" s="20" t="s">
        <v>26</v>
      </c>
      <c r="P160" s="19">
        <v>2.0500000000000001E-2</v>
      </c>
      <c r="Q160" s="19">
        <f t="shared" si="15"/>
        <v>0.82</v>
      </c>
      <c r="R160" s="12"/>
    </row>
    <row r="161" spans="1:18" ht="24">
      <c r="A161" s="2"/>
      <c r="B161" s="7">
        <f t="shared" si="12"/>
        <v>159</v>
      </c>
      <c r="C161" s="8" t="s">
        <v>609</v>
      </c>
      <c r="D161" s="9" t="s">
        <v>933</v>
      </c>
      <c r="E161" s="9" t="s">
        <v>934</v>
      </c>
      <c r="F161" s="9" t="s">
        <v>612</v>
      </c>
      <c r="G161" s="9" t="s">
        <v>935</v>
      </c>
      <c r="H161" s="9" t="s">
        <v>31</v>
      </c>
      <c r="I161" s="12" t="s">
        <v>23</v>
      </c>
      <c r="J161" s="9" t="s">
        <v>936</v>
      </c>
      <c r="K161" s="9" t="s">
        <v>937</v>
      </c>
      <c r="L161" s="9">
        <v>1</v>
      </c>
      <c r="M161" s="9">
        <f t="shared" si="13"/>
        <v>10</v>
      </c>
      <c r="N161" s="9">
        <v>10</v>
      </c>
      <c r="O161" s="16" t="s">
        <v>26</v>
      </c>
      <c r="P161" s="17">
        <v>0.1368</v>
      </c>
      <c r="Q161" s="17">
        <f t="shared" si="15"/>
        <v>1.3680000000000001</v>
      </c>
      <c r="R161" s="9"/>
    </row>
    <row r="162" spans="1:18">
      <c r="A162" s="2"/>
      <c r="B162" s="10">
        <f t="shared" si="12"/>
        <v>160</v>
      </c>
      <c r="C162" s="8" t="s">
        <v>609</v>
      </c>
      <c r="D162" s="12" t="s">
        <v>938</v>
      </c>
      <c r="E162" s="12" t="s">
        <v>939</v>
      </c>
      <c r="F162" s="12" t="s">
        <v>674</v>
      </c>
      <c r="G162" s="12" t="s">
        <v>940</v>
      </c>
      <c r="H162" s="12" t="s">
        <v>31</v>
      </c>
      <c r="I162" s="12" t="s">
        <v>23</v>
      </c>
      <c r="J162" s="12" t="s">
        <v>941</v>
      </c>
      <c r="K162" s="12" t="s">
        <v>909</v>
      </c>
      <c r="L162" s="12">
        <v>1</v>
      </c>
      <c r="M162" s="9">
        <f t="shared" si="13"/>
        <v>10</v>
      </c>
      <c r="N162" s="12">
        <v>100</v>
      </c>
      <c r="O162" s="20" t="s">
        <v>26</v>
      </c>
      <c r="P162" s="19">
        <v>6.9999999999999999E-4</v>
      </c>
      <c r="Q162" s="19">
        <f t="shared" si="15"/>
        <v>7.0000000000000007E-2</v>
      </c>
      <c r="R162" s="12"/>
    </row>
    <row r="163" spans="1:18">
      <c r="A163" s="2"/>
      <c r="B163" s="7">
        <f t="shared" ref="B163:B196" si="16">ROW(B163)-ROW($B$2)</f>
        <v>161</v>
      </c>
      <c r="C163" s="8" t="s">
        <v>609</v>
      </c>
      <c r="D163" s="9" t="s">
        <v>942</v>
      </c>
      <c r="E163" s="9" t="s">
        <v>943</v>
      </c>
      <c r="F163" s="9" t="s">
        <v>674</v>
      </c>
      <c r="G163" s="9" t="s">
        <v>944</v>
      </c>
      <c r="H163" s="9" t="s">
        <v>31</v>
      </c>
      <c r="I163" s="12" t="s">
        <v>23</v>
      </c>
      <c r="J163" s="9" t="s">
        <v>945</v>
      </c>
      <c r="K163" s="9" t="s">
        <v>946</v>
      </c>
      <c r="L163" s="9">
        <v>5</v>
      </c>
      <c r="M163" s="9">
        <f t="shared" si="13"/>
        <v>50</v>
      </c>
      <c r="N163" s="9">
        <v>100</v>
      </c>
      <c r="O163" s="16" t="s">
        <v>26</v>
      </c>
      <c r="P163" s="17">
        <v>5.9999999999999995E-4</v>
      </c>
      <c r="Q163" s="17">
        <f t="shared" si="15"/>
        <v>0.06</v>
      </c>
      <c r="R163" s="9"/>
    </row>
    <row r="164" spans="1:18">
      <c r="A164" s="2"/>
      <c r="B164" s="10">
        <f t="shared" si="16"/>
        <v>162</v>
      </c>
      <c r="C164" s="8" t="s">
        <v>609</v>
      </c>
      <c r="D164" s="12" t="s">
        <v>947</v>
      </c>
      <c r="E164" s="12" t="s">
        <v>948</v>
      </c>
      <c r="F164" s="12" t="s">
        <v>612</v>
      </c>
      <c r="G164" s="12" t="s">
        <v>949</v>
      </c>
      <c r="H164" s="12" t="s">
        <v>31</v>
      </c>
      <c r="I164" s="12" t="s">
        <v>23</v>
      </c>
      <c r="J164" s="12" t="s">
        <v>950</v>
      </c>
      <c r="K164" s="12" t="s">
        <v>937</v>
      </c>
      <c r="L164" s="12">
        <v>2</v>
      </c>
      <c r="M164" s="9">
        <f t="shared" ref="M164:M195" si="17">L164*10</f>
        <v>20</v>
      </c>
      <c r="N164" s="12">
        <v>100</v>
      </c>
      <c r="O164" s="20" t="s">
        <v>26</v>
      </c>
      <c r="P164" s="19">
        <v>1.1999999999999999E-3</v>
      </c>
      <c r="Q164" s="19">
        <f t="shared" si="15"/>
        <v>0.12</v>
      </c>
      <c r="R164" s="12"/>
    </row>
    <row r="165" spans="1:18">
      <c r="A165" s="2"/>
      <c r="B165" s="7">
        <f t="shared" si="16"/>
        <v>163</v>
      </c>
      <c r="C165" s="8" t="s">
        <v>609</v>
      </c>
      <c r="D165" s="9" t="s">
        <v>951</v>
      </c>
      <c r="E165" s="9" t="s">
        <v>952</v>
      </c>
      <c r="F165" s="9" t="s">
        <v>674</v>
      </c>
      <c r="G165" s="9" t="s">
        <v>953</v>
      </c>
      <c r="H165" s="9" t="s">
        <v>31</v>
      </c>
      <c r="I165" s="12" t="s">
        <v>23</v>
      </c>
      <c r="J165" s="9" t="s">
        <v>954</v>
      </c>
      <c r="K165" s="9" t="s">
        <v>955</v>
      </c>
      <c r="L165" s="9">
        <v>1</v>
      </c>
      <c r="M165" s="9">
        <f t="shared" si="17"/>
        <v>10</v>
      </c>
      <c r="N165" s="9">
        <v>10</v>
      </c>
      <c r="O165" s="16" t="s">
        <v>26</v>
      </c>
      <c r="P165" s="17">
        <v>4.5699999999999998E-2</v>
      </c>
      <c r="Q165" s="17">
        <f t="shared" si="15"/>
        <v>0.45700000000000002</v>
      </c>
      <c r="R165" s="9"/>
    </row>
    <row r="166" spans="1:18">
      <c r="A166" s="2"/>
      <c r="B166" s="10">
        <f t="shared" si="16"/>
        <v>164</v>
      </c>
      <c r="C166" s="8" t="s">
        <v>609</v>
      </c>
      <c r="D166" s="12" t="s">
        <v>956</v>
      </c>
      <c r="E166" s="12" t="s">
        <v>957</v>
      </c>
      <c r="F166" s="12" t="s">
        <v>674</v>
      </c>
      <c r="G166" s="12"/>
      <c r="H166" s="12"/>
      <c r="I166" s="12" t="s">
        <v>23</v>
      </c>
      <c r="J166" s="12" t="s">
        <v>958</v>
      </c>
      <c r="K166" s="12" t="s">
        <v>959</v>
      </c>
      <c r="L166" s="12">
        <v>1</v>
      </c>
      <c r="M166" s="9">
        <f t="shared" si="17"/>
        <v>10</v>
      </c>
      <c r="N166" s="12">
        <v>100</v>
      </c>
      <c r="O166" s="20" t="s">
        <v>26</v>
      </c>
      <c r="P166" s="19">
        <v>6.9999999999999999E-4</v>
      </c>
      <c r="Q166" s="19">
        <f t="shared" si="15"/>
        <v>7.0000000000000007E-2</v>
      </c>
      <c r="R166" s="12"/>
    </row>
    <row r="167" spans="1:18">
      <c r="A167" s="2"/>
      <c r="B167" s="7">
        <f t="shared" si="16"/>
        <v>165</v>
      </c>
      <c r="C167" s="8" t="s">
        <v>960</v>
      </c>
      <c r="D167" s="9" t="s">
        <v>961</v>
      </c>
      <c r="E167" s="9" t="s">
        <v>962</v>
      </c>
      <c r="F167" s="9" t="s">
        <v>20</v>
      </c>
      <c r="G167" s="9" t="s">
        <v>963</v>
      </c>
      <c r="H167" s="9" t="s">
        <v>964</v>
      </c>
      <c r="I167" s="12" t="s">
        <v>23</v>
      </c>
      <c r="J167" s="12" t="s">
        <v>965</v>
      </c>
      <c r="K167" s="9" t="s">
        <v>23</v>
      </c>
      <c r="L167" s="9">
        <v>1</v>
      </c>
      <c r="M167" s="9">
        <f t="shared" si="17"/>
        <v>10</v>
      </c>
      <c r="N167" s="12">
        <v>10</v>
      </c>
      <c r="O167" s="18" t="s">
        <v>26</v>
      </c>
      <c r="P167" s="19" t="s">
        <v>966</v>
      </c>
      <c r="Q167" s="17">
        <f t="shared" si="15"/>
        <v>8.7249999999999996</v>
      </c>
      <c r="R167" s="9"/>
    </row>
    <row r="168" spans="1:18" ht="48">
      <c r="A168" s="2"/>
      <c r="B168" s="10">
        <f t="shared" si="16"/>
        <v>166</v>
      </c>
      <c r="C168" s="11" t="s">
        <v>967</v>
      </c>
      <c r="D168" s="12" t="s">
        <v>968</v>
      </c>
      <c r="E168" s="12" t="s">
        <v>969</v>
      </c>
      <c r="F168" s="9" t="s">
        <v>20</v>
      </c>
      <c r="G168" s="12" t="s">
        <v>970</v>
      </c>
      <c r="H168" s="12" t="s">
        <v>971</v>
      </c>
      <c r="I168" s="12" t="s">
        <v>23</v>
      </c>
      <c r="J168" s="9" t="s">
        <v>972</v>
      </c>
      <c r="K168" s="9" t="s">
        <v>23</v>
      </c>
      <c r="L168" s="12">
        <v>1</v>
      </c>
      <c r="M168" s="9">
        <f t="shared" si="17"/>
        <v>10</v>
      </c>
      <c r="N168" s="12">
        <v>10</v>
      </c>
      <c r="O168" s="18" t="s">
        <v>26</v>
      </c>
      <c r="P168" s="17" t="s">
        <v>973</v>
      </c>
      <c r="Q168" s="19">
        <f t="shared" si="15"/>
        <v>0.94</v>
      </c>
      <c r="R168" s="12"/>
    </row>
    <row r="169" spans="1:18" ht="36">
      <c r="A169" s="2"/>
      <c r="B169" s="7">
        <f t="shared" si="16"/>
        <v>167</v>
      </c>
      <c r="C169" s="8" t="s">
        <v>974</v>
      </c>
      <c r="D169" s="9" t="s">
        <v>975</v>
      </c>
      <c r="E169" s="9" t="s">
        <v>976</v>
      </c>
      <c r="F169" s="9" t="s">
        <v>977</v>
      </c>
      <c r="G169" s="9" t="s">
        <v>978</v>
      </c>
      <c r="H169" s="9" t="s">
        <v>979</v>
      </c>
      <c r="I169" s="12" t="s">
        <v>23</v>
      </c>
      <c r="J169" s="12" t="s">
        <v>980</v>
      </c>
      <c r="K169" s="9" t="s">
        <v>23</v>
      </c>
      <c r="L169" s="9">
        <v>2</v>
      </c>
      <c r="M169" s="9">
        <f t="shared" si="17"/>
        <v>20</v>
      </c>
      <c r="N169" s="12">
        <v>20</v>
      </c>
      <c r="O169" s="18" t="s">
        <v>26</v>
      </c>
      <c r="P169" s="19" t="s">
        <v>981</v>
      </c>
      <c r="Q169" s="17">
        <f t="shared" si="15"/>
        <v>55.26</v>
      </c>
      <c r="R169" s="9"/>
    </row>
    <row r="170" spans="1:18" ht="24">
      <c r="A170" s="2"/>
      <c r="B170" s="10">
        <f t="shared" si="16"/>
        <v>168</v>
      </c>
      <c r="C170" s="11" t="s">
        <v>982</v>
      </c>
      <c r="D170" s="12" t="s">
        <v>983</v>
      </c>
      <c r="E170" s="12" t="s">
        <v>984</v>
      </c>
      <c r="F170" s="12" t="s">
        <v>985</v>
      </c>
      <c r="G170" s="12" t="s">
        <v>986</v>
      </c>
      <c r="H170" s="12" t="s">
        <v>987</v>
      </c>
      <c r="I170" s="12" t="s">
        <v>23</v>
      </c>
      <c r="J170" s="9" t="s">
        <v>988</v>
      </c>
      <c r="K170" s="9" t="s">
        <v>23</v>
      </c>
      <c r="L170" s="12">
        <v>1</v>
      </c>
      <c r="M170" s="9">
        <f t="shared" si="17"/>
        <v>10</v>
      </c>
      <c r="N170" s="12">
        <v>10</v>
      </c>
      <c r="O170" s="18" t="s">
        <v>26</v>
      </c>
      <c r="P170" s="17" t="s">
        <v>989</v>
      </c>
      <c r="Q170" s="19">
        <f t="shared" si="15"/>
        <v>1.7649999999999999</v>
      </c>
      <c r="R170" s="12"/>
    </row>
    <row r="171" spans="1:18" ht="24">
      <c r="A171" s="2"/>
      <c r="B171" s="7">
        <f t="shared" si="16"/>
        <v>169</v>
      </c>
      <c r="C171" s="8" t="s">
        <v>982</v>
      </c>
      <c r="D171" s="9" t="s">
        <v>990</v>
      </c>
      <c r="E171" s="9" t="s">
        <v>991</v>
      </c>
      <c r="F171" s="9" t="s">
        <v>992</v>
      </c>
      <c r="G171" s="9" t="s">
        <v>993</v>
      </c>
      <c r="H171" s="9" t="s">
        <v>987</v>
      </c>
      <c r="I171" s="12" t="s">
        <v>23</v>
      </c>
      <c r="J171" s="12" t="s">
        <v>994</v>
      </c>
      <c r="K171" s="9" t="s">
        <v>23</v>
      </c>
      <c r="L171" s="9">
        <v>1</v>
      </c>
      <c r="M171" s="9">
        <f t="shared" si="17"/>
        <v>10</v>
      </c>
      <c r="N171" s="12" t="s">
        <v>131</v>
      </c>
      <c r="O171" s="18" t="s">
        <v>26</v>
      </c>
      <c r="P171" s="19" t="s">
        <v>995</v>
      </c>
      <c r="Q171" s="17">
        <f t="shared" si="15"/>
        <v>9.9789999999999992</v>
      </c>
      <c r="R171" s="9"/>
    </row>
    <row r="172" spans="1:18" ht="24">
      <c r="A172" s="2"/>
      <c r="B172" s="10">
        <f t="shared" si="16"/>
        <v>170</v>
      </c>
      <c r="C172" s="11" t="s">
        <v>982</v>
      </c>
      <c r="D172" s="12" t="s">
        <v>996</v>
      </c>
      <c r="E172" s="12" t="s">
        <v>997</v>
      </c>
      <c r="F172" s="12" t="s">
        <v>998</v>
      </c>
      <c r="G172" s="12" t="s">
        <v>999</v>
      </c>
      <c r="H172" s="12" t="s">
        <v>1000</v>
      </c>
      <c r="I172" s="12" t="s">
        <v>23</v>
      </c>
      <c r="J172" s="9" t="s">
        <v>1001</v>
      </c>
      <c r="K172" s="9" t="s">
        <v>23</v>
      </c>
      <c r="L172" s="12">
        <v>1</v>
      </c>
      <c r="M172" s="9">
        <f t="shared" si="17"/>
        <v>10</v>
      </c>
      <c r="N172" s="12" t="s">
        <v>131</v>
      </c>
      <c r="O172" s="18" t="s">
        <v>26</v>
      </c>
      <c r="P172" s="17" t="s">
        <v>1002</v>
      </c>
      <c r="Q172" s="19">
        <f t="shared" si="15"/>
        <v>97.236999999999995</v>
      </c>
      <c r="R172" s="12"/>
    </row>
    <row r="173" spans="1:18" ht="24">
      <c r="A173" s="2"/>
      <c r="B173" s="7">
        <f t="shared" si="16"/>
        <v>171</v>
      </c>
      <c r="C173" s="8" t="s">
        <v>982</v>
      </c>
      <c r="D173" s="9" t="s">
        <v>1003</v>
      </c>
      <c r="E173" s="9" t="s">
        <v>1004</v>
      </c>
      <c r="F173" s="9" t="s">
        <v>985</v>
      </c>
      <c r="G173" s="9" t="s">
        <v>1005</v>
      </c>
      <c r="H173" s="9" t="s">
        <v>562</v>
      </c>
      <c r="I173" s="12" t="s">
        <v>23</v>
      </c>
      <c r="J173" s="12" t="s">
        <v>1006</v>
      </c>
      <c r="K173" s="9" t="s">
        <v>23</v>
      </c>
      <c r="L173" s="9">
        <v>1</v>
      </c>
      <c r="M173" s="9">
        <f t="shared" si="17"/>
        <v>10</v>
      </c>
      <c r="N173" s="12" t="s">
        <v>131</v>
      </c>
      <c r="O173" s="18" t="s">
        <v>26</v>
      </c>
      <c r="P173" s="19" t="s">
        <v>1007</v>
      </c>
      <c r="Q173" s="17">
        <f t="shared" si="15"/>
        <v>13.443</v>
      </c>
      <c r="R173" s="9"/>
    </row>
    <row r="174" spans="1:18" ht="36">
      <c r="A174" s="2"/>
      <c r="B174" s="10">
        <f t="shared" si="16"/>
        <v>172</v>
      </c>
      <c r="C174" s="11" t="s">
        <v>982</v>
      </c>
      <c r="D174" s="12" t="s">
        <v>1008</v>
      </c>
      <c r="E174" s="12" t="s">
        <v>1009</v>
      </c>
      <c r="F174" s="12" t="s">
        <v>1010</v>
      </c>
      <c r="G174" s="12" t="s">
        <v>1011</v>
      </c>
      <c r="H174" s="12" t="s">
        <v>1012</v>
      </c>
      <c r="I174" s="12" t="s">
        <v>23</v>
      </c>
      <c r="J174" s="9" t="s">
        <v>1013</v>
      </c>
      <c r="K174" s="9" t="s">
        <v>23</v>
      </c>
      <c r="L174" s="12">
        <v>1</v>
      </c>
      <c r="M174" s="9">
        <f t="shared" si="17"/>
        <v>10</v>
      </c>
      <c r="N174" s="12" t="s">
        <v>131</v>
      </c>
      <c r="O174" s="18" t="s">
        <v>26</v>
      </c>
      <c r="P174" s="17" t="s">
        <v>1014</v>
      </c>
      <c r="Q174" s="19">
        <f t="shared" si="15"/>
        <v>55.006999999999998</v>
      </c>
      <c r="R174" s="12"/>
    </row>
    <row r="175" spans="1:18" ht="24">
      <c r="A175" s="2"/>
      <c r="B175" s="7">
        <f t="shared" si="16"/>
        <v>173</v>
      </c>
      <c r="C175" s="8" t="s">
        <v>982</v>
      </c>
      <c r="D175" s="9" t="s">
        <v>1015</v>
      </c>
      <c r="E175" s="9" t="s">
        <v>1016</v>
      </c>
      <c r="F175" s="9" t="s">
        <v>1017</v>
      </c>
      <c r="G175" s="9" t="s">
        <v>1018</v>
      </c>
      <c r="H175" s="9" t="s">
        <v>987</v>
      </c>
      <c r="I175" s="12" t="s">
        <v>23</v>
      </c>
      <c r="J175" s="12" t="s">
        <v>1019</v>
      </c>
      <c r="K175" s="9" t="s">
        <v>23</v>
      </c>
      <c r="L175" s="9">
        <v>3</v>
      </c>
      <c r="M175" s="9">
        <f t="shared" si="17"/>
        <v>30</v>
      </c>
      <c r="N175" s="12">
        <v>30</v>
      </c>
      <c r="O175" s="18" t="s">
        <v>26</v>
      </c>
      <c r="P175" s="19" t="s">
        <v>1020</v>
      </c>
      <c r="Q175" s="17">
        <f t="shared" si="15"/>
        <v>2.6640000000000001</v>
      </c>
      <c r="R175" s="9"/>
    </row>
    <row r="176" spans="1:18" ht="36">
      <c r="A176" s="2"/>
      <c r="B176" s="10">
        <f t="shared" si="16"/>
        <v>174</v>
      </c>
      <c r="C176" s="8" t="s">
        <v>982</v>
      </c>
      <c r="D176" s="12" t="s">
        <v>1021</v>
      </c>
      <c r="E176" s="12" t="s">
        <v>1022</v>
      </c>
      <c r="F176" s="12" t="s">
        <v>1023</v>
      </c>
      <c r="G176" s="12" t="s">
        <v>1024</v>
      </c>
      <c r="H176" s="12" t="s">
        <v>1025</v>
      </c>
      <c r="I176" s="12" t="s">
        <v>23</v>
      </c>
      <c r="J176" s="9" t="s">
        <v>1026</v>
      </c>
      <c r="K176" s="9" t="s">
        <v>23</v>
      </c>
      <c r="L176" s="12">
        <v>1</v>
      </c>
      <c r="M176" s="9">
        <f t="shared" si="17"/>
        <v>10</v>
      </c>
      <c r="N176" s="9">
        <v>10</v>
      </c>
      <c r="O176" s="18" t="s">
        <v>26</v>
      </c>
      <c r="P176" s="17" t="s">
        <v>1027</v>
      </c>
      <c r="Q176" s="19">
        <f t="shared" si="15"/>
        <v>2.7250000000000001</v>
      </c>
      <c r="R176" s="12"/>
    </row>
    <row r="177" spans="1:18" ht="24">
      <c r="A177" s="2"/>
      <c r="B177" s="7">
        <f t="shared" si="16"/>
        <v>175</v>
      </c>
      <c r="C177" s="8" t="s">
        <v>982</v>
      </c>
      <c r="D177" s="9" t="s">
        <v>1028</v>
      </c>
      <c r="E177" s="9" t="s">
        <v>1029</v>
      </c>
      <c r="F177" s="9" t="s">
        <v>1030</v>
      </c>
      <c r="G177" s="9" t="s">
        <v>1031</v>
      </c>
      <c r="H177" s="9" t="s">
        <v>987</v>
      </c>
      <c r="I177" s="12" t="s">
        <v>23</v>
      </c>
      <c r="J177" s="9" t="s">
        <v>1032</v>
      </c>
      <c r="K177" s="9" t="s">
        <v>23</v>
      </c>
      <c r="L177" s="9">
        <v>1</v>
      </c>
      <c r="M177" s="9">
        <f t="shared" si="17"/>
        <v>10</v>
      </c>
      <c r="N177" s="9">
        <v>10</v>
      </c>
      <c r="O177" s="18" t="s">
        <v>26</v>
      </c>
      <c r="P177" s="19" t="s">
        <v>1033</v>
      </c>
      <c r="Q177" s="17">
        <f t="shared" si="15"/>
        <v>23.472000000000001</v>
      </c>
      <c r="R177" s="9"/>
    </row>
    <row r="178" spans="1:18" ht="24">
      <c r="A178" s="2"/>
      <c r="B178" s="10">
        <f t="shared" si="16"/>
        <v>176</v>
      </c>
      <c r="C178" s="11" t="s">
        <v>982</v>
      </c>
      <c r="D178" s="12" t="s">
        <v>1034</v>
      </c>
      <c r="E178" s="12" t="s">
        <v>1035</v>
      </c>
      <c r="F178" s="12" t="s">
        <v>1036</v>
      </c>
      <c r="G178" s="12" t="s">
        <v>1037</v>
      </c>
      <c r="H178" s="12" t="s">
        <v>987</v>
      </c>
      <c r="I178" s="12" t="s">
        <v>23</v>
      </c>
      <c r="J178" s="12" t="s">
        <v>1038</v>
      </c>
      <c r="K178" s="9" t="s">
        <v>23</v>
      </c>
      <c r="L178" s="12">
        <v>1</v>
      </c>
      <c r="M178" s="9">
        <f t="shared" si="17"/>
        <v>10</v>
      </c>
      <c r="N178" s="9">
        <v>10</v>
      </c>
      <c r="O178" s="18" t="s">
        <v>26</v>
      </c>
      <c r="P178" s="17" t="s">
        <v>1039</v>
      </c>
      <c r="Q178" s="19">
        <f t="shared" si="15"/>
        <v>6.1859999999999999</v>
      </c>
      <c r="R178" s="12"/>
    </row>
    <row r="179" spans="1:18" ht="24">
      <c r="A179" s="2"/>
      <c r="B179" s="7">
        <f t="shared" si="16"/>
        <v>177</v>
      </c>
      <c r="C179" s="8" t="s">
        <v>982</v>
      </c>
      <c r="D179" s="9" t="s">
        <v>1040</v>
      </c>
      <c r="E179" s="9" t="s">
        <v>1041</v>
      </c>
      <c r="F179" s="9" t="s">
        <v>1042</v>
      </c>
      <c r="G179" s="9" t="s">
        <v>1043</v>
      </c>
      <c r="H179" s="9" t="s">
        <v>1044</v>
      </c>
      <c r="I179" s="12" t="s">
        <v>23</v>
      </c>
      <c r="J179" s="9" t="s">
        <v>1045</v>
      </c>
      <c r="K179" s="9" t="s">
        <v>23</v>
      </c>
      <c r="L179" s="9">
        <v>1</v>
      </c>
      <c r="M179" s="9">
        <f t="shared" si="17"/>
        <v>10</v>
      </c>
      <c r="N179" s="9">
        <v>10</v>
      </c>
      <c r="O179" s="18" t="s">
        <v>26</v>
      </c>
      <c r="P179" s="19" t="s">
        <v>1046</v>
      </c>
      <c r="Q179" s="17">
        <f t="shared" si="15"/>
        <v>10.56</v>
      </c>
      <c r="R179" s="9"/>
    </row>
    <row r="180" spans="1:18" ht="24">
      <c r="A180" s="2"/>
      <c r="B180" s="10">
        <f t="shared" si="16"/>
        <v>178</v>
      </c>
      <c r="C180" s="11" t="s">
        <v>982</v>
      </c>
      <c r="D180" s="12" t="s">
        <v>1047</v>
      </c>
      <c r="E180" s="12" t="s">
        <v>1048</v>
      </c>
      <c r="F180" s="12" t="s">
        <v>1017</v>
      </c>
      <c r="G180" s="12" t="s">
        <v>1049</v>
      </c>
      <c r="H180" s="12" t="s">
        <v>987</v>
      </c>
      <c r="I180" s="12" t="s">
        <v>23</v>
      </c>
      <c r="J180" s="12" t="s">
        <v>1050</v>
      </c>
      <c r="K180" s="9" t="s">
        <v>23</v>
      </c>
      <c r="L180" s="12">
        <v>2</v>
      </c>
      <c r="M180" s="9">
        <f t="shared" si="17"/>
        <v>20</v>
      </c>
      <c r="N180" s="9" t="s">
        <v>131</v>
      </c>
      <c r="O180" s="18" t="s">
        <v>26</v>
      </c>
      <c r="P180" s="17" t="s">
        <v>1051</v>
      </c>
      <c r="Q180" s="19">
        <f t="shared" si="15"/>
        <v>2.0739999999999998</v>
      </c>
      <c r="R180" s="12"/>
    </row>
    <row r="181" spans="1:18" ht="24">
      <c r="A181" s="2"/>
      <c r="B181" s="7">
        <f t="shared" si="16"/>
        <v>179</v>
      </c>
      <c r="C181" s="8" t="s">
        <v>1052</v>
      </c>
      <c r="D181" s="9" t="s">
        <v>1053</v>
      </c>
      <c r="E181" s="9" t="s">
        <v>1054</v>
      </c>
      <c r="F181" s="9" t="s">
        <v>1055</v>
      </c>
      <c r="G181" s="9" t="s">
        <v>1055</v>
      </c>
      <c r="H181" s="9" t="s">
        <v>1056</v>
      </c>
      <c r="I181" s="12" t="s">
        <v>23</v>
      </c>
      <c r="J181" s="9" t="s">
        <v>1057</v>
      </c>
      <c r="K181" s="9" t="s">
        <v>23</v>
      </c>
      <c r="L181" s="9">
        <v>1</v>
      </c>
      <c r="M181" s="9">
        <f t="shared" si="17"/>
        <v>10</v>
      </c>
      <c r="N181" s="9">
        <v>10</v>
      </c>
      <c r="O181" s="18" t="s">
        <v>26</v>
      </c>
      <c r="P181" s="19" t="s">
        <v>1058</v>
      </c>
      <c r="Q181" s="17">
        <f t="shared" si="15"/>
        <v>9.3330000000000002</v>
      </c>
      <c r="R181" s="9"/>
    </row>
    <row r="182" spans="1:18" ht="48">
      <c r="A182" s="2"/>
      <c r="B182" s="10">
        <f t="shared" si="16"/>
        <v>180</v>
      </c>
      <c r="C182" s="8" t="s">
        <v>982</v>
      </c>
      <c r="D182" s="12" t="s">
        <v>1059</v>
      </c>
      <c r="E182" s="12" t="s">
        <v>1060</v>
      </c>
      <c r="F182" s="12" t="s">
        <v>1061</v>
      </c>
      <c r="G182" s="12" t="s">
        <v>1062</v>
      </c>
      <c r="H182" s="12" t="s">
        <v>1063</v>
      </c>
      <c r="I182" s="12" t="s">
        <v>23</v>
      </c>
      <c r="J182" s="9" t="s">
        <v>1064</v>
      </c>
      <c r="K182" s="9" t="s">
        <v>23</v>
      </c>
      <c r="L182" s="12">
        <v>1</v>
      </c>
      <c r="M182" s="9">
        <f t="shared" si="17"/>
        <v>10</v>
      </c>
      <c r="N182" s="9">
        <v>10</v>
      </c>
      <c r="O182" s="18" t="s">
        <v>26</v>
      </c>
      <c r="P182" s="17" t="s">
        <v>1065</v>
      </c>
      <c r="Q182" s="19">
        <f t="shared" si="15"/>
        <v>1.869</v>
      </c>
      <c r="R182" s="12"/>
    </row>
    <row r="183" spans="1:18" ht="24">
      <c r="A183" s="2"/>
      <c r="B183" s="7">
        <f t="shared" si="16"/>
        <v>181</v>
      </c>
      <c r="C183" s="8" t="s">
        <v>982</v>
      </c>
      <c r="D183" s="9" t="s">
        <v>1066</v>
      </c>
      <c r="E183" s="9" t="s">
        <v>1067</v>
      </c>
      <c r="F183" s="9" t="s">
        <v>1068</v>
      </c>
      <c r="G183" s="9" t="s">
        <v>1069</v>
      </c>
      <c r="H183" s="9" t="s">
        <v>987</v>
      </c>
      <c r="I183" s="12" t="s">
        <v>23</v>
      </c>
      <c r="J183" s="9" t="s">
        <v>23</v>
      </c>
      <c r="K183" s="9" t="s">
        <v>23</v>
      </c>
      <c r="L183" s="9">
        <v>2</v>
      </c>
      <c r="M183" s="9">
        <f t="shared" si="17"/>
        <v>20</v>
      </c>
      <c r="N183" s="9">
        <v>10</v>
      </c>
      <c r="O183" s="16" t="s">
        <v>67</v>
      </c>
      <c r="P183" s="17">
        <v>1.18</v>
      </c>
      <c r="Q183" s="17">
        <f t="shared" si="15"/>
        <v>11.8</v>
      </c>
      <c r="R183" s="9"/>
    </row>
    <row r="184" spans="1:18" ht="24">
      <c r="A184" s="2"/>
      <c r="B184" s="10">
        <f t="shared" si="16"/>
        <v>182</v>
      </c>
      <c r="C184" s="11" t="s">
        <v>982</v>
      </c>
      <c r="D184" s="12" t="s">
        <v>1070</v>
      </c>
      <c r="E184" s="12" t="s">
        <v>1071</v>
      </c>
      <c r="F184" s="12" t="s">
        <v>1072</v>
      </c>
      <c r="G184" s="12" t="s">
        <v>1073</v>
      </c>
      <c r="H184" s="12" t="s">
        <v>1074</v>
      </c>
      <c r="I184" s="12" t="s">
        <v>23</v>
      </c>
      <c r="J184" s="12" t="s">
        <v>1075</v>
      </c>
      <c r="K184" s="12" t="s">
        <v>23</v>
      </c>
      <c r="L184" s="12">
        <v>1</v>
      </c>
      <c r="M184" s="9">
        <f t="shared" si="17"/>
        <v>10</v>
      </c>
      <c r="N184" s="9">
        <v>10</v>
      </c>
      <c r="O184" s="20" t="s">
        <v>26</v>
      </c>
      <c r="P184" s="19">
        <v>0.71709999999999996</v>
      </c>
      <c r="Q184" s="19">
        <f t="shared" si="15"/>
        <v>7.1710000000000003</v>
      </c>
      <c r="R184" s="12"/>
    </row>
    <row r="185" spans="1:18" ht="24">
      <c r="A185" s="2"/>
      <c r="B185" s="7">
        <f t="shared" si="16"/>
        <v>183</v>
      </c>
      <c r="C185" s="8" t="s">
        <v>982</v>
      </c>
      <c r="D185" s="9" t="s">
        <v>1076</v>
      </c>
      <c r="E185" s="9" t="s">
        <v>1077</v>
      </c>
      <c r="F185" s="9" t="s">
        <v>1078</v>
      </c>
      <c r="G185" s="9" t="s">
        <v>1079</v>
      </c>
      <c r="H185" s="9" t="s">
        <v>1074</v>
      </c>
      <c r="I185" s="12" t="s">
        <v>23</v>
      </c>
      <c r="J185" s="9" t="s">
        <v>1080</v>
      </c>
      <c r="K185" s="9" t="s">
        <v>23</v>
      </c>
      <c r="L185" s="9">
        <v>1</v>
      </c>
      <c r="M185" s="9">
        <f t="shared" si="17"/>
        <v>10</v>
      </c>
      <c r="N185" s="9">
        <v>10</v>
      </c>
      <c r="O185" s="18" t="s">
        <v>26</v>
      </c>
      <c r="P185" s="19" t="s">
        <v>1081</v>
      </c>
      <c r="Q185" s="17">
        <f t="shared" si="15"/>
        <v>52.317999999999998</v>
      </c>
      <c r="R185" s="9"/>
    </row>
    <row r="186" spans="1:18" ht="36">
      <c r="A186" s="2"/>
      <c r="B186" s="10">
        <f t="shared" si="16"/>
        <v>184</v>
      </c>
      <c r="C186" s="11" t="s">
        <v>1082</v>
      </c>
      <c r="D186" s="12" t="s">
        <v>1083</v>
      </c>
      <c r="E186" s="12" t="s">
        <v>1084</v>
      </c>
      <c r="F186" s="12" t="s">
        <v>1085</v>
      </c>
      <c r="G186" s="12" t="s">
        <v>1086</v>
      </c>
      <c r="H186" s="12"/>
      <c r="I186" s="12" t="s">
        <v>23</v>
      </c>
      <c r="J186" s="12" t="s">
        <v>23</v>
      </c>
      <c r="K186" s="12" t="s">
        <v>23</v>
      </c>
      <c r="L186" s="12">
        <v>1</v>
      </c>
      <c r="M186" s="9">
        <f t="shared" si="17"/>
        <v>10</v>
      </c>
      <c r="N186" s="9">
        <v>10</v>
      </c>
      <c r="O186" s="18" t="s">
        <v>1087</v>
      </c>
      <c r="P186" s="17">
        <v>5.0199999999999996</v>
      </c>
      <c r="Q186" s="19">
        <f t="shared" si="15"/>
        <v>50.2</v>
      </c>
      <c r="R186" s="12"/>
    </row>
    <row r="187" spans="1:18" ht="24">
      <c r="A187" s="2"/>
      <c r="B187" s="7">
        <f t="shared" si="16"/>
        <v>185</v>
      </c>
      <c r="C187" s="8" t="s">
        <v>982</v>
      </c>
      <c r="D187" s="9" t="s">
        <v>1088</v>
      </c>
      <c r="E187" s="9" t="s">
        <v>1089</v>
      </c>
      <c r="F187" s="9" t="s">
        <v>1017</v>
      </c>
      <c r="G187" s="9" t="s">
        <v>1090</v>
      </c>
      <c r="H187" s="9" t="s">
        <v>1091</v>
      </c>
      <c r="I187" s="12" t="s">
        <v>23</v>
      </c>
      <c r="J187" s="9" t="s">
        <v>1092</v>
      </c>
      <c r="K187" s="9" t="s">
        <v>23</v>
      </c>
      <c r="L187" s="9">
        <v>1</v>
      </c>
      <c r="M187" s="9">
        <f t="shared" si="17"/>
        <v>10</v>
      </c>
      <c r="N187" s="9">
        <v>10</v>
      </c>
      <c r="O187" s="18" t="str">
        <f t="shared" ref="O187:O196" si="18">HYPERLINK(N187,"LCSC")</f>
        <v>LCSC</v>
      </c>
      <c r="P187" s="19" t="s">
        <v>1093</v>
      </c>
      <c r="Q187" s="17">
        <f t="shared" si="15"/>
        <v>0.875</v>
      </c>
      <c r="R187" s="9"/>
    </row>
    <row r="188" spans="1:18">
      <c r="A188" s="2"/>
      <c r="B188" s="10">
        <f t="shared" si="16"/>
        <v>186</v>
      </c>
      <c r="C188" s="11" t="s">
        <v>982</v>
      </c>
      <c r="D188" s="12" t="s">
        <v>1094</v>
      </c>
      <c r="E188" s="12" t="s">
        <v>1095</v>
      </c>
      <c r="F188" s="12" t="s">
        <v>1096</v>
      </c>
      <c r="G188" s="12" t="s">
        <v>1097</v>
      </c>
      <c r="H188" s="12" t="s">
        <v>305</v>
      </c>
      <c r="I188" s="12" t="s">
        <v>23</v>
      </c>
      <c r="J188" s="12" t="s">
        <v>1098</v>
      </c>
      <c r="K188" s="12" t="s">
        <v>23</v>
      </c>
      <c r="L188" s="12">
        <v>1</v>
      </c>
      <c r="M188" s="9">
        <f t="shared" si="17"/>
        <v>10</v>
      </c>
      <c r="N188" s="9">
        <v>10</v>
      </c>
      <c r="O188" s="18" t="str">
        <f t="shared" si="18"/>
        <v>LCSC</v>
      </c>
      <c r="P188" s="17" t="s">
        <v>88</v>
      </c>
      <c r="Q188" s="19">
        <f t="shared" si="15"/>
        <v>3.7959999999999998</v>
      </c>
      <c r="R188" s="12"/>
    </row>
    <row r="189" spans="1:18">
      <c r="A189" s="2"/>
      <c r="B189" s="7">
        <f t="shared" si="16"/>
        <v>187</v>
      </c>
      <c r="C189" s="8" t="s">
        <v>1099</v>
      </c>
      <c r="D189" s="9" t="s">
        <v>1100</v>
      </c>
      <c r="E189" s="9" t="s">
        <v>1101</v>
      </c>
      <c r="F189" s="9" t="s">
        <v>1017</v>
      </c>
      <c r="G189" s="9" t="s">
        <v>1102</v>
      </c>
      <c r="H189" s="9" t="s">
        <v>1103</v>
      </c>
      <c r="I189" s="12" t="s">
        <v>23</v>
      </c>
      <c r="J189" s="9" t="s">
        <v>1104</v>
      </c>
      <c r="K189" s="12" t="s">
        <v>23</v>
      </c>
      <c r="L189" s="9">
        <v>1</v>
      </c>
      <c r="M189" s="9">
        <f t="shared" si="17"/>
        <v>10</v>
      </c>
      <c r="N189" s="9">
        <v>10</v>
      </c>
      <c r="O189" s="18" t="str">
        <f t="shared" si="18"/>
        <v>LCSC</v>
      </c>
      <c r="P189" s="19" t="s">
        <v>1105</v>
      </c>
      <c r="Q189" s="17">
        <f t="shared" si="15"/>
        <v>9.8819999999999997</v>
      </c>
      <c r="R189" s="9"/>
    </row>
    <row r="190" spans="1:18" ht="36">
      <c r="A190" s="2"/>
      <c r="B190" s="10">
        <f t="shared" si="16"/>
        <v>188</v>
      </c>
      <c r="C190" s="11" t="s">
        <v>982</v>
      </c>
      <c r="D190" s="12" t="s">
        <v>1106</v>
      </c>
      <c r="E190" s="12" t="s">
        <v>1107</v>
      </c>
      <c r="F190" s="12" t="s">
        <v>1108</v>
      </c>
      <c r="G190" s="12" t="s">
        <v>1109</v>
      </c>
      <c r="H190" s="12" t="s">
        <v>1110</v>
      </c>
      <c r="I190" s="12" t="s">
        <v>23</v>
      </c>
      <c r="J190" s="12" t="s">
        <v>1111</v>
      </c>
      <c r="K190" s="12" t="s">
        <v>23</v>
      </c>
      <c r="L190" s="12">
        <v>1</v>
      </c>
      <c r="M190" s="9">
        <f t="shared" si="17"/>
        <v>10</v>
      </c>
      <c r="N190" s="9">
        <v>10</v>
      </c>
      <c r="O190" s="18" t="str">
        <f t="shared" si="18"/>
        <v>LCSC</v>
      </c>
      <c r="P190" s="17" t="s">
        <v>1112</v>
      </c>
      <c r="Q190" s="19">
        <f t="shared" si="15"/>
        <v>34.710999999999999</v>
      </c>
      <c r="R190" s="12"/>
    </row>
    <row r="191" spans="1:18">
      <c r="A191" s="2"/>
      <c r="B191" s="7">
        <f t="shared" si="16"/>
        <v>189</v>
      </c>
      <c r="C191" s="8" t="s">
        <v>982</v>
      </c>
      <c r="D191" s="9" t="s">
        <v>1113</v>
      </c>
      <c r="E191" s="9" t="s">
        <v>1114</v>
      </c>
      <c r="F191" s="9" t="s">
        <v>977</v>
      </c>
      <c r="G191" s="9" t="s">
        <v>1115</v>
      </c>
      <c r="H191" s="9" t="s">
        <v>1116</v>
      </c>
      <c r="I191" s="12" t="s">
        <v>23</v>
      </c>
      <c r="J191" s="9" t="s">
        <v>1117</v>
      </c>
      <c r="K191" s="12" t="s">
        <v>23</v>
      </c>
      <c r="L191" s="9">
        <v>2</v>
      </c>
      <c r="M191" s="9">
        <f t="shared" si="17"/>
        <v>20</v>
      </c>
      <c r="N191" s="12">
        <v>20</v>
      </c>
      <c r="O191" s="18" t="str">
        <f t="shared" si="18"/>
        <v>LCSC</v>
      </c>
      <c r="P191" s="19" t="s">
        <v>1118</v>
      </c>
      <c r="Q191" s="17">
        <f t="shared" si="15"/>
        <v>4.8460000000000001</v>
      </c>
      <c r="R191" s="9"/>
    </row>
    <row r="192" spans="1:18" ht="24">
      <c r="A192" s="2"/>
      <c r="B192" s="10">
        <f t="shared" si="16"/>
        <v>190</v>
      </c>
      <c r="C192" s="11" t="s">
        <v>982</v>
      </c>
      <c r="D192" s="12" t="s">
        <v>1119</v>
      </c>
      <c r="E192" s="12" t="s">
        <v>1120</v>
      </c>
      <c r="F192" s="12" t="s">
        <v>1121</v>
      </c>
      <c r="G192" s="12" t="s">
        <v>1122</v>
      </c>
      <c r="H192" s="12" t="s">
        <v>1123</v>
      </c>
      <c r="I192" s="12" t="s">
        <v>23</v>
      </c>
      <c r="J192" s="12" t="s">
        <v>1124</v>
      </c>
      <c r="K192" s="12" t="s">
        <v>23</v>
      </c>
      <c r="L192" s="12">
        <v>1</v>
      </c>
      <c r="M192" s="9">
        <f t="shared" si="17"/>
        <v>10</v>
      </c>
      <c r="N192" s="9">
        <v>10</v>
      </c>
      <c r="O192" s="18" t="str">
        <f t="shared" si="18"/>
        <v>LCSC</v>
      </c>
      <c r="P192" s="17" t="s">
        <v>1125</v>
      </c>
      <c r="Q192" s="19">
        <f t="shared" si="15"/>
        <v>18.777999999999999</v>
      </c>
      <c r="R192" s="12"/>
    </row>
    <row r="193" spans="1:18" ht="36">
      <c r="A193" s="2"/>
      <c r="B193" s="7">
        <f t="shared" si="16"/>
        <v>191</v>
      </c>
      <c r="C193" s="8" t="s">
        <v>982</v>
      </c>
      <c r="D193" s="9" t="s">
        <v>1126</v>
      </c>
      <c r="E193" s="9" t="s">
        <v>1127</v>
      </c>
      <c r="F193" s="9" t="s">
        <v>1036</v>
      </c>
      <c r="G193" s="9" t="s">
        <v>1128</v>
      </c>
      <c r="H193" s="9" t="s">
        <v>1129</v>
      </c>
      <c r="I193" s="12" t="s">
        <v>23</v>
      </c>
      <c r="J193" s="9" t="s">
        <v>1130</v>
      </c>
      <c r="K193" s="12" t="s">
        <v>23</v>
      </c>
      <c r="L193" s="9">
        <v>1</v>
      </c>
      <c r="M193" s="9">
        <f t="shared" si="17"/>
        <v>10</v>
      </c>
      <c r="N193" s="12" t="s">
        <v>131</v>
      </c>
      <c r="O193" s="18" t="str">
        <f t="shared" si="18"/>
        <v>LCSC</v>
      </c>
      <c r="P193" s="19" t="s">
        <v>1131</v>
      </c>
      <c r="Q193" s="17">
        <f t="shared" si="15"/>
        <v>0.60099999999999998</v>
      </c>
      <c r="R193" s="9"/>
    </row>
    <row r="194" spans="1:18">
      <c r="A194" s="2"/>
      <c r="B194" s="10">
        <f t="shared" si="16"/>
        <v>192</v>
      </c>
      <c r="C194" s="11" t="s">
        <v>1132</v>
      </c>
      <c r="D194" s="12" t="s">
        <v>1133</v>
      </c>
      <c r="E194" s="12" t="s">
        <v>1134</v>
      </c>
      <c r="F194" s="9" t="s">
        <v>20</v>
      </c>
      <c r="G194" s="12" t="s">
        <v>1135</v>
      </c>
      <c r="H194" s="12" t="s">
        <v>1136</v>
      </c>
      <c r="I194" s="12" t="s">
        <v>23</v>
      </c>
      <c r="J194" s="12" t="s">
        <v>1137</v>
      </c>
      <c r="K194" s="12" t="s">
        <v>1138</v>
      </c>
      <c r="L194" s="12">
        <v>1</v>
      </c>
      <c r="M194" s="9">
        <f t="shared" si="17"/>
        <v>10</v>
      </c>
      <c r="N194" s="9">
        <v>10</v>
      </c>
      <c r="O194" s="18" t="str">
        <f t="shared" si="18"/>
        <v>LCSC</v>
      </c>
      <c r="P194" s="17" t="s">
        <v>1139</v>
      </c>
      <c r="Q194" s="19">
        <f t="shared" si="15"/>
        <v>3.2480000000000002</v>
      </c>
      <c r="R194" s="12"/>
    </row>
    <row r="195" spans="1:18" ht="36">
      <c r="A195" s="2"/>
      <c r="B195" s="7">
        <f t="shared" si="16"/>
        <v>193</v>
      </c>
      <c r="C195" s="8" t="s">
        <v>1132</v>
      </c>
      <c r="D195" s="9" t="s">
        <v>1140</v>
      </c>
      <c r="E195" s="9" t="s">
        <v>1141</v>
      </c>
      <c r="F195" s="9" t="s">
        <v>1142</v>
      </c>
      <c r="G195" s="9" t="s">
        <v>1143</v>
      </c>
      <c r="H195" s="9" t="s">
        <v>1144</v>
      </c>
      <c r="I195" s="12" t="s">
        <v>23</v>
      </c>
      <c r="J195" s="9" t="s">
        <v>1145</v>
      </c>
      <c r="K195" s="9" t="s">
        <v>1146</v>
      </c>
      <c r="L195" s="9">
        <v>1</v>
      </c>
      <c r="M195" s="9">
        <f t="shared" si="17"/>
        <v>10</v>
      </c>
      <c r="N195" s="9">
        <v>10</v>
      </c>
      <c r="O195" s="18" t="str">
        <f t="shared" si="18"/>
        <v>LCSC</v>
      </c>
      <c r="P195" s="19" t="s">
        <v>1147</v>
      </c>
      <c r="Q195" s="17">
        <f t="shared" si="15"/>
        <v>0.84199999999999997</v>
      </c>
      <c r="R195" s="9"/>
    </row>
    <row r="196" spans="1:18" ht="24">
      <c r="A196" s="2"/>
      <c r="B196" s="10">
        <f t="shared" si="16"/>
        <v>194</v>
      </c>
      <c r="C196" s="8" t="s">
        <v>1132</v>
      </c>
      <c r="D196" s="12" t="s">
        <v>1148</v>
      </c>
      <c r="E196" s="12" t="s">
        <v>1149</v>
      </c>
      <c r="F196" s="9" t="s">
        <v>20</v>
      </c>
      <c r="G196" s="12" t="s">
        <v>1150</v>
      </c>
      <c r="H196" s="12" t="s">
        <v>1151</v>
      </c>
      <c r="I196" s="12" t="s">
        <v>23</v>
      </c>
      <c r="J196" s="12" t="s">
        <v>1152</v>
      </c>
      <c r="K196" s="12" t="s">
        <v>1153</v>
      </c>
      <c r="L196" s="12">
        <v>1</v>
      </c>
      <c r="M196" s="9">
        <f>L196*10</f>
        <v>10</v>
      </c>
      <c r="N196" s="9">
        <v>10</v>
      </c>
      <c r="O196" s="18" t="str">
        <f t="shared" si="18"/>
        <v>LCSC</v>
      </c>
      <c r="P196" s="17" t="s">
        <v>1154</v>
      </c>
      <c r="Q196" s="19">
        <f t="shared" si="15"/>
        <v>2.4809999999999999</v>
      </c>
      <c r="R196" s="12"/>
    </row>
    <row r="197" spans="1:18" ht="18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4" t="s">
        <v>1155</v>
      </c>
      <c r="O197" s="35"/>
      <c r="P197" s="35"/>
      <c r="Q197" s="28">
        <f>SUM(Q3:Q196)</f>
        <v>901.31600000000003</v>
      </c>
      <c r="R197" s="2"/>
    </row>
    <row r="198" spans="1:18" ht="18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4" t="s">
        <v>1156</v>
      </c>
      <c r="O198" s="35"/>
      <c r="P198" s="35"/>
      <c r="Q198" s="29">
        <f>Q197/10</f>
        <v>90.131600000000006</v>
      </c>
      <c r="R198" s="2"/>
    </row>
  </sheetData>
  <mergeCells count="3">
    <mergeCell ref="K1:R1"/>
    <mergeCell ref="N197:P197"/>
    <mergeCell ref="N198:P198"/>
  </mergeCells>
  <hyperlinks>
    <hyperlink ref="O4" r:id="rId1"/>
    <hyperlink ref="O5" r:id="rId2"/>
    <hyperlink ref="O6" r:id="rId3"/>
    <hyperlink ref="O7" r:id="rId4"/>
    <hyperlink ref="O8" r:id="rId5"/>
    <hyperlink ref="O9" r:id="rId6"/>
    <hyperlink ref="O10" r:id="rId7"/>
    <hyperlink ref="O11" r:id="rId8"/>
    <hyperlink ref="O12" r:id="rId9"/>
    <hyperlink ref="O13" r:id="rId10"/>
    <hyperlink ref="O14" r:id="rId11"/>
    <hyperlink ref="O15" r:id="rId12"/>
    <hyperlink ref="O16" r:id="rId13"/>
    <hyperlink ref="O17" r:id="rId14"/>
    <hyperlink ref="O18" r:id="rId15"/>
    <hyperlink ref="O19" r:id="rId16"/>
    <hyperlink ref="O20" r:id="rId17"/>
    <hyperlink ref="O21" r:id="rId18"/>
    <hyperlink ref="O22" r:id="rId19"/>
    <hyperlink ref="O23" r:id="rId20"/>
    <hyperlink ref="O24" r:id="rId21"/>
    <hyperlink ref="O25" r:id="rId22"/>
    <hyperlink ref="O26" r:id="rId23"/>
    <hyperlink ref="O27" r:id="rId24"/>
    <hyperlink ref="O28" r:id="rId25"/>
    <hyperlink ref="O3" r:id="rId26"/>
    <hyperlink ref="O29" r:id="rId27"/>
    <hyperlink ref="O31" r:id="rId28"/>
    <hyperlink ref="O32" r:id="rId29"/>
    <hyperlink ref="O33" r:id="rId30"/>
    <hyperlink ref="O34" r:id="rId31"/>
    <hyperlink ref="O35" r:id="rId32"/>
    <hyperlink ref="O36" r:id="rId33"/>
    <hyperlink ref="O37" r:id="rId34"/>
    <hyperlink ref="O38" r:id="rId35"/>
    <hyperlink ref="O39" r:id="rId36"/>
    <hyperlink ref="O40" r:id="rId37"/>
    <hyperlink ref="O41" r:id="rId38"/>
    <hyperlink ref="O42" r:id="rId39"/>
    <hyperlink ref="O43" r:id="rId40"/>
    <hyperlink ref="O44" r:id="rId41"/>
    <hyperlink ref="O45" r:id="rId42"/>
    <hyperlink ref="O46" r:id="rId43"/>
    <hyperlink ref="O47" r:id="rId44"/>
    <hyperlink ref="O48" r:id="rId45"/>
    <hyperlink ref="O49" r:id="rId46"/>
    <hyperlink ref="O50" r:id="rId47"/>
    <hyperlink ref="O51" r:id="rId48"/>
    <hyperlink ref="O52" r:id="rId49"/>
    <hyperlink ref="O53" r:id="rId50"/>
    <hyperlink ref="O54" r:id="rId51"/>
    <hyperlink ref="O55" r:id="rId52"/>
    <hyperlink ref="O56" r:id="rId53"/>
    <hyperlink ref="O57" r:id="rId54"/>
    <hyperlink ref="O58" r:id="rId55"/>
    <hyperlink ref="O60" r:id="rId56"/>
    <hyperlink ref="O30" r:id="rId57"/>
    <hyperlink ref="O59" r:id="rId58"/>
    <hyperlink ref="O61" r:id="rId59"/>
    <hyperlink ref="O63" r:id="rId60"/>
    <hyperlink ref="O62" r:id="rId61"/>
    <hyperlink ref="O64" r:id="rId62"/>
    <hyperlink ref="O65" r:id="rId63"/>
    <hyperlink ref="O66" r:id="rId64"/>
    <hyperlink ref="O67" r:id="rId65"/>
    <hyperlink ref="O68" r:id="rId66"/>
    <hyperlink ref="O69" r:id="rId67"/>
    <hyperlink ref="O70" r:id="rId68"/>
    <hyperlink ref="O71" r:id="rId69"/>
    <hyperlink ref="O72" r:id="rId70"/>
    <hyperlink ref="O73" r:id="rId71"/>
    <hyperlink ref="O74" r:id="rId72"/>
    <hyperlink ref="O75" r:id="rId73"/>
    <hyperlink ref="O76" r:id="rId74"/>
    <hyperlink ref="O77" r:id="rId75"/>
    <hyperlink ref="O78" r:id="rId76"/>
    <hyperlink ref="O79" r:id="rId77"/>
    <hyperlink ref="O80" r:id="rId78"/>
    <hyperlink ref="O81" r:id="rId79"/>
    <hyperlink ref="O82" r:id="rId80"/>
    <hyperlink ref="O83" r:id="rId81"/>
    <hyperlink ref="O84" r:id="rId82"/>
    <hyperlink ref="O86" r:id="rId83"/>
    <hyperlink ref="O85" r:id="rId84"/>
    <hyperlink ref="O88" r:id="rId85"/>
    <hyperlink ref="O89" r:id="rId86"/>
    <hyperlink ref="O90" r:id="rId87"/>
    <hyperlink ref="O91" r:id="rId88"/>
    <hyperlink ref="O92" r:id="rId89"/>
    <hyperlink ref="O93" r:id="rId90"/>
    <hyperlink ref="O95" r:id="rId91"/>
    <hyperlink ref="O96" r:id="rId92"/>
    <hyperlink ref="O97" r:id="rId93"/>
    <hyperlink ref="O98" r:id="rId94"/>
    <hyperlink ref="O99" r:id="rId95"/>
    <hyperlink ref="O100" r:id="rId96"/>
    <hyperlink ref="O101" r:id="rId97"/>
    <hyperlink ref="O102" r:id="rId98"/>
    <hyperlink ref="O103" r:id="rId99"/>
    <hyperlink ref="O104" r:id="rId100"/>
    <hyperlink ref="O105" r:id="rId101"/>
    <hyperlink ref="O106" r:id="rId102"/>
    <hyperlink ref="O107" r:id="rId103"/>
    <hyperlink ref="O108" r:id="rId104"/>
    <hyperlink ref="O109" r:id="rId105"/>
    <hyperlink ref="O94" r:id="rId106"/>
    <hyperlink ref="O110" r:id="rId107"/>
    <hyperlink ref="O111" r:id="rId108"/>
    <hyperlink ref="O112" r:id="rId109"/>
    <hyperlink ref="O113" r:id="rId110"/>
    <hyperlink ref="O114" r:id="rId111"/>
    <hyperlink ref="O115" r:id="rId112"/>
    <hyperlink ref="O116" r:id="rId113"/>
    <hyperlink ref="O117" r:id="rId114"/>
    <hyperlink ref="O118" r:id="rId115"/>
    <hyperlink ref="O119" r:id="rId116"/>
    <hyperlink ref="O120" r:id="rId117"/>
    <hyperlink ref="O121" r:id="rId118"/>
    <hyperlink ref="O122" r:id="rId119"/>
    <hyperlink ref="O123" r:id="rId120"/>
    <hyperlink ref="O124" r:id="rId121"/>
    <hyperlink ref="O125" r:id="rId122"/>
    <hyperlink ref="O126" r:id="rId123"/>
    <hyperlink ref="O127" r:id="rId124"/>
    <hyperlink ref="O128" r:id="rId125"/>
    <hyperlink ref="O129" r:id="rId126"/>
    <hyperlink ref="O130" r:id="rId127"/>
    <hyperlink ref="O131" r:id="rId128"/>
    <hyperlink ref="O132" r:id="rId129"/>
    <hyperlink ref="O133" r:id="rId130"/>
    <hyperlink ref="O134" r:id="rId131"/>
    <hyperlink ref="O135" r:id="rId132"/>
    <hyperlink ref="O136" r:id="rId133"/>
    <hyperlink ref="O137" r:id="rId134"/>
    <hyperlink ref="O138" r:id="rId135"/>
    <hyperlink ref="O139" r:id="rId136"/>
    <hyperlink ref="O140" r:id="rId137"/>
    <hyperlink ref="O141" r:id="rId138"/>
    <hyperlink ref="O142" r:id="rId139"/>
    <hyperlink ref="O143" r:id="rId140"/>
    <hyperlink ref="O144" r:id="rId141"/>
    <hyperlink ref="O145" r:id="rId142"/>
    <hyperlink ref="O146" r:id="rId143"/>
    <hyperlink ref="O147" r:id="rId144"/>
    <hyperlink ref="O153" r:id="rId145"/>
    <hyperlink ref="O167" r:id="rId146"/>
    <hyperlink ref="O168" r:id="rId147"/>
    <hyperlink ref="O169" r:id="rId148"/>
    <hyperlink ref="O170" r:id="rId149"/>
    <hyperlink ref="O171" r:id="rId150"/>
    <hyperlink ref="O172" r:id="rId151"/>
    <hyperlink ref="O173" r:id="rId152"/>
    <hyperlink ref="O174" r:id="rId153"/>
    <hyperlink ref="O175" r:id="rId154"/>
    <hyperlink ref="O176" r:id="rId155"/>
    <hyperlink ref="O177" r:id="rId156"/>
    <hyperlink ref="O178" r:id="rId157"/>
    <hyperlink ref="O179" r:id="rId158"/>
    <hyperlink ref="O180" r:id="rId159"/>
    <hyperlink ref="O181" r:id="rId160"/>
    <hyperlink ref="O182" r:id="rId161"/>
    <hyperlink ref="O185" r:id="rId162"/>
    <hyperlink ref="O186" r:id="rId163"/>
    <hyperlink ref="O148" r:id="rId164"/>
    <hyperlink ref="O149" r:id="rId165"/>
    <hyperlink ref="O150" r:id="rId166"/>
    <hyperlink ref="O152" r:id="rId167"/>
    <hyperlink ref="O154" r:id="rId168"/>
    <hyperlink ref="O155" r:id="rId169"/>
    <hyperlink ref="O156" r:id="rId170"/>
    <hyperlink ref="O157" r:id="rId171"/>
    <hyperlink ref="O158" r:id="rId172"/>
    <hyperlink ref="O159" r:id="rId173"/>
    <hyperlink ref="O160" r:id="rId174"/>
    <hyperlink ref="O161" r:id="rId175"/>
    <hyperlink ref="O162" r:id="rId176"/>
    <hyperlink ref="O163" r:id="rId177"/>
    <hyperlink ref="O164" r:id="rId178"/>
    <hyperlink ref="O165" r:id="rId179"/>
    <hyperlink ref="O166" r:id="rId180"/>
    <hyperlink ref="O183" r:id="rId181"/>
    <hyperlink ref="O184" r:id="rId1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opLeftCell="H176" workbookViewId="0">
      <selection activeCell="U196" sqref="U196"/>
    </sheetView>
  </sheetViews>
  <sheetFormatPr defaultColWidth="9" defaultRowHeight="15"/>
  <cols>
    <col min="2" max="2" width="4" customWidth="1"/>
    <col min="3" max="3" width="21.5703125" customWidth="1"/>
    <col min="4" max="4" width="29.85546875" customWidth="1"/>
    <col min="5" max="5" width="33.42578125" customWidth="1"/>
    <col min="6" max="6" width="13.85546875" customWidth="1"/>
    <col min="7" max="7" width="25.28515625" customWidth="1"/>
    <col min="8" max="8" width="13.28515625" customWidth="1"/>
    <col min="9" max="9" width="21.5703125" customWidth="1"/>
    <col min="10" max="10" width="17" customWidth="1"/>
    <col min="12" max="12" width="8.7109375" customWidth="1"/>
    <col min="13" max="13" width="20.28515625" customWidth="1"/>
    <col min="14" max="14" width="17.28515625" customWidth="1"/>
    <col min="15" max="15" width="8.5703125" customWidth="1"/>
    <col min="16" max="16" width="20.7109375" customWidth="1"/>
    <col min="17" max="17" width="21.42578125" customWidth="1"/>
    <col min="18" max="18" width="9" customWidth="1"/>
  </cols>
  <sheetData>
    <row r="1" spans="1:18">
      <c r="A1" s="2"/>
      <c r="B1" s="3"/>
      <c r="C1" s="3"/>
      <c r="D1" s="4"/>
      <c r="E1" s="4"/>
      <c r="F1" s="4"/>
      <c r="G1" s="4"/>
      <c r="H1" s="4"/>
      <c r="I1" s="4"/>
      <c r="J1" s="4"/>
      <c r="K1" s="33"/>
      <c r="L1" s="33"/>
      <c r="M1" s="33"/>
      <c r="N1" s="33"/>
      <c r="O1" s="33"/>
      <c r="P1" s="33"/>
      <c r="Q1" s="33"/>
      <c r="R1" s="33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1161</v>
      </c>
      <c r="N2" s="14" t="s">
        <v>1162</v>
      </c>
      <c r="O2" s="5" t="s">
        <v>13</v>
      </c>
      <c r="P2" s="15" t="s">
        <v>1163</v>
      </c>
      <c r="Q2" s="5" t="s">
        <v>1164</v>
      </c>
      <c r="R2" s="5" t="s">
        <v>1165</v>
      </c>
    </row>
    <row r="3" spans="1:18" s="1" customFormat="1" ht="24">
      <c r="A3" s="6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>
        <v>14</v>
      </c>
      <c r="M3" s="9">
        <f>L3*100</f>
        <v>1400</v>
      </c>
      <c r="N3" s="9" t="s">
        <v>1166</v>
      </c>
      <c r="O3" s="16" t="s">
        <v>26</v>
      </c>
      <c r="P3" s="17" t="s">
        <v>1167</v>
      </c>
      <c r="Q3" s="17">
        <f>P3*N3</f>
        <v>19.88</v>
      </c>
      <c r="R3" s="9"/>
    </row>
    <row r="4" spans="1:18" s="1" customFormat="1">
      <c r="A4" s="6"/>
      <c r="B4" s="10">
        <f t="shared" ref="B4:B196" si="0"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12" t="s">
        <v>33</v>
      </c>
      <c r="L4" s="12">
        <v>1</v>
      </c>
      <c r="M4" s="9">
        <f t="shared" ref="M4:M67" si="1">L4*100</f>
        <v>100</v>
      </c>
      <c r="N4" s="12" t="s">
        <v>42</v>
      </c>
      <c r="O4" s="18" t="s">
        <v>26</v>
      </c>
      <c r="P4" s="19" t="s">
        <v>35</v>
      </c>
      <c r="Q4" s="19">
        <f t="shared" ref="Q4:Q5" si="2">P4*N4</f>
        <v>1.29</v>
      </c>
      <c r="R4" s="12"/>
    </row>
    <row r="5" spans="1:18" s="1" customFormat="1">
      <c r="A5" s="6"/>
      <c r="B5" s="7">
        <f>ROW(B5)-ROW($B$2)</f>
        <v>3</v>
      </c>
      <c r="C5" s="8" t="s">
        <v>17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31</v>
      </c>
      <c r="I5" s="9" t="s">
        <v>23</v>
      </c>
      <c r="J5" s="9" t="s">
        <v>40</v>
      </c>
      <c r="K5" s="9" t="s">
        <v>41</v>
      </c>
      <c r="L5" s="9">
        <v>6</v>
      </c>
      <c r="M5" s="9">
        <f t="shared" si="1"/>
        <v>600</v>
      </c>
      <c r="N5" s="9" t="s">
        <v>1168</v>
      </c>
      <c r="O5" s="18" t="s">
        <v>26</v>
      </c>
      <c r="P5" s="17" t="s">
        <v>43</v>
      </c>
      <c r="Q5" s="17">
        <f t="shared" si="2"/>
        <v>3.24</v>
      </c>
      <c r="R5" s="9"/>
    </row>
    <row r="6" spans="1:18" s="1" customFormat="1">
      <c r="A6" s="6"/>
      <c r="B6" s="10">
        <f t="shared" si="0"/>
        <v>4</v>
      </c>
      <c r="C6" s="11" t="s">
        <v>17</v>
      </c>
      <c r="D6" s="12" t="s">
        <v>44</v>
      </c>
      <c r="E6" s="12" t="s">
        <v>45</v>
      </c>
      <c r="F6" s="12" t="s">
        <v>46</v>
      </c>
      <c r="G6" s="12" t="s">
        <v>47</v>
      </c>
      <c r="H6" s="12" t="s">
        <v>31</v>
      </c>
      <c r="I6" s="9" t="s">
        <v>23</v>
      </c>
      <c r="J6" s="12" t="s">
        <v>48</v>
      </c>
      <c r="K6" s="12" t="s">
        <v>49</v>
      </c>
      <c r="L6" s="12">
        <v>2</v>
      </c>
      <c r="M6" s="9">
        <f t="shared" si="1"/>
        <v>200</v>
      </c>
      <c r="N6" s="12" t="s">
        <v>1169</v>
      </c>
      <c r="O6" s="18" t="s">
        <v>26</v>
      </c>
      <c r="P6" s="19" t="s">
        <v>50</v>
      </c>
      <c r="Q6" s="19">
        <f t="shared" ref="Q6:Q7" si="3">P6*N6</f>
        <v>0.44</v>
      </c>
      <c r="R6" s="12"/>
    </row>
    <row r="7" spans="1:18" s="1" customFormat="1" ht="36">
      <c r="A7" s="6"/>
      <c r="B7" s="7">
        <f>ROW(B7)-ROW($B$2)</f>
        <v>5</v>
      </c>
      <c r="C7" s="8" t="s">
        <v>17</v>
      </c>
      <c r="D7" s="9" t="s">
        <v>51</v>
      </c>
      <c r="E7" s="9" t="s">
        <v>52</v>
      </c>
      <c r="F7" s="9" t="s">
        <v>38</v>
      </c>
      <c r="G7" s="9" t="s">
        <v>53</v>
      </c>
      <c r="H7" s="9" t="s">
        <v>31</v>
      </c>
      <c r="I7" s="9" t="s">
        <v>23</v>
      </c>
      <c r="J7" s="9" t="s">
        <v>54</v>
      </c>
      <c r="K7" s="9" t="s">
        <v>33</v>
      </c>
      <c r="L7" s="9">
        <v>21</v>
      </c>
      <c r="M7" s="9">
        <f t="shared" si="1"/>
        <v>2100</v>
      </c>
      <c r="N7" s="9" t="s">
        <v>1170</v>
      </c>
      <c r="O7" s="18" t="s">
        <v>26</v>
      </c>
      <c r="P7" s="17" t="s">
        <v>1171</v>
      </c>
      <c r="Q7" s="17">
        <f t="shared" si="3"/>
        <v>5.04</v>
      </c>
      <c r="R7" s="9"/>
    </row>
    <row r="8" spans="1:18" s="1" customFormat="1">
      <c r="A8" s="6"/>
      <c r="B8" s="10">
        <f t="shared" si="0"/>
        <v>6</v>
      </c>
      <c r="C8" s="11" t="s">
        <v>17</v>
      </c>
      <c r="D8" s="12" t="s">
        <v>56</v>
      </c>
      <c r="E8" s="12" t="s">
        <v>57</v>
      </c>
      <c r="F8" s="12" t="s">
        <v>46</v>
      </c>
      <c r="G8" s="12" t="s">
        <v>58</v>
      </c>
      <c r="H8" s="12" t="s">
        <v>31</v>
      </c>
      <c r="I8" s="9" t="s">
        <v>23</v>
      </c>
      <c r="J8" s="12" t="s">
        <v>59</v>
      </c>
      <c r="K8" s="12" t="s">
        <v>41</v>
      </c>
      <c r="L8" s="12">
        <v>4</v>
      </c>
      <c r="M8" s="9">
        <f t="shared" si="1"/>
        <v>400</v>
      </c>
      <c r="N8" s="12" t="s">
        <v>1172</v>
      </c>
      <c r="O8" s="18" t="s">
        <v>26</v>
      </c>
      <c r="P8" s="19" t="s">
        <v>60</v>
      </c>
      <c r="Q8" s="19">
        <f t="shared" ref="Q8:Q9" si="4">P8*N8</f>
        <v>1.64</v>
      </c>
      <c r="R8" s="12"/>
    </row>
    <row r="9" spans="1:18" s="1" customFormat="1">
      <c r="A9" s="6"/>
      <c r="B9" s="7">
        <f>ROW(B9)-ROW($B$2)</f>
        <v>7</v>
      </c>
      <c r="C9" s="8" t="s">
        <v>17</v>
      </c>
      <c r="D9" s="9" t="s">
        <v>61</v>
      </c>
      <c r="E9" s="9" t="s">
        <v>62</v>
      </c>
      <c r="F9" s="9" t="s">
        <v>20</v>
      </c>
      <c r="G9" s="13" t="s">
        <v>63</v>
      </c>
      <c r="H9" s="9" t="s">
        <v>64</v>
      </c>
      <c r="I9" s="9" t="s">
        <v>65</v>
      </c>
      <c r="J9" s="9" t="s">
        <v>23</v>
      </c>
      <c r="K9" s="9" t="s">
        <v>66</v>
      </c>
      <c r="L9" s="9">
        <v>1</v>
      </c>
      <c r="M9" s="9">
        <f t="shared" si="1"/>
        <v>100</v>
      </c>
      <c r="N9" s="9">
        <v>100</v>
      </c>
      <c r="O9" s="18" t="s">
        <v>67</v>
      </c>
      <c r="P9" s="17">
        <v>0.38</v>
      </c>
      <c r="Q9" s="17">
        <f t="shared" si="4"/>
        <v>38</v>
      </c>
      <c r="R9" s="9"/>
    </row>
    <row r="10" spans="1:18" s="1" customFormat="1">
      <c r="A10" s="6"/>
      <c r="B10" s="10">
        <f t="shared" si="0"/>
        <v>8</v>
      </c>
      <c r="C10" s="11" t="s">
        <v>17</v>
      </c>
      <c r="D10" s="12" t="s">
        <v>68</v>
      </c>
      <c r="E10" s="12" t="s">
        <v>69</v>
      </c>
      <c r="F10" s="12" t="s">
        <v>46</v>
      </c>
      <c r="G10" s="12" t="s">
        <v>70</v>
      </c>
      <c r="H10" s="12" t="s">
        <v>71</v>
      </c>
      <c r="I10" s="12" t="s">
        <v>23</v>
      </c>
      <c r="J10" s="12" t="s">
        <v>72</v>
      </c>
      <c r="K10" s="12" t="s">
        <v>73</v>
      </c>
      <c r="L10" s="12">
        <v>2</v>
      </c>
      <c r="M10" s="9">
        <f t="shared" si="1"/>
        <v>200</v>
      </c>
      <c r="N10" s="12" t="s">
        <v>1169</v>
      </c>
      <c r="O10" s="18" t="s">
        <v>26</v>
      </c>
      <c r="P10" s="19" t="s">
        <v>74</v>
      </c>
      <c r="Q10" s="19">
        <f t="shared" ref="Q10:Q11" si="5">P10*N10</f>
        <v>1.84</v>
      </c>
      <c r="R10" s="12"/>
    </row>
    <row r="11" spans="1:18" s="1" customFormat="1" ht="24">
      <c r="A11" s="6"/>
      <c r="B11" s="7">
        <f>ROW(B11)-ROW($B$2)</f>
        <v>9</v>
      </c>
      <c r="C11" s="11" t="s">
        <v>17</v>
      </c>
      <c r="D11" s="9" t="s">
        <v>75</v>
      </c>
      <c r="E11" s="9" t="s">
        <v>76</v>
      </c>
      <c r="F11" s="9" t="s">
        <v>46</v>
      </c>
      <c r="G11" s="9" t="s">
        <v>77</v>
      </c>
      <c r="H11" s="9" t="s">
        <v>71</v>
      </c>
      <c r="I11" s="12" t="s">
        <v>23</v>
      </c>
      <c r="J11" s="9" t="s">
        <v>78</v>
      </c>
      <c r="K11" s="9" t="s">
        <v>33</v>
      </c>
      <c r="L11" s="9">
        <v>15</v>
      </c>
      <c r="M11" s="9">
        <f t="shared" si="1"/>
        <v>1500</v>
      </c>
      <c r="N11" s="9" t="s">
        <v>1173</v>
      </c>
      <c r="O11" s="18" t="s">
        <v>26</v>
      </c>
      <c r="P11" s="17" t="s">
        <v>1174</v>
      </c>
      <c r="Q11" s="17">
        <f t="shared" si="5"/>
        <v>94.2</v>
      </c>
      <c r="R11" s="9"/>
    </row>
    <row r="12" spans="1:18" s="1" customFormat="1" ht="36">
      <c r="A12" s="6"/>
      <c r="B12" s="10">
        <f t="shared" si="0"/>
        <v>10</v>
      </c>
      <c r="C12" s="11" t="s">
        <v>17</v>
      </c>
      <c r="D12" s="12" t="s">
        <v>81</v>
      </c>
      <c r="E12" s="12" t="s">
        <v>82</v>
      </c>
      <c r="F12" s="9" t="s">
        <v>20</v>
      </c>
      <c r="G12" s="12" t="s">
        <v>83</v>
      </c>
      <c r="H12" s="12" t="s">
        <v>84</v>
      </c>
      <c r="I12" s="12" t="s">
        <v>23</v>
      </c>
      <c r="J12" s="12" t="s">
        <v>85</v>
      </c>
      <c r="K12" s="12" t="s">
        <v>86</v>
      </c>
      <c r="L12" s="12">
        <v>1</v>
      </c>
      <c r="M12" s="9">
        <f t="shared" si="1"/>
        <v>100</v>
      </c>
      <c r="N12" s="12" t="s">
        <v>42</v>
      </c>
      <c r="O12" s="18" t="s">
        <v>26</v>
      </c>
      <c r="P12" s="19" t="s">
        <v>1175</v>
      </c>
      <c r="Q12" s="19">
        <f t="shared" ref="Q12:Q13" si="6">P12*N12</f>
        <v>26.2</v>
      </c>
      <c r="R12" s="12"/>
    </row>
    <row r="13" spans="1:18" s="1" customFormat="1">
      <c r="A13" s="6"/>
      <c r="B13" s="7">
        <f>ROW(B13)-ROW($B$2)</f>
        <v>11</v>
      </c>
      <c r="C13" s="11" t="s">
        <v>17</v>
      </c>
      <c r="D13" s="9" t="s">
        <v>89</v>
      </c>
      <c r="E13" s="9" t="s">
        <v>90</v>
      </c>
      <c r="F13" s="9" t="s">
        <v>38</v>
      </c>
      <c r="G13" s="9" t="s">
        <v>91</v>
      </c>
      <c r="H13" s="9" t="s">
        <v>31</v>
      </c>
      <c r="I13" s="12" t="s">
        <v>23</v>
      </c>
      <c r="J13" s="9" t="s">
        <v>92</v>
      </c>
      <c r="K13" s="9" t="s">
        <v>93</v>
      </c>
      <c r="L13" s="9">
        <v>1</v>
      </c>
      <c r="M13" s="9">
        <f t="shared" si="1"/>
        <v>100</v>
      </c>
      <c r="N13" s="9" t="s">
        <v>42</v>
      </c>
      <c r="O13" s="18" t="s">
        <v>26</v>
      </c>
      <c r="P13" s="17" t="s">
        <v>94</v>
      </c>
      <c r="Q13" s="17">
        <f t="shared" si="6"/>
        <v>0.26</v>
      </c>
      <c r="R13" s="9"/>
    </row>
    <row r="14" spans="1:18" s="1" customFormat="1">
      <c r="A14" s="6"/>
      <c r="B14" s="10">
        <f t="shared" si="0"/>
        <v>12</v>
      </c>
      <c r="C14" s="11" t="s">
        <v>17</v>
      </c>
      <c r="D14" s="12" t="s">
        <v>95</v>
      </c>
      <c r="E14" s="12" t="s">
        <v>96</v>
      </c>
      <c r="F14" s="12" t="s">
        <v>97</v>
      </c>
      <c r="G14" s="12" t="s">
        <v>98</v>
      </c>
      <c r="H14" s="12" t="s">
        <v>31</v>
      </c>
      <c r="I14" s="12" t="s">
        <v>23</v>
      </c>
      <c r="J14" s="12" t="s">
        <v>99</v>
      </c>
      <c r="K14" s="12" t="s">
        <v>100</v>
      </c>
      <c r="L14" s="12">
        <v>4</v>
      </c>
      <c r="M14" s="9">
        <f t="shared" si="1"/>
        <v>400</v>
      </c>
      <c r="N14" s="12" t="s">
        <v>1172</v>
      </c>
      <c r="O14" s="18" t="s">
        <v>26</v>
      </c>
      <c r="P14" s="19" t="s">
        <v>101</v>
      </c>
      <c r="Q14" s="19">
        <f t="shared" ref="Q14:Q15" si="7">P14*N14</f>
        <v>0.4</v>
      </c>
      <c r="R14" s="12"/>
    </row>
    <row r="15" spans="1:18" s="1" customFormat="1">
      <c r="A15" s="6"/>
      <c r="B15" s="7">
        <f>ROW(B15)-ROW($B$2)</f>
        <v>13</v>
      </c>
      <c r="C15" s="11" t="s">
        <v>17</v>
      </c>
      <c r="D15" s="9" t="s">
        <v>102</v>
      </c>
      <c r="E15" s="9" t="s">
        <v>103</v>
      </c>
      <c r="F15" s="9" t="s">
        <v>38</v>
      </c>
      <c r="G15" s="9" t="s">
        <v>104</v>
      </c>
      <c r="H15" s="9" t="s">
        <v>31</v>
      </c>
      <c r="I15" s="12" t="s">
        <v>23</v>
      </c>
      <c r="J15" s="9" t="s">
        <v>105</v>
      </c>
      <c r="K15" s="9" t="s">
        <v>41</v>
      </c>
      <c r="L15" s="9">
        <v>5</v>
      </c>
      <c r="M15" s="9">
        <f t="shared" si="1"/>
        <v>500</v>
      </c>
      <c r="N15" s="9" t="s">
        <v>1176</v>
      </c>
      <c r="O15" s="18" t="s">
        <v>26</v>
      </c>
      <c r="P15" s="17" t="s">
        <v>1177</v>
      </c>
      <c r="Q15" s="17">
        <f t="shared" si="7"/>
        <v>9.15</v>
      </c>
      <c r="R15" s="9"/>
    </row>
    <row r="16" spans="1:18" s="1" customFormat="1">
      <c r="A16" s="6"/>
      <c r="B16" s="10">
        <f t="shared" si="0"/>
        <v>14</v>
      </c>
      <c r="C16" s="11" t="s">
        <v>17</v>
      </c>
      <c r="D16" s="12" t="s">
        <v>108</v>
      </c>
      <c r="E16" s="12" t="s">
        <v>109</v>
      </c>
      <c r="F16" s="12" t="s">
        <v>29</v>
      </c>
      <c r="G16" s="12" t="s">
        <v>110</v>
      </c>
      <c r="H16" s="12" t="s">
        <v>31</v>
      </c>
      <c r="I16" s="12" t="s">
        <v>23</v>
      </c>
      <c r="J16" s="12" t="s">
        <v>111</v>
      </c>
      <c r="K16" s="12" t="s">
        <v>112</v>
      </c>
      <c r="L16" s="12">
        <v>1</v>
      </c>
      <c r="M16" s="9">
        <f t="shared" si="1"/>
        <v>100</v>
      </c>
      <c r="N16" s="12" t="s">
        <v>42</v>
      </c>
      <c r="O16" s="18" t="s">
        <v>26</v>
      </c>
      <c r="P16" s="19" t="s">
        <v>1178</v>
      </c>
      <c r="Q16" s="19">
        <f t="shared" ref="Q16:Q17" si="8">P16*N16</f>
        <v>2.8</v>
      </c>
      <c r="R16" s="12"/>
    </row>
    <row r="17" spans="1:18" s="1" customFormat="1">
      <c r="A17" s="6"/>
      <c r="B17" s="7">
        <f>ROW(B17)-ROW($B$2)</f>
        <v>15</v>
      </c>
      <c r="C17" s="11" t="s">
        <v>17</v>
      </c>
      <c r="D17" s="9" t="s">
        <v>115</v>
      </c>
      <c r="E17" s="9" t="s">
        <v>116</v>
      </c>
      <c r="F17" s="9" t="s">
        <v>46</v>
      </c>
      <c r="G17" s="9" t="s">
        <v>117</v>
      </c>
      <c r="H17" s="9" t="s">
        <v>31</v>
      </c>
      <c r="I17" s="12" t="s">
        <v>23</v>
      </c>
      <c r="J17" s="9" t="s">
        <v>118</v>
      </c>
      <c r="K17" s="9" t="s">
        <v>119</v>
      </c>
      <c r="L17" s="9">
        <v>2</v>
      </c>
      <c r="M17" s="9">
        <f t="shared" si="1"/>
        <v>200</v>
      </c>
      <c r="N17" s="9" t="s">
        <v>1169</v>
      </c>
      <c r="O17" s="18" t="s">
        <v>26</v>
      </c>
      <c r="P17" s="17" t="s">
        <v>120</v>
      </c>
      <c r="Q17" s="17">
        <f t="shared" si="8"/>
        <v>0.22</v>
      </c>
      <c r="R17" s="9"/>
    </row>
    <row r="18" spans="1:18" s="1" customFormat="1">
      <c r="A18" s="6"/>
      <c r="B18" s="10">
        <f t="shared" si="0"/>
        <v>16</v>
      </c>
      <c r="C18" s="11" t="s">
        <v>17</v>
      </c>
      <c r="D18" s="12" t="s">
        <v>121</v>
      </c>
      <c r="E18" s="12" t="s">
        <v>122</v>
      </c>
      <c r="F18" s="12" t="s">
        <v>46</v>
      </c>
      <c r="G18" s="12" t="s">
        <v>123</v>
      </c>
      <c r="H18" s="12" t="s">
        <v>31</v>
      </c>
      <c r="I18" s="12" t="s">
        <v>23</v>
      </c>
      <c r="J18" s="12" t="s">
        <v>124</v>
      </c>
      <c r="K18" s="12" t="s">
        <v>33</v>
      </c>
      <c r="L18" s="12">
        <v>6</v>
      </c>
      <c r="M18" s="9">
        <f t="shared" si="1"/>
        <v>600</v>
      </c>
      <c r="N18" s="12" t="s">
        <v>1168</v>
      </c>
      <c r="O18" s="18" t="s">
        <v>26</v>
      </c>
      <c r="P18" s="19" t="s">
        <v>1179</v>
      </c>
      <c r="Q18" s="19">
        <f t="shared" ref="Q18:Q19" si="9">P18*N18</f>
        <v>1.02</v>
      </c>
      <c r="R18" s="12"/>
    </row>
    <row r="19" spans="1:18" s="1" customFormat="1">
      <c r="A19" s="6"/>
      <c r="B19" s="7">
        <f>ROW(B19)-ROW($B$2)</f>
        <v>17</v>
      </c>
      <c r="C19" s="11" t="s">
        <v>17</v>
      </c>
      <c r="D19" s="9" t="s">
        <v>126</v>
      </c>
      <c r="E19" s="9" t="s">
        <v>127</v>
      </c>
      <c r="F19" s="9" t="s">
        <v>38</v>
      </c>
      <c r="G19" s="9" t="s">
        <v>128</v>
      </c>
      <c r="H19" s="9" t="s">
        <v>129</v>
      </c>
      <c r="I19" s="12" t="s">
        <v>23</v>
      </c>
      <c r="J19" s="9" t="s">
        <v>130</v>
      </c>
      <c r="K19" s="9" t="s">
        <v>25</v>
      </c>
      <c r="L19" s="9">
        <v>1</v>
      </c>
      <c r="M19" s="9">
        <f t="shared" si="1"/>
        <v>100</v>
      </c>
      <c r="N19" s="9" t="s">
        <v>42</v>
      </c>
      <c r="O19" s="18" t="s">
        <v>26</v>
      </c>
      <c r="P19" s="17" t="s">
        <v>1180</v>
      </c>
      <c r="Q19" s="17">
        <f t="shared" si="9"/>
        <v>3.03</v>
      </c>
      <c r="R19" s="9"/>
    </row>
    <row r="20" spans="1:18" s="1" customFormat="1" ht="24">
      <c r="A20" s="6"/>
      <c r="B20" s="10">
        <f t="shared" si="0"/>
        <v>18</v>
      </c>
      <c r="C20" s="11" t="s">
        <v>17</v>
      </c>
      <c r="D20" s="12" t="s">
        <v>133</v>
      </c>
      <c r="E20" s="12" t="s">
        <v>134</v>
      </c>
      <c r="F20" s="12" t="s">
        <v>135</v>
      </c>
      <c r="G20" s="12" t="s">
        <v>136</v>
      </c>
      <c r="H20" s="12" t="s">
        <v>137</v>
      </c>
      <c r="I20" s="12" t="s">
        <v>23</v>
      </c>
      <c r="J20" s="12" t="s">
        <v>138</v>
      </c>
      <c r="K20" s="12" t="s">
        <v>139</v>
      </c>
      <c r="L20" s="12">
        <v>5</v>
      </c>
      <c r="M20" s="9">
        <f t="shared" si="1"/>
        <v>500</v>
      </c>
      <c r="N20" s="12" t="s">
        <v>1176</v>
      </c>
      <c r="O20" s="18" t="s">
        <v>26</v>
      </c>
      <c r="P20" s="19" t="s">
        <v>1181</v>
      </c>
      <c r="Q20" s="19">
        <f t="shared" ref="Q20:Q21" si="10">P20*N20</f>
        <v>47.6</v>
      </c>
      <c r="R20" s="12"/>
    </row>
    <row r="21" spans="1:18" s="1" customFormat="1">
      <c r="A21" s="6"/>
      <c r="B21" s="7">
        <f>ROW(B21)-ROW($B$2)</f>
        <v>19</v>
      </c>
      <c r="C21" s="11" t="s">
        <v>17</v>
      </c>
      <c r="D21" s="9" t="s">
        <v>142</v>
      </c>
      <c r="E21" s="9" t="s">
        <v>143</v>
      </c>
      <c r="F21" s="9" t="s">
        <v>20</v>
      </c>
      <c r="G21" s="9" t="s">
        <v>144</v>
      </c>
      <c r="H21" s="9" t="s">
        <v>64</v>
      </c>
      <c r="I21" s="12" t="s">
        <v>23</v>
      </c>
      <c r="J21" s="9" t="s">
        <v>145</v>
      </c>
      <c r="K21" s="9" t="s">
        <v>146</v>
      </c>
      <c r="L21" s="9">
        <v>1</v>
      </c>
      <c r="M21" s="9">
        <f t="shared" si="1"/>
        <v>100</v>
      </c>
      <c r="N21" s="9" t="s">
        <v>42</v>
      </c>
      <c r="O21" s="18" t="s">
        <v>26</v>
      </c>
      <c r="P21" s="17" t="s">
        <v>1182</v>
      </c>
      <c r="Q21" s="17">
        <f t="shared" si="10"/>
        <v>24.49</v>
      </c>
      <c r="R21" s="9"/>
    </row>
    <row r="22" spans="1:18" s="1" customFormat="1">
      <c r="A22" s="6"/>
      <c r="B22" s="10">
        <f t="shared" si="0"/>
        <v>20</v>
      </c>
      <c r="C22" s="11" t="s">
        <v>17</v>
      </c>
      <c r="D22" s="12" t="s">
        <v>148</v>
      </c>
      <c r="E22" s="12" t="s">
        <v>149</v>
      </c>
      <c r="F22" s="12" t="s">
        <v>38</v>
      </c>
      <c r="G22" s="12" t="s">
        <v>150</v>
      </c>
      <c r="H22" s="12" t="s">
        <v>31</v>
      </c>
      <c r="I22" s="12" t="s">
        <v>23</v>
      </c>
      <c r="J22" s="12" t="s">
        <v>151</v>
      </c>
      <c r="K22" s="12" t="s">
        <v>25</v>
      </c>
      <c r="L22" s="12">
        <v>1</v>
      </c>
      <c r="M22" s="9">
        <f t="shared" si="1"/>
        <v>100</v>
      </c>
      <c r="N22" s="12" t="s">
        <v>42</v>
      </c>
      <c r="O22" s="18" t="s">
        <v>26</v>
      </c>
      <c r="P22" s="19" t="s">
        <v>1183</v>
      </c>
      <c r="Q22" s="19">
        <f t="shared" ref="Q22:Q23" si="11">P22*N22</f>
        <v>11.64</v>
      </c>
      <c r="R22" s="12"/>
    </row>
    <row r="23" spans="1:18" s="1" customFormat="1">
      <c r="A23" s="6"/>
      <c r="B23" s="7">
        <f>ROW(B23)-ROW($B$2)</f>
        <v>21</v>
      </c>
      <c r="C23" s="11" t="s">
        <v>17</v>
      </c>
      <c r="D23" s="9" t="s">
        <v>153</v>
      </c>
      <c r="E23" s="9" t="s">
        <v>154</v>
      </c>
      <c r="F23" s="9" t="s">
        <v>46</v>
      </c>
      <c r="G23" s="9" t="s">
        <v>155</v>
      </c>
      <c r="H23" s="9" t="s">
        <v>156</v>
      </c>
      <c r="I23" s="12" t="s">
        <v>23</v>
      </c>
      <c r="J23" s="9" t="s">
        <v>157</v>
      </c>
      <c r="K23" s="9" t="s">
        <v>33</v>
      </c>
      <c r="L23" s="9">
        <v>1</v>
      </c>
      <c r="M23" s="9">
        <f t="shared" si="1"/>
        <v>100</v>
      </c>
      <c r="N23" s="9" t="s">
        <v>42</v>
      </c>
      <c r="O23" s="18" t="s">
        <v>26</v>
      </c>
      <c r="P23" s="17" t="s">
        <v>158</v>
      </c>
      <c r="Q23" s="17">
        <f t="shared" si="11"/>
        <v>0.46</v>
      </c>
      <c r="R23" s="9"/>
    </row>
    <row r="24" spans="1:18" s="1" customFormat="1">
      <c r="A24" s="6"/>
      <c r="B24" s="10">
        <f t="shared" si="0"/>
        <v>22</v>
      </c>
      <c r="C24" s="11" t="s">
        <v>17</v>
      </c>
      <c r="D24" s="12" t="s">
        <v>159</v>
      </c>
      <c r="E24" s="12" t="s">
        <v>160</v>
      </c>
      <c r="F24" s="12" t="s">
        <v>38</v>
      </c>
      <c r="G24" s="12" t="s">
        <v>161</v>
      </c>
      <c r="H24" s="12" t="s">
        <v>71</v>
      </c>
      <c r="I24" s="12" t="s">
        <v>23</v>
      </c>
      <c r="J24" s="12" t="s">
        <v>162</v>
      </c>
      <c r="K24" s="12" t="s">
        <v>25</v>
      </c>
      <c r="L24" s="12">
        <v>1</v>
      </c>
      <c r="M24" s="9">
        <f t="shared" si="1"/>
        <v>100</v>
      </c>
      <c r="N24" s="12" t="s">
        <v>42</v>
      </c>
      <c r="O24" s="18" t="s">
        <v>26</v>
      </c>
      <c r="P24" s="19" t="s">
        <v>1184</v>
      </c>
      <c r="Q24" s="19">
        <f t="shared" ref="Q24:Q25" si="12">P24*N24</f>
        <v>80.27</v>
      </c>
      <c r="R24" s="12"/>
    </row>
    <row r="25" spans="1:18" s="1" customFormat="1">
      <c r="A25" s="6"/>
      <c r="B25" s="7">
        <f>ROW(B25)-ROW($B$2)</f>
        <v>23</v>
      </c>
      <c r="C25" s="11" t="s">
        <v>17</v>
      </c>
      <c r="D25" s="9" t="s">
        <v>164</v>
      </c>
      <c r="E25" s="9" t="s">
        <v>165</v>
      </c>
      <c r="F25" s="9" t="s">
        <v>46</v>
      </c>
      <c r="G25" s="9" t="s">
        <v>166</v>
      </c>
      <c r="H25" s="9" t="s">
        <v>129</v>
      </c>
      <c r="I25" s="12" t="s">
        <v>23</v>
      </c>
      <c r="J25" s="9" t="s">
        <v>167</v>
      </c>
      <c r="K25" s="9" t="s">
        <v>33</v>
      </c>
      <c r="L25" s="9">
        <v>2</v>
      </c>
      <c r="M25" s="9">
        <f t="shared" si="1"/>
        <v>200</v>
      </c>
      <c r="N25" s="9" t="s">
        <v>1169</v>
      </c>
      <c r="O25" s="18" t="s">
        <v>26</v>
      </c>
      <c r="P25" s="17" t="s">
        <v>168</v>
      </c>
      <c r="Q25" s="17">
        <f t="shared" si="12"/>
        <v>1.92</v>
      </c>
      <c r="R25" s="9"/>
    </row>
    <row r="26" spans="1:18" s="1" customFormat="1">
      <c r="A26" s="6"/>
      <c r="B26" s="10">
        <f t="shared" si="0"/>
        <v>24</v>
      </c>
      <c r="C26" s="11" t="s">
        <v>17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173</v>
      </c>
      <c r="I26" s="12" t="s">
        <v>23</v>
      </c>
      <c r="J26" s="12" t="s">
        <v>174</v>
      </c>
      <c r="K26" s="12" t="s">
        <v>175</v>
      </c>
      <c r="L26" s="12">
        <v>1</v>
      </c>
      <c r="M26" s="9">
        <f t="shared" si="1"/>
        <v>100</v>
      </c>
      <c r="N26" s="12" t="s">
        <v>42</v>
      </c>
      <c r="O26" s="18" t="s">
        <v>26</v>
      </c>
      <c r="P26" s="19" t="s">
        <v>1185</v>
      </c>
      <c r="Q26" s="19">
        <f t="shared" ref="Q26:Q27" si="13">P26*N26</f>
        <v>111.38</v>
      </c>
      <c r="R26" s="12"/>
    </row>
    <row r="27" spans="1:18" s="1" customFormat="1">
      <c r="A27" s="6"/>
      <c r="B27" s="7">
        <f>ROW(B27)-ROW($B$2)</f>
        <v>25</v>
      </c>
      <c r="C27" s="11" t="s">
        <v>17</v>
      </c>
      <c r="D27" s="9" t="s">
        <v>177</v>
      </c>
      <c r="E27" s="9" t="s">
        <v>178</v>
      </c>
      <c r="F27" s="9" t="s">
        <v>179</v>
      </c>
      <c r="G27" s="9" t="s">
        <v>180</v>
      </c>
      <c r="H27" s="9" t="s">
        <v>173</v>
      </c>
      <c r="I27" s="12" t="s">
        <v>23</v>
      </c>
      <c r="J27" s="9" t="s">
        <v>181</v>
      </c>
      <c r="K27" s="9" t="s">
        <v>66</v>
      </c>
      <c r="L27" s="9">
        <v>1</v>
      </c>
      <c r="M27" s="9">
        <f t="shared" si="1"/>
        <v>100</v>
      </c>
      <c r="N27" s="9" t="s">
        <v>42</v>
      </c>
      <c r="O27" s="18" t="s">
        <v>26</v>
      </c>
      <c r="P27" s="17" t="s">
        <v>1186</v>
      </c>
      <c r="Q27" s="17">
        <f t="shared" si="13"/>
        <v>15.25</v>
      </c>
      <c r="R27" s="9"/>
    </row>
    <row r="28" spans="1:18" s="1" customFormat="1">
      <c r="A28" s="6"/>
      <c r="B28" s="10">
        <f t="shared" si="0"/>
        <v>26</v>
      </c>
      <c r="C28" s="11" t="s">
        <v>17</v>
      </c>
      <c r="D28" s="12" t="s">
        <v>183</v>
      </c>
      <c r="E28" s="12" t="s">
        <v>184</v>
      </c>
      <c r="F28" s="12" t="s">
        <v>46</v>
      </c>
      <c r="G28" s="12" t="s">
        <v>185</v>
      </c>
      <c r="H28" s="12" t="s">
        <v>31</v>
      </c>
      <c r="I28" s="12" t="s">
        <v>23</v>
      </c>
      <c r="J28" s="12" t="s">
        <v>186</v>
      </c>
      <c r="K28" s="12" t="s">
        <v>25</v>
      </c>
      <c r="L28" s="12">
        <v>2</v>
      </c>
      <c r="M28" s="9">
        <f t="shared" si="1"/>
        <v>200</v>
      </c>
      <c r="N28" s="12" t="s">
        <v>1169</v>
      </c>
      <c r="O28" s="18" t="s">
        <v>26</v>
      </c>
      <c r="P28" s="19" t="s">
        <v>721</v>
      </c>
      <c r="Q28" s="19">
        <f t="shared" ref="Q28:Q29" si="14">P28*N28</f>
        <v>4.0599999999999996</v>
      </c>
      <c r="R28" s="12"/>
    </row>
    <row r="29" spans="1:18" s="1" customFormat="1">
      <c r="A29" s="6"/>
      <c r="B29" s="7">
        <f>ROW(B29)-ROW($B$2)</f>
        <v>27</v>
      </c>
      <c r="C29" s="11" t="s">
        <v>17</v>
      </c>
      <c r="D29" s="9" t="s">
        <v>188</v>
      </c>
      <c r="E29" s="9" t="s">
        <v>189</v>
      </c>
      <c r="F29" s="9" t="s">
        <v>190</v>
      </c>
      <c r="G29" s="9" t="s">
        <v>191</v>
      </c>
      <c r="H29" s="9" t="s">
        <v>129</v>
      </c>
      <c r="I29" s="12" t="s">
        <v>23</v>
      </c>
      <c r="J29" s="9" t="s">
        <v>192</v>
      </c>
      <c r="K29" s="9" t="s">
        <v>33</v>
      </c>
      <c r="L29" s="9">
        <v>1</v>
      </c>
      <c r="M29" s="9">
        <f t="shared" si="1"/>
        <v>100</v>
      </c>
      <c r="N29" s="9" t="s">
        <v>42</v>
      </c>
      <c r="O29" s="18" t="s">
        <v>26</v>
      </c>
      <c r="P29" s="17" t="s">
        <v>193</v>
      </c>
      <c r="Q29" s="17">
        <f t="shared" si="14"/>
        <v>0.89</v>
      </c>
      <c r="R29" s="9"/>
    </row>
    <row r="30" spans="1:18" s="1" customFormat="1">
      <c r="A30" s="6"/>
      <c r="B30" s="10">
        <f t="shared" si="0"/>
        <v>28</v>
      </c>
      <c r="C30" s="11" t="s">
        <v>194</v>
      </c>
      <c r="D30" s="12" t="s">
        <v>195</v>
      </c>
      <c r="E30" s="12" t="s">
        <v>196</v>
      </c>
      <c r="F30" s="9" t="s">
        <v>20</v>
      </c>
      <c r="G30" s="12" t="s">
        <v>197</v>
      </c>
      <c r="H30" s="12" t="s">
        <v>173</v>
      </c>
      <c r="I30" s="12" t="s">
        <v>23</v>
      </c>
      <c r="J30" s="12" t="s">
        <v>23</v>
      </c>
      <c r="K30" s="12" t="s">
        <v>198</v>
      </c>
      <c r="L30" s="12">
        <v>1</v>
      </c>
      <c r="M30" s="9">
        <f t="shared" si="1"/>
        <v>100</v>
      </c>
      <c r="N30" s="12">
        <v>100</v>
      </c>
      <c r="O30" s="20" t="s">
        <v>67</v>
      </c>
      <c r="P30" s="19">
        <v>2.54</v>
      </c>
      <c r="Q30" s="19">
        <f t="shared" ref="Q30:Q31" si="15">P30*N30</f>
        <v>254</v>
      </c>
      <c r="R30" s="12"/>
    </row>
    <row r="31" spans="1:18" s="1" customFormat="1">
      <c r="A31" s="6"/>
      <c r="B31" s="7">
        <f>ROW(B31)-ROW($B$2)</f>
        <v>29</v>
      </c>
      <c r="C31" s="11" t="s">
        <v>17</v>
      </c>
      <c r="D31" s="9" t="s">
        <v>199</v>
      </c>
      <c r="E31" s="9" t="s">
        <v>200</v>
      </c>
      <c r="F31" s="9" t="s">
        <v>29</v>
      </c>
      <c r="G31" s="9" t="s">
        <v>201</v>
      </c>
      <c r="H31" s="9" t="s">
        <v>71</v>
      </c>
      <c r="I31" s="12" t="s">
        <v>23</v>
      </c>
      <c r="J31" s="9" t="s">
        <v>202</v>
      </c>
      <c r="K31" s="9" t="s">
        <v>203</v>
      </c>
      <c r="L31" s="9">
        <v>2</v>
      </c>
      <c r="M31" s="9">
        <f t="shared" si="1"/>
        <v>200</v>
      </c>
      <c r="N31" s="9" t="s">
        <v>1169</v>
      </c>
      <c r="O31" s="18" t="s">
        <v>26</v>
      </c>
      <c r="P31" s="17" t="s">
        <v>1187</v>
      </c>
      <c r="Q31" s="17">
        <f t="shared" si="15"/>
        <v>316.24</v>
      </c>
      <c r="R31" s="9"/>
    </row>
    <row r="32" spans="1:18" s="1" customFormat="1">
      <c r="A32" s="6"/>
      <c r="B32" s="10">
        <f t="shared" si="0"/>
        <v>30</v>
      </c>
      <c r="C32" s="11" t="s">
        <v>17</v>
      </c>
      <c r="D32" s="12" t="s">
        <v>205</v>
      </c>
      <c r="E32" s="12" t="s">
        <v>206</v>
      </c>
      <c r="F32" s="12" t="s">
        <v>38</v>
      </c>
      <c r="G32" s="12" t="s">
        <v>207</v>
      </c>
      <c r="H32" s="12" t="s">
        <v>31</v>
      </c>
      <c r="I32" s="12" t="s">
        <v>23</v>
      </c>
      <c r="J32" s="12" t="s">
        <v>208</v>
      </c>
      <c r="K32" s="12" t="s">
        <v>209</v>
      </c>
      <c r="L32" s="12">
        <v>1</v>
      </c>
      <c r="M32" s="9">
        <f t="shared" si="1"/>
        <v>100</v>
      </c>
      <c r="N32" s="12" t="s">
        <v>42</v>
      </c>
      <c r="O32" s="18" t="s">
        <v>26</v>
      </c>
      <c r="P32" s="19" t="s">
        <v>74</v>
      </c>
      <c r="Q32" s="19">
        <f t="shared" ref="Q32:Q33" si="16">P32*N32</f>
        <v>0.92</v>
      </c>
      <c r="R32" s="12"/>
    </row>
    <row r="33" spans="1:18" s="1" customFormat="1">
      <c r="A33" s="6"/>
      <c r="B33" s="7">
        <f>ROW(B33)-ROW($B$2)</f>
        <v>31</v>
      </c>
      <c r="C33" s="8" t="s">
        <v>17</v>
      </c>
      <c r="D33" s="9" t="s">
        <v>210</v>
      </c>
      <c r="E33" s="9" t="s">
        <v>211</v>
      </c>
      <c r="F33" s="9" t="s">
        <v>38</v>
      </c>
      <c r="G33" s="9" t="s">
        <v>212</v>
      </c>
      <c r="H33" s="9" t="s">
        <v>31</v>
      </c>
      <c r="I33" s="12" t="s">
        <v>23</v>
      </c>
      <c r="J33" s="9" t="s">
        <v>213</v>
      </c>
      <c r="K33" s="9" t="s">
        <v>214</v>
      </c>
      <c r="L33" s="9">
        <v>1</v>
      </c>
      <c r="M33" s="9">
        <f t="shared" si="1"/>
        <v>100</v>
      </c>
      <c r="N33" s="9" t="s">
        <v>42</v>
      </c>
      <c r="O33" s="18" t="s">
        <v>26</v>
      </c>
      <c r="P33" s="17" t="s">
        <v>94</v>
      </c>
      <c r="Q33" s="17">
        <f t="shared" si="16"/>
        <v>0.26</v>
      </c>
      <c r="R33" s="9"/>
    </row>
    <row r="34" spans="1:18" s="1" customFormat="1">
      <c r="A34" s="6"/>
      <c r="B34" s="10">
        <f t="shared" si="0"/>
        <v>32</v>
      </c>
      <c r="C34" s="11" t="s">
        <v>17</v>
      </c>
      <c r="D34" s="12" t="s">
        <v>215</v>
      </c>
      <c r="E34" s="12" t="s">
        <v>216</v>
      </c>
      <c r="F34" s="12" t="s">
        <v>38</v>
      </c>
      <c r="G34" s="12" t="s">
        <v>217</v>
      </c>
      <c r="H34" s="12" t="s">
        <v>31</v>
      </c>
      <c r="I34" s="12" t="s">
        <v>23</v>
      </c>
      <c r="J34" s="12" t="s">
        <v>218</v>
      </c>
      <c r="K34" s="12" t="s">
        <v>139</v>
      </c>
      <c r="L34" s="12">
        <v>2</v>
      </c>
      <c r="M34" s="9">
        <f t="shared" si="1"/>
        <v>200</v>
      </c>
      <c r="N34" s="12" t="s">
        <v>1169</v>
      </c>
      <c r="O34" s="18" t="s">
        <v>26</v>
      </c>
      <c r="P34" s="19" t="s">
        <v>1188</v>
      </c>
      <c r="Q34" s="19">
        <f t="shared" ref="Q34:Q35" si="17">P34*N34</f>
        <v>6.3</v>
      </c>
      <c r="R34" s="12"/>
    </row>
    <row r="35" spans="1:18" s="1" customFormat="1">
      <c r="A35" s="6"/>
      <c r="B35" s="7">
        <f>ROW(B35)-ROW($B$2)</f>
        <v>33</v>
      </c>
      <c r="C35" s="8" t="s">
        <v>17</v>
      </c>
      <c r="D35" s="9" t="s">
        <v>220</v>
      </c>
      <c r="E35" s="9" t="s">
        <v>221</v>
      </c>
      <c r="F35" s="9" t="s">
        <v>46</v>
      </c>
      <c r="G35" s="9" t="s">
        <v>222</v>
      </c>
      <c r="H35" s="9" t="s">
        <v>129</v>
      </c>
      <c r="I35" s="12" t="s">
        <v>23</v>
      </c>
      <c r="J35" s="9" t="s">
        <v>223</v>
      </c>
      <c r="K35" s="9" t="s">
        <v>224</v>
      </c>
      <c r="L35" s="9">
        <v>2</v>
      </c>
      <c r="M35" s="9">
        <f t="shared" si="1"/>
        <v>200</v>
      </c>
      <c r="N35" s="9" t="s">
        <v>1169</v>
      </c>
      <c r="O35" s="18" t="s">
        <v>26</v>
      </c>
      <c r="P35" s="17" t="s">
        <v>225</v>
      </c>
      <c r="Q35" s="17">
        <f t="shared" si="17"/>
        <v>3.58</v>
      </c>
      <c r="R35" s="9"/>
    </row>
    <row r="36" spans="1:18" s="1" customFormat="1">
      <c r="A36" s="6"/>
      <c r="B36" s="10">
        <f t="shared" si="0"/>
        <v>34</v>
      </c>
      <c r="C36" s="11" t="s">
        <v>17</v>
      </c>
      <c r="D36" s="12" t="s">
        <v>226</v>
      </c>
      <c r="E36" s="12" t="s">
        <v>227</v>
      </c>
      <c r="F36" s="12" t="s">
        <v>38</v>
      </c>
      <c r="G36" s="12" t="s">
        <v>228</v>
      </c>
      <c r="H36" s="12" t="s">
        <v>31</v>
      </c>
      <c r="I36" s="12" t="s">
        <v>23</v>
      </c>
      <c r="J36" s="12" t="s">
        <v>229</v>
      </c>
      <c r="K36" s="12" t="s">
        <v>119</v>
      </c>
      <c r="L36" s="12">
        <v>1</v>
      </c>
      <c r="M36" s="9">
        <f t="shared" si="1"/>
        <v>100</v>
      </c>
      <c r="N36" s="12" t="s">
        <v>42</v>
      </c>
      <c r="O36" s="18" t="s">
        <v>26</v>
      </c>
      <c r="P36" s="19" t="s">
        <v>230</v>
      </c>
      <c r="Q36" s="19">
        <f t="shared" ref="Q36:Q37" si="18">P36*N36</f>
        <v>0.34</v>
      </c>
      <c r="R36" s="12"/>
    </row>
    <row r="37" spans="1:18" s="1" customFormat="1">
      <c r="A37" s="6"/>
      <c r="B37" s="7">
        <f>ROW(B37)-ROW($B$2)</f>
        <v>35</v>
      </c>
      <c r="C37" s="11" t="s">
        <v>17</v>
      </c>
      <c r="D37" s="9" t="s">
        <v>231</v>
      </c>
      <c r="E37" s="9" t="s">
        <v>232</v>
      </c>
      <c r="F37" s="9" t="s">
        <v>46</v>
      </c>
      <c r="G37" s="9" t="s">
        <v>233</v>
      </c>
      <c r="H37" s="9" t="s">
        <v>31</v>
      </c>
      <c r="I37" s="12" t="s">
        <v>23</v>
      </c>
      <c r="J37" s="9" t="s">
        <v>234</v>
      </c>
      <c r="K37" s="9" t="s">
        <v>33</v>
      </c>
      <c r="L37" s="9">
        <v>3</v>
      </c>
      <c r="M37" s="9">
        <f t="shared" si="1"/>
        <v>300</v>
      </c>
      <c r="N37" s="9" t="s">
        <v>716</v>
      </c>
      <c r="O37" s="18" t="s">
        <v>26</v>
      </c>
      <c r="P37" s="17" t="s">
        <v>235</v>
      </c>
      <c r="Q37" s="17">
        <f t="shared" si="18"/>
        <v>0.45</v>
      </c>
      <c r="R37" s="9"/>
    </row>
    <row r="38" spans="1:18" s="1" customFormat="1">
      <c r="A38" s="6"/>
      <c r="B38" s="10">
        <f t="shared" si="0"/>
        <v>36</v>
      </c>
      <c r="C38" s="11" t="s">
        <v>17</v>
      </c>
      <c r="D38" s="12" t="s">
        <v>236</v>
      </c>
      <c r="E38" s="12" t="s">
        <v>237</v>
      </c>
      <c r="F38" s="12" t="s">
        <v>135</v>
      </c>
      <c r="G38" s="12" t="s">
        <v>238</v>
      </c>
      <c r="H38" s="12" t="s">
        <v>239</v>
      </c>
      <c r="I38" s="12" t="s">
        <v>23</v>
      </c>
      <c r="J38" s="12" t="s">
        <v>240</v>
      </c>
      <c r="K38" s="12" t="s">
        <v>25</v>
      </c>
      <c r="L38" s="12">
        <v>1</v>
      </c>
      <c r="M38" s="9">
        <f t="shared" si="1"/>
        <v>100</v>
      </c>
      <c r="N38" s="12" t="s">
        <v>42</v>
      </c>
      <c r="O38" s="18" t="s">
        <v>26</v>
      </c>
      <c r="P38" s="19" t="s">
        <v>1189</v>
      </c>
      <c r="Q38" s="19">
        <f t="shared" ref="Q38:Q39" si="19">P38*N38</f>
        <v>4.5599999999999996</v>
      </c>
      <c r="R38" s="12"/>
    </row>
    <row r="39" spans="1:18" s="1" customFormat="1">
      <c r="A39" s="6"/>
      <c r="B39" s="7">
        <f>ROW(B39)-ROW($B$2)</f>
        <v>37</v>
      </c>
      <c r="C39" s="11" t="s">
        <v>17</v>
      </c>
      <c r="D39" s="9" t="s">
        <v>242</v>
      </c>
      <c r="E39" s="9" t="s">
        <v>243</v>
      </c>
      <c r="F39" s="9" t="s">
        <v>46</v>
      </c>
      <c r="G39" s="9" t="s">
        <v>244</v>
      </c>
      <c r="H39" s="9" t="s">
        <v>31</v>
      </c>
      <c r="I39" s="12" t="s">
        <v>23</v>
      </c>
      <c r="J39" s="9" t="s">
        <v>245</v>
      </c>
      <c r="K39" s="9" t="s">
        <v>41</v>
      </c>
      <c r="L39" s="9">
        <v>1</v>
      </c>
      <c r="M39" s="9">
        <f t="shared" si="1"/>
        <v>100</v>
      </c>
      <c r="N39" s="9" t="s">
        <v>42</v>
      </c>
      <c r="O39" s="18" t="s">
        <v>26</v>
      </c>
      <c r="P39" s="17" t="s">
        <v>246</v>
      </c>
      <c r="Q39" s="17">
        <f t="shared" si="19"/>
        <v>0.74</v>
      </c>
      <c r="R39" s="9"/>
    </row>
    <row r="40" spans="1:18" s="1" customFormat="1">
      <c r="A40" s="6"/>
      <c r="B40" s="10">
        <f t="shared" si="0"/>
        <v>38</v>
      </c>
      <c r="C40" s="11" t="s">
        <v>17</v>
      </c>
      <c r="D40" s="12" t="s">
        <v>247</v>
      </c>
      <c r="E40" s="12" t="s">
        <v>248</v>
      </c>
      <c r="F40" s="12" t="s">
        <v>135</v>
      </c>
      <c r="G40" s="12" t="s">
        <v>249</v>
      </c>
      <c r="H40" s="12" t="s">
        <v>31</v>
      </c>
      <c r="I40" s="12" t="s">
        <v>23</v>
      </c>
      <c r="J40" s="12" t="s">
        <v>250</v>
      </c>
      <c r="K40" s="12" t="s">
        <v>25</v>
      </c>
      <c r="L40" s="12">
        <v>1</v>
      </c>
      <c r="M40" s="9">
        <f t="shared" si="1"/>
        <v>100</v>
      </c>
      <c r="N40" s="12" t="s">
        <v>42</v>
      </c>
      <c r="O40" s="18" t="s">
        <v>26</v>
      </c>
      <c r="P40" s="19" t="s">
        <v>251</v>
      </c>
      <c r="Q40" s="19">
        <f t="shared" ref="Q40:Q41" si="20">P40*N40</f>
        <v>2.96</v>
      </c>
      <c r="R40" s="12"/>
    </row>
    <row r="41" spans="1:18" s="1" customFormat="1" ht="24">
      <c r="A41" s="6"/>
      <c r="B41" s="7">
        <f>ROW(B41)-ROW($B$2)</f>
        <v>39</v>
      </c>
      <c r="C41" s="8" t="s">
        <v>252</v>
      </c>
      <c r="D41" s="9" t="s">
        <v>253</v>
      </c>
      <c r="E41" s="9" t="s">
        <v>254</v>
      </c>
      <c r="F41" s="9" t="s">
        <v>255</v>
      </c>
      <c r="G41" s="9" t="s">
        <v>256</v>
      </c>
      <c r="H41" s="9" t="s">
        <v>257</v>
      </c>
      <c r="I41" s="12" t="s">
        <v>23</v>
      </c>
      <c r="J41" s="9" t="s">
        <v>258</v>
      </c>
      <c r="K41" s="9" t="s">
        <v>23</v>
      </c>
      <c r="L41" s="9">
        <v>1</v>
      </c>
      <c r="M41" s="9">
        <f t="shared" si="1"/>
        <v>100</v>
      </c>
      <c r="N41" s="9" t="s">
        <v>42</v>
      </c>
      <c r="O41" s="18" t="s">
        <v>26</v>
      </c>
      <c r="P41" s="17" t="s">
        <v>259</v>
      </c>
      <c r="Q41" s="17">
        <f t="shared" si="20"/>
        <v>2.1</v>
      </c>
      <c r="R41" s="9"/>
    </row>
    <row r="42" spans="1:18" s="1" customFormat="1">
      <c r="A42" s="6"/>
      <c r="B42" s="10">
        <f t="shared" si="0"/>
        <v>40</v>
      </c>
      <c r="C42" s="11" t="s">
        <v>260</v>
      </c>
      <c r="D42" s="12" t="s">
        <v>261</v>
      </c>
      <c r="E42" s="12" t="s">
        <v>262</v>
      </c>
      <c r="F42" s="12" t="s">
        <v>255</v>
      </c>
      <c r="G42" s="12" t="s">
        <v>263</v>
      </c>
      <c r="H42" s="12" t="s">
        <v>264</v>
      </c>
      <c r="I42" s="12" t="s">
        <v>23</v>
      </c>
      <c r="J42" s="12" t="s">
        <v>265</v>
      </c>
      <c r="K42" s="9" t="s">
        <v>23</v>
      </c>
      <c r="L42" s="12">
        <v>1</v>
      </c>
      <c r="M42" s="9">
        <f t="shared" si="1"/>
        <v>100</v>
      </c>
      <c r="N42" s="12" t="s">
        <v>42</v>
      </c>
      <c r="O42" s="18" t="s">
        <v>26</v>
      </c>
      <c r="P42" s="19" t="s">
        <v>1190</v>
      </c>
      <c r="Q42" s="19">
        <f t="shared" ref="Q42:Q43" si="21">P42*N42</f>
        <v>13.55</v>
      </c>
      <c r="R42" s="12"/>
    </row>
    <row r="43" spans="1:18" s="1" customFormat="1" ht="24">
      <c r="A43" s="6"/>
      <c r="B43" s="7">
        <f>ROW(B43)-ROW($B$2)</f>
        <v>41</v>
      </c>
      <c r="C43" s="8" t="s">
        <v>252</v>
      </c>
      <c r="D43" s="9" t="s">
        <v>267</v>
      </c>
      <c r="E43" s="9" t="s">
        <v>268</v>
      </c>
      <c r="F43" s="9" t="s">
        <v>269</v>
      </c>
      <c r="G43" s="9" t="s">
        <v>270</v>
      </c>
      <c r="H43" s="9" t="s">
        <v>271</v>
      </c>
      <c r="I43" s="12" t="s">
        <v>23</v>
      </c>
      <c r="J43" s="9" t="s">
        <v>272</v>
      </c>
      <c r="K43" s="9" t="s">
        <v>23</v>
      </c>
      <c r="L43" s="9">
        <v>2</v>
      </c>
      <c r="M43" s="9">
        <f t="shared" si="1"/>
        <v>200</v>
      </c>
      <c r="N43" s="9" t="s">
        <v>1169</v>
      </c>
      <c r="O43" s="18" t="s">
        <v>26</v>
      </c>
      <c r="P43" s="17" t="s">
        <v>1191</v>
      </c>
      <c r="Q43" s="17">
        <f t="shared" si="21"/>
        <v>6.24</v>
      </c>
      <c r="R43" s="9"/>
    </row>
    <row r="44" spans="1:18" s="1" customFormat="1" ht="24">
      <c r="A44" s="6"/>
      <c r="B44" s="10">
        <f t="shared" si="0"/>
        <v>42</v>
      </c>
      <c r="C44" s="11" t="s">
        <v>252</v>
      </c>
      <c r="D44" s="12" t="s">
        <v>274</v>
      </c>
      <c r="E44" s="12" t="s">
        <v>275</v>
      </c>
      <c r="F44" s="12" t="s">
        <v>276</v>
      </c>
      <c r="G44" s="12" t="s">
        <v>277</v>
      </c>
      <c r="H44" s="12" t="s">
        <v>278</v>
      </c>
      <c r="I44" s="12" t="s">
        <v>23</v>
      </c>
      <c r="J44" s="12" t="s">
        <v>279</v>
      </c>
      <c r="K44" s="9" t="s">
        <v>23</v>
      </c>
      <c r="L44" s="12">
        <v>1</v>
      </c>
      <c r="M44" s="9">
        <f t="shared" si="1"/>
        <v>100</v>
      </c>
      <c r="N44" s="12" t="s">
        <v>42</v>
      </c>
      <c r="O44" s="18" t="s">
        <v>26</v>
      </c>
      <c r="P44" s="19" t="s">
        <v>1192</v>
      </c>
      <c r="Q44" s="19">
        <f t="shared" ref="Q44:Q45" si="22">P44*N44</f>
        <v>6.73</v>
      </c>
      <c r="R44" s="12"/>
    </row>
    <row r="45" spans="1:18" s="1" customFormat="1" ht="36">
      <c r="A45" s="6"/>
      <c r="B45" s="7">
        <f>ROW(B45)-ROW($B$2)</f>
        <v>43</v>
      </c>
      <c r="C45" s="8" t="s">
        <v>252</v>
      </c>
      <c r="D45" s="9" t="s">
        <v>281</v>
      </c>
      <c r="E45" s="9" t="s">
        <v>282</v>
      </c>
      <c r="F45" s="9" t="s">
        <v>283</v>
      </c>
      <c r="G45" s="9" t="s">
        <v>284</v>
      </c>
      <c r="H45" s="9" t="s">
        <v>285</v>
      </c>
      <c r="I45" s="12" t="s">
        <v>23</v>
      </c>
      <c r="J45" s="9" t="s">
        <v>286</v>
      </c>
      <c r="K45" s="9" t="s">
        <v>23</v>
      </c>
      <c r="L45" s="9">
        <v>2</v>
      </c>
      <c r="M45" s="9">
        <f t="shared" si="1"/>
        <v>200</v>
      </c>
      <c r="N45" s="9" t="s">
        <v>1169</v>
      </c>
      <c r="O45" s="18" t="s">
        <v>26</v>
      </c>
      <c r="P45" s="17" t="s">
        <v>1193</v>
      </c>
      <c r="Q45" s="17">
        <f t="shared" si="22"/>
        <v>7.08</v>
      </c>
      <c r="R45" s="9"/>
    </row>
    <row r="46" spans="1:18" s="1" customFormat="1" ht="24">
      <c r="A46" s="6"/>
      <c r="B46" s="10">
        <f t="shared" si="0"/>
        <v>44</v>
      </c>
      <c r="C46" s="11" t="s">
        <v>252</v>
      </c>
      <c r="D46" s="12" t="s">
        <v>288</v>
      </c>
      <c r="E46" s="12" t="s">
        <v>289</v>
      </c>
      <c r="F46" s="12" t="s">
        <v>290</v>
      </c>
      <c r="G46" s="12" t="s">
        <v>291</v>
      </c>
      <c r="H46" s="12" t="s">
        <v>292</v>
      </c>
      <c r="I46" s="12" t="s">
        <v>23</v>
      </c>
      <c r="J46" s="12" t="s">
        <v>293</v>
      </c>
      <c r="K46" s="9" t="s">
        <v>23</v>
      </c>
      <c r="L46" s="12">
        <v>1</v>
      </c>
      <c r="M46" s="9">
        <f t="shared" si="1"/>
        <v>100</v>
      </c>
      <c r="N46" s="12" t="s">
        <v>42</v>
      </c>
      <c r="O46" s="18" t="s">
        <v>26</v>
      </c>
      <c r="P46" s="19" t="s">
        <v>1194</v>
      </c>
      <c r="Q46" s="19">
        <f t="shared" ref="Q46:Q47" si="23">P46*N46</f>
        <v>4.67</v>
      </c>
      <c r="R46" s="12"/>
    </row>
    <row r="47" spans="1:18" s="1" customFormat="1">
      <c r="A47" s="6"/>
      <c r="B47" s="7">
        <f>ROW(B47)-ROW($B$2)</f>
        <v>45</v>
      </c>
      <c r="C47" s="8" t="s">
        <v>252</v>
      </c>
      <c r="D47" s="9" t="s">
        <v>295</v>
      </c>
      <c r="E47" s="9" t="s">
        <v>296</v>
      </c>
      <c r="F47" s="9" t="s">
        <v>290</v>
      </c>
      <c r="G47" s="9" t="s">
        <v>297</v>
      </c>
      <c r="H47" s="9" t="s">
        <v>298</v>
      </c>
      <c r="I47" s="12" t="s">
        <v>23</v>
      </c>
      <c r="J47" s="9" t="s">
        <v>299</v>
      </c>
      <c r="K47" s="9" t="s">
        <v>23</v>
      </c>
      <c r="L47" s="9">
        <v>1</v>
      </c>
      <c r="M47" s="9">
        <f t="shared" si="1"/>
        <v>100</v>
      </c>
      <c r="N47" s="9" t="s">
        <v>42</v>
      </c>
      <c r="O47" s="18" t="s">
        <v>26</v>
      </c>
      <c r="P47" s="17" t="s">
        <v>114</v>
      </c>
      <c r="Q47" s="17">
        <f t="shared" si="23"/>
        <v>2.84</v>
      </c>
      <c r="R47" s="9"/>
    </row>
    <row r="48" spans="1:18" s="1" customFormat="1">
      <c r="A48" s="6"/>
      <c r="B48" s="10">
        <f t="shared" si="0"/>
        <v>46</v>
      </c>
      <c r="C48" s="11" t="s">
        <v>252</v>
      </c>
      <c r="D48" s="12" t="s">
        <v>301</v>
      </c>
      <c r="E48" s="12" t="s">
        <v>302</v>
      </c>
      <c r="F48" s="12" t="s">
        <v>303</v>
      </c>
      <c r="G48" s="12" t="s">
        <v>304</v>
      </c>
      <c r="H48" s="12" t="s">
        <v>305</v>
      </c>
      <c r="I48" s="12" t="s">
        <v>23</v>
      </c>
      <c r="J48" s="12" t="s">
        <v>306</v>
      </c>
      <c r="K48" s="9" t="s">
        <v>23</v>
      </c>
      <c r="L48" s="12">
        <v>2</v>
      </c>
      <c r="M48" s="9">
        <f t="shared" si="1"/>
        <v>200</v>
      </c>
      <c r="N48" s="12" t="s">
        <v>1169</v>
      </c>
      <c r="O48" s="18" t="s">
        <v>26</v>
      </c>
      <c r="P48" s="19" t="s">
        <v>307</v>
      </c>
      <c r="Q48" s="19">
        <f t="shared" ref="Q48:Q49" si="24">P48*N48</f>
        <v>3.22</v>
      </c>
      <c r="R48" s="12"/>
    </row>
    <row r="49" spans="1:18" s="1" customFormat="1" ht="24">
      <c r="A49" s="6"/>
      <c r="B49" s="7">
        <f>ROW(B49)-ROW($B$2)</f>
        <v>47</v>
      </c>
      <c r="C49" s="8" t="s">
        <v>252</v>
      </c>
      <c r="D49" s="9" t="s">
        <v>308</v>
      </c>
      <c r="E49" s="9" t="s">
        <v>309</v>
      </c>
      <c r="F49" s="9" t="s">
        <v>310</v>
      </c>
      <c r="G49" s="9" t="s">
        <v>311</v>
      </c>
      <c r="H49" s="9" t="s">
        <v>298</v>
      </c>
      <c r="I49" s="12" t="s">
        <v>23</v>
      </c>
      <c r="J49" s="9" t="s">
        <v>312</v>
      </c>
      <c r="K49" s="9" t="s">
        <v>23</v>
      </c>
      <c r="L49" s="9">
        <v>1</v>
      </c>
      <c r="M49" s="9">
        <f t="shared" si="1"/>
        <v>100</v>
      </c>
      <c r="N49" s="9" t="s">
        <v>42</v>
      </c>
      <c r="O49" s="18" t="s">
        <v>26</v>
      </c>
      <c r="P49" s="17" t="s">
        <v>1195</v>
      </c>
      <c r="Q49" s="17">
        <f t="shared" si="24"/>
        <v>12.79</v>
      </c>
      <c r="R49" s="9"/>
    </row>
    <row r="50" spans="1:18" s="1" customFormat="1" ht="36">
      <c r="A50" s="6"/>
      <c r="B50" s="10">
        <f t="shared" si="0"/>
        <v>48</v>
      </c>
      <c r="C50" s="11" t="s">
        <v>305</v>
      </c>
      <c r="D50" s="12" t="s">
        <v>314</v>
      </c>
      <c r="E50" s="12" t="s">
        <v>315</v>
      </c>
      <c r="F50" s="12" t="s">
        <v>316</v>
      </c>
      <c r="G50" s="12" t="s">
        <v>317</v>
      </c>
      <c r="H50" s="12" t="s">
        <v>285</v>
      </c>
      <c r="I50" s="12" t="s">
        <v>23</v>
      </c>
      <c r="J50" s="12" t="s">
        <v>318</v>
      </c>
      <c r="K50" s="9" t="s">
        <v>23</v>
      </c>
      <c r="L50" s="12">
        <v>2</v>
      </c>
      <c r="M50" s="9">
        <f t="shared" si="1"/>
        <v>200</v>
      </c>
      <c r="N50" s="12" t="s">
        <v>1169</v>
      </c>
      <c r="O50" s="18" t="s">
        <v>26</v>
      </c>
      <c r="P50" s="19" t="s">
        <v>1196</v>
      </c>
      <c r="Q50" s="19">
        <f t="shared" ref="Q50:Q51" si="25">P50*N50</f>
        <v>137.36000000000001</v>
      </c>
      <c r="R50" s="12"/>
    </row>
    <row r="51" spans="1:18" s="1" customFormat="1">
      <c r="A51" s="6"/>
      <c r="B51" s="7">
        <f>ROW(B51)-ROW($B$2)</f>
        <v>49</v>
      </c>
      <c r="C51" s="8" t="s">
        <v>252</v>
      </c>
      <c r="D51" s="9" t="s">
        <v>320</v>
      </c>
      <c r="E51" s="9" t="s">
        <v>321</v>
      </c>
      <c r="F51" s="9" t="s">
        <v>322</v>
      </c>
      <c r="G51" s="9" t="s">
        <v>323</v>
      </c>
      <c r="H51" s="9" t="s">
        <v>324</v>
      </c>
      <c r="I51" s="12" t="s">
        <v>23</v>
      </c>
      <c r="J51" s="9" t="s">
        <v>325</v>
      </c>
      <c r="K51" s="9" t="s">
        <v>23</v>
      </c>
      <c r="L51" s="9">
        <v>1</v>
      </c>
      <c r="M51" s="9">
        <f t="shared" si="1"/>
        <v>100</v>
      </c>
      <c r="N51" s="9" t="s">
        <v>42</v>
      </c>
      <c r="O51" s="18" t="s">
        <v>26</v>
      </c>
      <c r="P51" s="17" t="s">
        <v>1197</v>
      </c>
      <c r="Q51" s="17">
        <f t="shared" si="25"/>
        <v>6.65</v>
      </c>
      <c r="R51" s="9"/>
    </row>
    <row r="52" spans="1:18" s="1" customFormat="1" ht="72">
      <c r="A52" s="6"/>
      <c r="B52" s="10">
        <f t="shared" si="0"/>
        <v>50</v>
      </c>
      <c r="C52" s="11" t="s">
        <v>327</v>
      </c>
      <c r="D52" s="12" t="s">
        <v>328</v>
      </c>
      <c r="E52" s="12" t="s">
        <v>329</v>
      </c>
      <c r="F52" s="12" t="s">
        <v>330</v>
      </c>
      <c r="G52" s="12" t="s">
        <v>331</v>
      </c>
      <c r="H52" s="12" t="s">
        <v>332</v>
      </c>
      <c r="I52" s="12" t="s">
        <v>23</v>
      </c>
      <c r="J52" s="12" t="s">
        <v>333</v>
      </c>
      <c r="K52" s="9" t="s">
        <v>23</v>
      </c>
      <c r="L52" s="12">
        <v>42</v>
      </c>
      <c r="M52" s="9">
        <f t="shared" si="1"/>
        <v>4200</v>
      </c>
      <c r="N52" s="12" t="s">
        <v>1198</v>
      </c>
      <c r="O52" s="18" t="s">
        <v>26</v>
      </c>
      <c r="P52" s="19" t="s">
        <v>1199</v>
      </c>
      <c r="Q52" s="19">
        <f t="shared" ref="Q52:Q53" si="26">P52*N52</f>
        <v>24.78</v>
      </c>
      <c r="R52" s="12"/>
    </row>
    <row r="53" spans="1:18" s="1" customFormat="1" ht="24">
      <c r="A53" s="6"/>
      <c r="B53" s="7">
        <f>ROW(B53)-ROW($B$2)</f>
        <v>51</v>
      </c>
      <c r="C53" s="8" t="s">
        <v>252</v>
      </c>
      <c r="D53" s="9" t="s">
        <v>336</v>
      </c>
      <c r="E53" s="9" t="s">
        <v>337</v>
      </c>
      <c r="F53" s="9" t="s">
        <v>338</v>
      </c>
      <c r="G53" s="9" t="s">
        <v>339</v>
      </c>
      <c r="H53" s="9" t="s">
        <v>340</v>
      </c>
      <c r="I53" s="12" t="s">
        <v>23</v>
      </c>
      <c r="J53" s="9" t="s">
        <v>341</v>
      </c>
      <c r="K53" s="9" t="s">
        <v>23</v>
      </c>
      <c r="L53" s="9">
        <v>1</v>
      </c>
      <c r="M53" s="9">
        <f t="shared" si="1"/>
        <v>100</v>
      </c>
      <c r="N53" s="9" t="s">
        <v>42</v>
      </c>
      <c r="O53" s="18" t="s">
        <v>26</v>
      </c>
      <c r="P53" s="17" t="s">
        <v>1200</v>
      </c>
      <c r="Q53" s="17">
        <f t="shared" si="26"/>
        <v>0.86</v>
      </c>
      <c r="R53" s="9"/>
    </row>
    <row r="54" spans="1:18" s="1" customFormat="1">
      <c r="A54" s="6"/>
      <c r="B54" s="10">
        <f t="shared" si="0"/>
        <v>52</v>
      </c>
      <c r="C54" s="11" t="s">
        <v>252</v>
      </c>
      <c r="D54" s="12" t="s">
        <v>343</v>
      </c>
      <c r="E54" s="12" t="s">
        <v>344</v>
      </c>
      <c r="F54" s="12" t="s">
        <v>345</v>
      </c>
      <c r="G54" s="12" t="s">
        <v>346</v>
      </c>
      <c r="H54" s="12" t="s">
        <v>347</v>
      </c>
      <c r="I54" s="12" t="s">
        <v>23</v>
      </c>
      <c r="J54" s="12" t="s">
        <v>348</v>
      </c>
      <c r="K54" s="9" t="s">
        <v>23</v>
      </c>
      <c r="L54" s="12">
        <v>2</v>
      </c>
      <c r="M54" s="9">
        <f t="shared" si="1"/>
        <v>200</v>
      </c>
      <c r="N54" s="12" t="s">
        <v>1169</v>
      </c>
      <c r="O54" s="18" t="s">
        <v>26</v>
      </c>
      <c r="P54" s="19" t="s">
        <v>467</v>
      </c>
      <c r="Q54" s="19">
        <f t="shared" ref="Q54:Q55" si="27">P54*N54</f>
        <v>6.16</v>
      </c>
      <c r="R54" s="12"/>
    </row>
    <row r="55" spans="1:18" s="1" customFormat="1">
      <c r="A55" s="6"/>
      <c r="B55" s="7">
        <f>ROW(B55)-ROW($B$2)</f>
        <v>53</v>
      </c>
      <c r="C55" s="8" t="s">
        <v>350</v>
      </c>
      <c r="D55" s="9" t="s">
        <v>351</v>
      </c>
      <c r="E55" s="9" t="s">
        <v>352</v>
      </c>
      <c r="F55" s="9" t="s">
        <v>290</v>
      </c>
      <c r="G55" s="9" t="s">
        <v>353</v>
      </c>
      <c r="H55" s="9" t="s">
        <v>354</v>
      </c>
      <c r="I55" s="12" t="s">
        <v>23</v>
      </c>
      <c r="J55" s="9" t="s">
        <v>355</v>
      </c>
      <c r="K55" s="9" t="s">
        <v>23</v>
      </c>
      <c r="L55" s="9">
        <v>1</v>
      </c>
      <c r="M55" s="9">
        <f t="shared" si="1"/>
        <v>100</v>
      </c>
      <c r="N55" s="9" t="s">
        <v>42</v>
      </c>
      <c r="O55" s="18" t="s">
        <v>26</v>
      </c>
      <c r="P55" s="17" t="s">
        <v>1201</v>
      </c>
      <c r="Q55" s="17">
        <f t="shared" si="27"/>
        <v>7.41</v>
      </c>
      <c r="R55" s="9"/>
    </row>
    <row r="56" spans="1:18" s="1" customFormat="1">
      <c r="A56" s="6"/>
      <c r="B56" s="10">
        <f t="shared" si="0"/>
        <v>54</v>
      </c>
      <c r="C56" s="11" t="s">
        <v>252</v>
      </c>
      <c r="D56" s="12" t="s">
        <v>357</v>
      </c>
      <c r="E56" s="12" t="s">
        <v>358</v>
      </c>
      <c r="F56" s="12" t="s">
        <v>303</v>
      </c>
      <c r="G56" s="12" t="s">
        <v>359</v>
      </c>
      <c r="H56" s="12" t="s">
        <v>305</v>
      </c>
      <c r="I56" s="12" t="s">
        <v>23</v>
      </c>
      <c r="J56" s="12" t="s">
        <v>360</v>
      </c>
      <c r="K56" s="9" t="s">
        <v>23</v>
      </c>
      <c r="L56" s="12">
        <v>1</v>
      </c>
      <c r="M56" s="9">
        <f t="shared" si="1"/>
        <v>100</v>
      </c>
      <c r="N56" s="12" t="s">
        <v>42</v>
      </c>
      <c r="O56" s="18" t="s">
        <v>26</v>
      </c>
      <c r="P56" s="19" t="s">
        <v>361</v>
      </c>
      <c r="Q56" s="19">
        <f t="shared" ref="Q56:Q57" si="28">P56*N56</f>
        <v>2.7</v>
      </c>
      <c r="R56" s="12"/>
    </row>
    <row r="57" spans="1:18" s="1" customFormat="1" ht="36">
      <c r="A57" s="6"/>
      <c r="B57" s="7">
        <f>ROW(B57)-ROW($B$2)</f>
        <v>55</v>
      </c>
      <c r="C57" s="8" t="s">
        <v>362</v>
      </c>
      <c r="D57" s="9" t="s">
        <v>363</v>
      </c>
      <c r="E57" s="9" t="s">
        <v>364</v>
      </c>
      <c r="F57" s="9" t="s">
        <v>365</v>
      </c>
      <c r="G57" s="9" t="s">
        <v>366</v>
      </c>
      <c r="H57" s="9" t="s">
        <v>367</v>
      </c>
      <c r="I57" s="12" t="s">
        <v>23</v>
      </c>
      <c r="J57" s="9" t="s">
        <v>368</v>
      </c>
      <c r="K57" s="9" t="s">
        <v>23</v>
      </c>
      <c r="L57" s="9">
        <v>3</v>
      </c>
      <c r="M57" s="9">
        <f t="shared" si="1"/>
        <v>300</v>
      </c>
      <c r="N57" s="9" t="s">
        <v>716</v>
      </c>
      <c r="O57" s="18" t="s">
        <v>26</v>
      </c>
      <c r="P57" s="17" t="s">
        <v>1202</v>
      </c>
      <c r="Q57" s="17">
        <f t="shared" si="28"/>
        <v>5.43</v>
      </c>
      <c r="R57" s="9"/>
    </row>
    <row r="58" spans="1:18" s="1" customFormat="1">
      <c r="A58" s="6"/>
      <c r="B58" s="10">
        <f t="shared" si="0"/>
        <v>56</v>
      </c>
      <c r="C58" s="11" t="s">
        <v>305</v>
      </c>
      <c r="D58" s="12" t="s">
        <v>370</v>
      </c>
      <c r="E58" s="12" t="s">
        <v>371</v>
      </c>
      <c r="F58" s="12" t="s">
        <v>372</v>
      </c>
      <c r="G58" s="12" t="s">
        <v>373</v>
      </c>
      <c r="H58" s="12" t="s">
        <v>305</v>
      </c>
      <c r="I58" s="12" t="s">
        <v>23</v>
      </c>
      <c r="J58" s="12" t="s">
        <v>374</v>
      </c>
      <c r="K58" s="9" t="s">
        <v>23</v>
      </c>
      <c r="L58" s="12">
        <v>1</v>
      </c>
      <c r="M58" s="9">
        <f t="shared" si="1"/>
        <v>100</v>
      </c>
      <c r="N58" s="12" t="s">
        <v>42</v>
      </c>
      <c r="O58" s="18" t="s">
        <v>26</v>
      </c>
      <c r="P58" s="19" t="s">
        <v>375</v>
      </c>
      <c r="Q58" s="19">
        <f t="shared" ref="Q58:Q59" si="29">P58*N58</f>
        <v>3.47</v>
      </c>
      <c r="R58" s="12"/>
    </row>
    <row r="59" spans="1:18" s="1" customFormat="1">
      <c r="A59" s="6"/>
      <c r="B59" s="7">
        <f>ROW(B59)-ROW($B$2)</f>
        <v>57</v>
      </c>
      <c r="C59" s="8" t="s">
        <v>376</v>
      </c>
      <c r="D59" s="9" t="s">
        <v>377</v>
      </c>
      <c r="E59" s="9" t="s">
        <v>378</v>
      </c>
      <c r="F59" s="9" t="s">
        <v>20</v>
      </c>
      <c r="G59" s="9" t="s">
        <v>379</v>
      </c>
      <c r="H59" s="9" t="s">
        <v>380</v>
      </c>
      <c r="I59" s="12" t="s">
        <v>23</v>
      </c>
      <c r="J59" s="9" t="s">
        <v>381</v>
      </c>
      <c r="K59" s="9" t="s">
        <v>23</v>
      </c>
      <c r="L59" s="9">
        <v>1</v>
      </c>
      <c r="M59" s="9">
        <f t="shared" si="1"/>
        <v>100</v>
      </c>
      <c r="N59" s="9" t="s">
        <v>42</v>
      </c>
      <c r="O59" s="18" t="s">
        <v>26</v>
      </c>
      <c r="P59" s="17" t="s">
        <v>1203</v>
      </c>
      <c r="Q59" s="17">
        <f t="shared" si="29"/>
        <v>50.69</v>
      </c>
      <c r="R59" s="9"/>
    </row>
    <row r="60" spans="1:18" s="1" customFormat="1" ht="36">
      <c r="A60" s="6"/>
      <c r="B60" s="10">
        <f t="shared" si="0"/>
        <v>58</v>
      </c>
      <c r="C60" s="11" t="s">
        <v>383</v>
      </c>
      <c r="D60" s="12" t="s">
        <v>384</v>
      </c>
      <c r="E60" s="12" t="s">
        <v>385</v>
      </c>
      <c r="F60" s="9" t="s">
        <v>20</v>
      </c>
      <c r="G60" s="12" t="s">
        <v>386</v>
      </c>
      <c r="H60" s="12" t="s">
        <v>387</v>
      </c>
      <c r="I60" s="12" t="s">
        <v>23</v>
      </c>
      <c r="J60" s="12" t="s">
        <v>388</v>
      </c>
      <c r="K60" s="9" t="s">
        <v>23</v>
      </c>
      <c r="L60" s="12">
        <v>1</v>
      </c>
      <c r="M60" s="9">
        <f t="shared" si="1"/>
        <v>100</v>
      </c>
      <c r="N60" s="12" t="s">
        <v>42</v>
      </c>
      <c r="O60" s="18" t="s">
        <v>26</v>
      </c>
      <c r="P60" s="19" t="s">
        <v>1204</v>
      </c>
      <c r="Q60" s="19">
        <f t="shared" ref="Q60:Q61" si="30">P60*N60</f>
        <v>40.17</v>
      </c>
      <c r="R60" s="12"/>
    </row>
    <row r="61" spans="1:18" s="1" customFormat="1">
      <c r="A61" s="6"/>
      <c r="B61" s="7">
        <f>ROW(B61)-ROW($B$2)</f>
        <v>59</v>
      </c>
      <c r="C61" s="8" t="s">
        <v>390</v>
      </c>
      <c r="D61" s="9" t="s">
        <v>391</v>
      </c>
      <c r="E61" s="9" t="s">
        <v>392</v>
      </c>
      <c r="F61" s="9" t="s">
        <v>20</v>
      </c>
      <c r="G61" s="9" t="s">
        <v>393</v>
      </c>
      <c r="H61" s="9" t="s">
        <v>394</v>
      </c>
      <c r="I61" s="12" t="s">
        <v>23</v>
      </c>
      <c r="J61" s="9" t="s">
        <v>23</v>
      </c>
      <c r="K61" s="9" t="s">
        <v>23</v>
      </c>
      <c r="L61" s="9">
        <v>9</v>
      </c>
      <c r="M61" s="9">
        <f t="shared" si="1"/>
        <v>900</v>
      </c>
      <c r="N61" s="9">
        <v>900</v>
      </c>
      <c r="O61" s="21" t="s">
        <v>395</v>
      </c>
      <c r="P61" s="22">
        <v>0.27700000000000002</v>
      </c>
      <c r="Q61" s="17">
        <f t="shared" si="30"/>
        <v>249.3</v>
      </c>
      <c r="R61" s="9"/>
    </row>
    <row r="62" spans="1:18" s="1" customFormat="1">
      <c r="A62" s="6"/>
      <c r="B62" s="10">
        <f t="shared" si="0"/>
        <v>60</v>
      </c>
      <c r="C62" s="11" t="s">
        <v>396</v>
      </c>
      <c r="D62" s="12" t="s">
        <v>397</v>
      </c>
      <c r="E62" s="12" t="s">
        <v>398</v>
      </c>
      <c r="F62" s="9" t="s">
        <v>20</v>
      </c>
      <c r="G62" s="12" t="s">
        <v>399</v>
      </c>
      <c r="H62" s="12" t="s">
        <v>380</v>
      </c>
      <c r="I62" s="12" t="s">
        <v>23</v>
      </c>
      <c r="J62" s="12" t="s">
        <v>400</v>
      </c>
      <c r="K62" s="12" t="s">
        <v>23</v>
      </c>
      <c r="L62" s="12">
        <v>1</v>
      </c>
      <c r="M62" s="9">
        <f t="shared" si="1"/>
        <v>100</v>
      </c>
      <c r="N62" s="12">
        <v>100</v>
      </c>
      <c r="O62" s="18" t="s">
        <v>26</v>
      </c>
      <c r="P62" s="22" t="s">
        <v>1205</v>
      </c>
      <c r="Q62" s="19">
        <f t="shared" ref="Q62:Q63" si="31">P62*N62</f>
        <v>16.97</v>
      </c>
      <c r="R62" s="12"/>
    </row>
    <row r="63" spans="1:18" s="1" customFormat="1">
      <c r="A63" s="6"/>
      <c r="B63" s="7">
        <f>ROW(B63)-ROW($B$2)</f>
        <v>61</v>
      </c>
      <c r="C63" s="8" t="s">
        <v>390</v>
      </c>
      <c r="D63" s="9" t="s">
        <v>402</v>
      </c>
      <c r="E63" s="9" t="s">
        <v>403</v>
      </c>
      <c r="F63" s="9" t="s">
        <v>20</v>
      </c>
      <c r="G63" s="9" t="s">
        <v>404</v>
      </c>
      <c r="H63" s="9" t="s">
        <v>405</v>
      </c>
      <c r="I63" s="12" t="s">
        <v>23</v>
      </c>
      <c r="J63" s="9" t="s">
        <v>23</v>
      </c>
      <c r="K63" s="9" t="s">
        <v>23</v>
      </c>
      <c r="L63" s="9">
        <v>1</v>
      </c>
      <c r="M63" s="9">
        <f t="shared" si="1"/>
        <v>100</v>
      </c>
      <c r="N63" s="9">
        <v>100</v>
      </c>
      <c r="O63" s="21" t="s">
        <v>395</v>
      </c>
      <c r="P63" s="22">
        <v>0.59399999999999997</v>
      </c>
      <c r="Q63" s="17">
        <f t="shared" si="31"/>
        <v>59.4</v>
      </c>
      <c r="R63" s="9"/>
    </row>
    <row r="64" spans="1:18" s="1" customFormat="1">
      <c r="A64" s="6"/>
      <c r="B64" s="10">
        <f t="shared" si="0"/>
        <v>62</v>
      </c>
      <c r="C64" s="11" t="s">
        <v>406</v>
      </c>
      <c r="D64" s="12" t="s">
        <v>407</v>
      </c>
      <c r="E64" s="12" t="s">
        <v>408</v>
      </c>
      <c r="F64" s="9" t="s">
        <v>20</v>
      </c>
      <c r="G64" s="12">
        <v>22112032</v>
      </c>
      <c r="H64" s="12" t="s">
        <v>409</v>
      </c>
      <c r="I64" s="12" t="s">
        <v>23</v>
      </c>
      <c r="J64" s="12" t="s">
        <v>410</v>
      </c>
      <c r="K64" s="12" t="s">
        <v>23</v>
      </c>
      <c r="L64" s="12">
        <v>1</v>
      </c>
      <c r="M64" s="9">
        <f t="shared" si="1"/>
        <v>100</v>
      </c>
      <c r="N64" s="12">
        <v>100</v>
      </c>
      <c r="O64" s="18" t="s">
        <v>26</v>
      </c>
      <c r="P64" s="19" t="s">
        <v>411</v>
      </c>
      <c r="Q64" s="19">
        <f t="shared" ref="Q64:Q65" si="32">P64*N64</f>
        <v>32.74</v>
      </c>
      <c r="R64" s="12"/>
    </row>
    <row r="65" spans="1:18" s="1" customFormat="1">
      <c r="A65" s="6"/>
      <c r="B65" s="7">
        <f>ROW(B65)-ROW($B$2)</f>
        <v>63</v>
      </c>
      <c r="C65" s="8" t="s">
        <v>406</v>
      </c>
      <c r="D65" s="9" t="s">
        <v>412</v>
      </c>
      <c r="E65" s="9" t="s">
        <v>413</v>
      </c>
      <c r="F65" s="9" t="s">
        <v>20</v>
      </c>
      <c r="G65" s="9">
        <v>22112022</v>
      </c>
      <c r="H65" s="9" t="s">
        <v>409</v>
      </c>
      <c r="I65" s="12" t="s">
        <v>23</v>
      </c>
      <c r="J65" s="9" t="s">
        <v>414</v>
      </c>
      <c r="K65" s="12" t="s">
        <v>23</v>
      </c>
      <c r="L65" s="9">
        <v>1</v>
      </c>
      <c r="M65" s="9">
        <f t="shared" si="1"/>
        <v>100</v>
      </c>
      <c r="N65" s="9" t="s">
        <v>42</v>
      </c>
      <c r="O65" s="18" t="s">
        <v>26</v>
      </c>
      <c r="P65" s="17">
        <v>0.2616</v>
      </c>
      <c r="Q65" s="17">
        <f t="shared" si="32"/>
        <v>26.16</v>
      </c>
      <c r="R65" s="9"/>
    </row>
    <row r="66" spans="1:18" s="1" customFormat="1" ht="48">
      <c r="A66" s="6"/>
      <c r="B66" s="10">
        <f t="shared" si="0"/>
        <v>64</v>
      </c>
      <c r="C66" s="11" t="s">
        <v>416</v>
      </c>
      <c r="D66" s="12" t="s">
        <v>417</v>
      </c>
      <c r="E66" s="12" t="s">
        <v>418</v>
      </c>
      <c r="F66" s="9" t="s">
        <v>20</v>
      </c>
      <c r="G66" s="12" t="s">
        <v>419</v>
      </c>
      <c r="H66" s="12" t="s">
        <v>420</v>
      </c>
      <c r="I66" s="12" t="s">
        <v>23</v>
      </c>
      <c r="J66" s="12" t="s">
        <v>421</v>
      </c>
      <c r="K66" s="12" t="s">
        <v>23</v>
      </c>
      <c r="L66" s="12">
        <v>3</v>
      </c>
      <c r="M66" s="9">
        <f t="shared" si="1"/>
        <v>300</v>
      </c>
      <c r="N66" s="12" t="s">
        <v>716</v>
      </c>
      <c r="O66" s="18" t="s">
        <v>26</v>
      </c>
      <c r="P66" s="19" t="s">
        <v>1206</v>
      </c>
      <c r="Q66" s="19">
        <f t="shared" ref="Q66:Q67" si="33">P66*N66</f>
        <v>34.590000000000003</v>
      </c>
      <c r="R66" s="12"/>
    </row>
    <row r="67" spans="1:18" s="1" customFormat="1" ht="48">
      <c r="A67" s="6"/>
      <c r="B67" s="7">
        <f>ROW(B67)-ROW($B$2)</f>
        <v>65</v>
      </c>
      <c r="C67" s="8" t="s">
        <v>424</v>
      </c>
      <c r="D67" s="9" t="s">
        <v>425</v>
      </c>
      <c r="E67" s="9" t="s">
        <v>426</v>
      </c>
      <c r="F67" s="9" t="s">
        <v>427</v>
      </c>
      <c r="G67" s="9" t="s">
        <v>428</v>
      </c>
      <c r="H67" s="9" t="s">
        <v>429</v>
      </c>
      <c r="I67" s="12" t="s">
        <v>23</v>
      </c>
      <c r="J67" s="9" t="s">
        <v>430</v>
      </c>
      <c r="K67" s="12" t="s">
        <v>23</v>
      </c>
      <c r="L67" s="9">
        <v>2</v>
      </c>
      <c r="M67" s="9">
        <f t="shared" si="1"/>
        <v>200</v>
      </c>
      <c r="N67" s="9" t="s">
        <v>1169</v>
      </c>
      <c r="O67" s="18" t="s">
        <v>26</v>
      </c>
      <c r="P67" s="17" t="s">
        <v>431</v>
      </c>
      <c r="Q67" s="17">
        <f t="shared" si="33"/>
        <v>3.34</v>
      </c>
      <c r="R67" s="9"/>
    </row>
    <row r="68" spans="1:18" s="1" customFormat="1" ht="36">
      <c r="A68" s="6"/>
      <c r="B68" s="10">
        <f t="shared" si="0"/>
        <v>66</v>
      </c>
      <c r="C68" s="11" t="s">
        <v>255</v>
      </c>
      <c r="D68" s="12" t="s">
        <v>432</v>
      </c>
      <c r="E68" s="12" t="s">
        <v>433</v>
      </c>
      <c r="F68" s="9" t="s">
        <v>20</v>
      </c>
      <c r="G68" s="12" t="s">
        <v>434</v>
      </c>
      <c r="H68" s="12" t="s">
        <v>435</v>
      </c>
      <c r="I68" s="12" t="s">
        <v>23</v>
      </c>
      <c r="J68" s="12" t="s">
        <v>436</v>
      </c>
      <c r="K68" s="12" t="s">
        <v>23</v>
      </c>
      <c r="L68" s="12">
        <v>1</v>
      </c>
      <c r="M68" s="9">
        <f t="shared" ref="M68:M131" si="34">L68*100</f>
        <v>100</v>
      </c>
      <c r="N68" s="12" t="s">
        <v>42</v>
      </c>
      <c r="O68" s="18" t="s">
        <v>26</v>
      </c>
      <c r="P68" s="19" t="s">
        <v>1207</v>
      </c>
      <c r="Q68" s="19">
        <f t="shared" ref="Q68:Q69" si="35">P68*N68</f>
        <v>60.34</v>
      </c>
      <c r="R68" s="12"/>
    </row>
    <row r="69" spans="1:18" s="1" customFormat="1">
      <c r="A69" s="6"/>
      <c r="B69" s="7">
        <f>ROW(B69)-ROW($B$2)</f>
        <v>67</v>
      </c>
      <c r="C69" s="8" t="s">
        <v>390</v>
      </c>
      <c r="D69" s="9" t="s">
        <v>438</v>
      </c>
      <c r="E69" s="9" t="s">
        <v>392</v>
      </c>
      <c r="F69" s="9" t="s">
        <v>20</v>
      </c>
      <c r="G69" s="9" t="s">
        <v>439</v>
      </c>
      <c r="H69" s="9" t="s">
        <v>394</v>
      </c>
      <c r="I69" s="12" t="s">
        <v>23</v>
      </c>
      <c r="J69" s="9" t="s">
        <v>23</v>
      </c>
      <c r="K69" s="9" t="s">
        <v>23</v>
      </c>
      <c r="L69" s="9">
        <v>1</v>
      </c>
      <c r="M69" s="9">
        <f t="shared" si="34"/>
        <v>100</v>
      </c>
      <c r="N69" s="9">
        <v>100</v>
      </c>
      <c r="O69" s="18" t="s">
        <v>395</v>
      </c>
      <c r="P69" s="17">
        <v>0.40100000000000002</v>
      </c>
      <c r="Q69" s="17">
        <f t="shared" si="35"/>
        <v>40.1</v>
      </c>
      <c r="R69" s="9"/>
    </row>
    <row r="70" spans="1:18" s="1" customFormat="1" ht="48">
      <c r="A70" s="6"/>
      <c r="B70" s="10">
        <f t="shared" si="0"/>
        <v>68</v>
      </c>
      <c r="C70" s="11" t="s">
        <v>440</v>
      </c>
      <c r="D70" s="12" t="s">
        <v>441</v>
      </c>
      <c r="E70" s="12" t="s">
        <v>442</v>
      </c>
      <c r="F70" s="9" t="s">
        <v>20</v>
      </c>
      <c r="G70" s="12" t="s">
        <v>443</v>
      </c>
      <c r="H70" s="12" t="s">
        <v>420</v>
      </c>
      <c r="I70" s="12" t="s">
        <v>23</v>
      </c>
      <c r="J70" s="12" t="s">
        <v>444</v>
      </c>
      <c r="K70" s="9" t="s">
        <v>23</v>
      </c>
      <c r="L70" s="12">
        <v>2</v>
      </c>
      <c r="M70" s="9">
        <f t="shared" si="34"/>
        <v>200</v>
      </c>
      <c r="N70" s="12">
        <v>200</v>
      </c>
      <c r="O70" s="18" t="s">
        <v>26</v>
      </c>
      <c r="P70" s="19" t="s">
        <v>1208</v>
      </c>
      <c r="Q70" s="19">
        <f t="shared" ref="Q70:Q71" si="36">P70*N70</f>
        <v>15.34</v>
      </c>
      <c r="R70" s="12"/>
    </row>
    <row r="71" spans="1:18" s="1" customFormat="1" ht="48">
      <c r="A71" s="6"/>
      <c r="B71" s="7">
        <f>ROW(B71)-ROW($B$2)</f>
        <v>69</v>
      </c>
      <c r="C71" s="8" t="s">
        <v>416</v>
      </c>
      <c r="D71" s="9" t="s">
        <v>446</v>
      </c>
      <c r="E71" s="9" t="s">
        <v>447</v>
      </c>
      <c r="F71" s="9" t="s">
        <v>20</v>
      </c>
      <c r="G71" s="9" t="s">
        <v>448</v>
      </c>
      <c r="H71" s="9" t="s">
        <v>420</v>
      </c>
      <c r="I71" s="12" t="s">
        <v>23</v>
      </c>
      <c r="J71" s="9" t="s">
        <v>449</v>
      </c>
      <c r="K71" s="9" t="s">
        <v>23</v>
      </c>
      <c r="L71" s="9">
        <v>1</v>
      </c>
      <c r="M71" s="9">
        <f t="shared" si="34"/>
        <v>100</v>
      </c>
      <c r="N71" s="9">
        <v>100</v>
      </c>
      <c r="O71" s="18" t="s">
        <v>26</v>
      </c>
      <c r="P71" s="17" t="s">
        <v>1209</v>
      </c>
      <c r="Q71" s="17">
        <f t="shared" si="36"/>
        <v>15.72</v>
      </c>
      <c r="R71" s="9"/>
    </row>
    <row r="72" spans="1:18" s="1" customFormat="1">
      <c r="A72" s="6"/>
      <c r="B72" s="10">
        <f t="shared" si="0"/>
        <v>70</v>
      </c>
      <c r="C72" s="11" t="s">
        <v>451</v>
      </c>
      <c r="D72" s="12" t="s">
        <v>452</v>
      </c>
      <c r="E72" s="12" t="s">
        <v>453</v>
      </c>
      <c r="F72" s="9" t="s">
        <v>20</v>
      </c>
      <c r="G72" s="12" t="s">
        <v>454</v>
      </c>
      <c r="H72" s="12" t="s">
        <v>455</v>
      </c>
      <c r="I72" s="12" t="s">
        <v>23</v>
      </c>
      <c r="J72" s="12" t="s">
        <v>456</v>
      </c>
      <c r="K72" s="9" t="s">
        <v>23</v>
      </c>
      <c r="L72" s="12">
        <v>1</v>
      </c>
      <c r="M72" s="9">
        <f t="shared" si="34"/>
        <v>100</v>
      </c>
      <c r="N72" s="12">
        <v>100</v>
      </c>
      <c r="O72" s="18" t="s">
        <v>26</v>
      </c>
      <c r="P72" s="19" t="s">
        <v>1210</v>
      </c>
      <c r="Q72" s="19">
        <f t="shared" ref="Q72:Q73" si="37">P72*N72</f>
        <v>131.51</v>
      </c>
      <c r="R72" s="12"/>
    </row>
    <row r="73" spans="1:18" s="1" customFormat="1">
      <c r="A73" s="6"/>
      <c r="B73" s="7">
        <f>ROW(B73)-ROW($B$2)</f>
        <v>71</v>
      </c>
      <c r="C73" s="8" t="s">
        <v>390</v>
      </c>
      <c r="D73" s="9" t="s">
        <v>458</v>
      </c>
      <c r="E73" s="9" t="s">
        <v>392</v>
      </c>
      <c r="F73" s="9" t="s">
        <v>20</v>
      </c>
      <c r="G73" s="9" t="s">
        <v>459</v>
      </c>
      <c r="H73" s="9" t="s">
        <v>394</v>
      </c>
      <c r="I73" s="12" t="s">
        <v>23</v>
      </c>
      <c r="J73" s="9" t="s">
        <v>23</v>
      </c>
      <c r="K73" s="9" t="s">
        <v>23</v>
      </c>
      <c r="L73" s="9">
        <v>2</v>
      </c>
      <c r="M73" s="9">
        <f t="shared" si="34"/>
        <v>200</v>
      </c>
      <c r="N73" s="9">
        <v>200</v>
      </c>
      <c r="O73" s="18" t="s">
        <v>395</v>
      </c>
      <c r="P73" s="17">
        <v>0.59399999999999997</v>
      </c>
      <c r="Q73" s="17">
        <f t="shared" si="37"/>
        <v>118.8</v>
      </c>
      <c r="R73" s="9"/>
    </row>
    <row r="74" spans="1:18" s="1" customFormat="1" ht="48">
      <c r="A74" s="6"/>
      <c r="B74" s="10">
        <f t="shared" si="0"/>
        <v>72</v>
      </c>
      <c r="C74" s="11" t="s">
        <v>460</v>
      </c>
      <c r="D74" s="12" t="s">
        <v>461</v>
      </c>
      <c r="E74" s="12" t="s">
        <v>462</v>
      </c>
      <c r="F74" s="12" t="s">
        <v>463</v>
      </c>
      <c r="G74" s="12" t="s">
        <v>464</v>
      </c>
      <c r="H74" s="12" t="s">
        <v>465</v>
      </c>
      <c r="I74" s="12" t="s">
        <v>23</v>
      </c>
      <c r="J74" s="12" t="s">
        <v>466</v>
      </c>
      <c r="K74" s="9" t="s">
        <v>23</v>
      </c>
      <c r="L74" s="12">
        <v>2</v>
      </c>
      <c r="M74" s="9">
        <f t="shared" si="34"/>
        <v>200</v>
      </c>
      <c r="N74" s="9" t="s">
        <v>1169</v>
      </c>
      <c r="O74" s="18" t="s">
        <v>26</v>
      </c>
      <c r="P74" s="17" t="s">
        <v>1211</v>
      </c>
      <c r="Q74" s="19">
        <f t="shared" ref="Q74:Q75" si="38">P74*N74</f>
        <v>4.88</v>
      </c>
      <c r="R74" s="12"/>
    </row>
    <row r="75" spans="1:18" s="1" customFormat="1">
      <c r="A75" s="6"/>
      <c r="B75" s="7">
        <f>ROW(B75)-ROW($B$2)</f>
        <v>73</v>
      </c>
      <c r="C75" s="8" t="s">
        <v>468</v>
      </c>
      <c r="D75" s="9" t="s">
        <v>469</v>
      </c>
      <c r="E75" s="9" t="s">
        <v>470</v>
      </c>
      <c r="F75" s="9" t="s">
        <v>471</v>
      </c>
      <c r="G75" s="9" t="s">
        <v>472</v>
      </c>
      <c r="H75" s="9" t="s">
        <v>473</v>
      </c>
      <c r="I75" s="12" t="s">
        <v>23</v>
      </c>
      <c r="J75" s="9" t="s">
        <v>474</v>
      </c>
      <c r="K75" s="9" t="s">
        <v>475</v>
      </c>
      <c r="L75" s="9">
        <v>1</v>
      </c>
      <c r="M75" s="9">
        <f t="shared" si="34"/>
        <v>100</v>
      </c>
      <c r="N75" s="12" t="s">
        <v>42</v>
      </c>
      <c r="O75" s="18" t="s">
        <v>26</v>
      </c>
      <c r="P75" s="19" t="s">
        <v>1212</v>
      </c>
      <c r="Q75" s="17">
        <f t="shared" si="38"/>
        <v>3.25</v>
      </c>
      <c r="R75" s="9"/>
    </row>
    <row r="76" spans="1:18" s="1" customFormat="1" ht="36">
      <c r="A76" s="6"/>
      <c r="B76" s="10">
        <f t="shared" si="0"/>
        <v>74</v>
      </c>
      <c r="C76" s="11" t="s">
        <v>468</v>
      </c>
      <c r="D76" s="12" t="s">
        <v>477</v>
      </c>
      <c r="E76" s="12" t="s">
        <v>478</v>
      </c>
      <c r="F76" s="9" t="s">
        <v>20</v>
      </c>
      <c r="G76" s="12" t="s">
        <v>479</v>
      </c>
      <c r="H76" s="12" t="s">
        <v>71</v>
      </c>
      <c r="I76" s="12" t="s">
        <v>23</v>
      </c>
      <c r="J76" s="12" t="s">
        <v>480</v>
      </c>
      <c r="K76" s="12" t="s">
        <v>481</v>
      </c>
      <c r="L76" s="12">
        <v>1</v>
      </c>
      <c r="M76" s="9">
        <f t="shared" si="34"/>
        <v>100</v>
      </c>
      <c r="N76" s="9" t="s">
        <v>42</v>
      </c>
      <c r="O76" s="18" t="s">
        <v>26</v>
      </c>
      <c r="P76" s="17" t="s">
        <v>1213</v>
      </c>
      <c r="Q76" s="19">
        <f t="shared" ref="Q76:Q77" si="39">P76*N76</f>
        <v>25.35</v>
      </c>
      <c r="R76" s="12"/>
    </row>
    <row r="77" spans="1:18" s="1" customFormat="1" ht="24">
      <c r="A77" s="6"/>
      <c r="B77" s="7">
        <f>ROW(B77)-ROW($B$2)</f>
        <v>75</v>
      </c>
      <c r="C77" s="8" t="s">
        <v>468</v>
      </c>
      <c r="D77" s="9" t="s">
        <v>483</v>
      </c>
      <c r="E77" s="9" t="s">
        <v>484</v>
      </c>
      <c r="F77" s="9" t="s">
        <v>20</v>
      </c>
      <c r="G77" s="9" t="s">
        <v>485</v>
      </c>
      <c r="H77" s="9" t="s">
        <v>486</v>
      </c>
      <c r="I77" s="12" t="s">
        <v>23</v>
      </c>
      <c r="J77" s="9" t="s">
        <v>487</v>
      </c>
      <c r="K77" s="9" t="s">
        <v>488</v>
      </c>
      <c r="L77" s="9">
        <v>1</v>
      </c>
      <c r="M77" s="9">
        <f t="shared" si="34"/>
        <v>100</v>
      </c>
      <c r="N77" s="12" t="s">
        <v>42</v>
      </c>
      <c r="O77" s="18" t="s">
        <v>26</v>
      </c>
      <c r="P77" s="19" t="s">
        <v>1214</v>
      </c>
      <c r="Q77" s="17">
        <f t="shared" si="39"/>
        <v>18.350000000000001</v>
      </c>
      <c r="R77" s="9"/>
    </row>
    <row r="78" spans="1:18" s="1" customFormat="1" ht="24">
      <c r="A78" s="6"/>
      <c r="B78" s="10">
        <f t="shared" si="0"/>
        <v>76</v>
      </c>
      <c r="C78" s="11" t="s">
        <v>468</v>
      </c>
      <c r="D78" s="12" t="s">
        <v>490</v>
      </c>
      <c r="E78" s="12" t="s">
        <v>491</v>
      </c>
      <c r="F78" s="9" t="s">
        <v>20</v>
      </c>
      <c r="G78" s="12" t="s">
        <v>492</v>
      </c>
      <c r="H78" s="12" t="s">
        <v>486</v>
      </c>
      <c r="I78" s="12" t="s">
        <v>23</v>
      </c>
      <c r="J78" s="12" t="s">
        <v>493</v>
      </c>
      <c r="K78" s="12" t="s">
        <v>494</v>
      </c>
      <c r="L78" s="12">
        <v>1</v>
      </c>
      <c r="M78" s="9">
        <f t="shared" si="34"/>
        <v>100</v>
      </c>
      <c r="N78" s="9" t="s">
        <v>42</v>
      </c>
      <c r="O78" s="18" t="s">
        <v>26</v>
      </c>
      <c r="P78" s="17" t="s">
        <v>1215</v>
      </c>
      <c r="Q78" s="19">
        <f t="shared" ref="Q78:Q79" si="40">P78*N78</f>
        <v>4.76</v>
      </c>
      <c r="R78" s="12"/>
    </row>
    <row r="79" spans="1:18" s="1" customFormat="1">
      <c r="A79" s="6"/>
      <c r="B79" s="7">
        <f>ROW(B79)-ROW($B$2)</f>
        <v>77</v>
      </c>
      <c r="C79" s="8" t="s">
        <v>468</v>
      </c>
      <c r="D79" s="9" t="s">
        <v>496</v>
      </c>
      <c r="E79" s="9" t="s">
        <v>497</v>
      </c>
      <c r="F79" s="9" t="s">
        <v>20</v>
      </c>
      <c r="G79" s="9" t="s">
        <v>498</v>
      </c>
      <c r="H79" s="9" t="s">
        <v>499</v>
      </c>
      <c r="I79" s="12" t="s">
        <v>23</v>
      </c>
      <c r="J79" s="9" t="s">
        <v>23</v>
      </c>
      <c r="K79" s="9" t="s">
        <v>500</v>
      </c>
      <c r="L79" s="9">
        <v>1</v>
      </c>
      <c r="M79" s="9">
        <f t="shared" si="34"/>
        <v>100</v>
      </c>
      <c r="N79" s="12" t="s">
        <v>42</v>
      </c>
      <c r="O79" s="18" t="s">
        <v>26</v>
      </c>
      <c r="P79" s="19" t="s">
        <v>1216</v>
      </c>
      <c r="Q79" s="17">
        <f t="shared" si="40"/>
        <v>54.77</v>
      </c>
      <c r="R79" s="9"/>
    </row>
    <row r="80" spans="1:18" s="1" customFormat="1">
      <c r="A80" s="6"/>
      <c r="B80" s="10">
        <f t="shared" si="0"/>
        <v>78</v>
      </c>
      <c r="C80" s="11" t="s">
        <v>468</v>
      </c>
      <c r="D80" s="12" t="s">
        <v>502</v>
      </c>
      <c r="E80" s="12" t="s">
        <v>503</v>
      </c>
      <c r="F80" s="12" t="s">
        <v>504</v>
      </c>
      <c r="G80" s="12" t="s">
        <v>505</v>
      </c>
      <c r="H80" s="12" t="s">
        <v>129</v>
      </c>
      <c r="I80" s="12" t="s">
        <v>23</v>
      </c>
      <c r="J80" s="9" t="s">
        <v>506</v>
      </c>
      <c r="K80" s="12" t="s">
        <v>507</v>
      </c>
      <c r="L80" s="12">
        <v>1</v>
      </c>
      <c r="M80" s="9">
        <f t="shared" si="34"/>
        <v>100</v>
      </c>
      <c r="N80" s="9" t="s">
        <v>42</v>
      </c>
      <c r="O80" s="18" t="s">
        <v>26</v>
      </c>
      <c r="P80" s="17" t="s">
        <v>1217</v>
      </c>
      <c r="Q80" s="19">
        <f t="shared" ref="Q80:Q81" si="41">P80*N80</f>
        <v>10.78</v>
      </c>
      <c r="R80" s="12"/>
    </row>
    <row r="81" spans="1:18" s="1" customFormat="1">
      <c r="A81" s="6"/>
      <c r="B81" s="7">
        <f>ROW(B81)-ROW($B$2)</f>
        <v>79</v>
      </c>
      <c r="C81" s="8" t="s">
        <v>509</v>
      </c>
      <c r="D81" s="9" t="s">
        <v>510</v>
      </c>
      <c r="E81" s="9" t="s">
        <v>511</v>
      </c>
      <c r="F81" s="9" t="s">
        <v>512</v>
      </c>
      <c r="G81" s="9" t="s">
        <v>513</v>
      </c>
      <c r="H81" s="9" t="s">
        <v>514</v>
      </c>
      <c r="I81" s="12" t="s">
        <v>23</v>
      </c>
      <c r="J81" s="9" t="s">
        <v>23</v>
      </c>
      <c r="K81" s="9" t="s">
        <v>23</v>
      </c>
      <c r="L81" s="9">
        <v>3</v>
      </c>
      <c r="M81" s="9">
        <f t="shared" si="34"/>
        <v>300</v>
      </c>
      <c r="N81" s="9">
        <v>300</v>
      </c>
      <c r="O81" s="18" t="s">
        <v>67</v>
      </c>
      <c r="P81" s="17">
        <v>0.1048</v>
      </c>
      <c r="Q81" s="17">
        <f t="shared" si="41"/>
        <v>31.44</v>
      </c>
      <c r="R81" s="9"/>
    </row>
    <row r="82" spans="1:18" s="1" customFormat="1">
      <c r="A82" s="6"/>
      <c r="B82" s="10">
        <f t="shared" si="0"/>
        <v>80</v>
      </c>
      <c r="C82" s="11" t="s">
        <v>515</v>
      </c>
      <c r="D82" s="12" t="s">
        <v>516</v>
      </c>
      <c r="E82" s="12" t="s">
        <v>517</v>
      </c>
      <c r="F82" s="9" t="s">
        <v>20</v>
      </c>
      <c r="G82" s="12" t="s">
        <v>518</v>
      </c>
      <c r="H82" s="12" t="s">
        <v>519</v>
      </c>
      <c r="I82" s="12" t="s">
        <v>23</v>
      </c>
      <c r="J82" s="12" t="s">
        <v>520</v>
      </c>
      <c r="K82" s="12" t="s">
        <v>23</v>
      </c>
      <c r="L82" s="12">
        <v>1</v>
      </c>
      <c r="M82" s="9">
        <f t="shared" si="34"/>
        <v>100</v>
      </c>
      <c r="N82" s="9" t="s">
        <v>42</v>
      </c>
      <c r="O82" s="18" t="s">
        <v>26</v>
      </c>
      <c r="P82" s="17" t="s">
        <v>1218</v>
      </c>
      <c r="Q82" s="19">
        <f t="shared" ref="Q82:Q83" si="42">P82*N82</f>
        <v>7.99</v>
      </c>
      <c r="R82" s="12"/>
    </row>
    <row r="83" spans="1:18" s="1" customFormat="1" ht="48">
      <c r="A83" s="6"/>
      <c r="B83" s="7">
        <f>ROW(B83)-ROW($B$2)</f>
        <v>81</v>
      </c>
      <c r="C83" s="8" t="s">
        <v>509</v>
      </c>
      <c r="D83" s="9" t="s">
        <v>522</v>
      </c>
      <c r="E83" s="9" t="s">
        <v>523</v>
      </c>
      <c r="F83" s="9" t="s">
        <v>524</v>
      </c>
      <c r="G83" s="9" t="s">
        <v>525</v>
      </c>
      <c r="H83" s="9" t="s">
        <v>526</v>
      </c>
      <c r="I83" s="12" t="s">
        <v>23</v>
      </c>
      <c r="J83" s="9" t="s">
        <v>527</v>
      </c>
      <c r="K83" s="12" t="s">
        <v>23</v>
      </c>
      <c r="L83" s="9">
        <v>1</v>
      </c>
      <c r="M83" s="9">
        <f t="shared" si="34"/>
        <v>100</v>
      </c>
      <c r="N83" s="12" t="s">
        <v>42</v>
      </c>
      <c r="O83" s="18" t="s">
        <v>26</v>
      </c>
      <c r="P83" s="19" t="s">
        <v>528</v>
      </c>
      <c r="Q83" s="17">
        <f t="shared" si="42"/>
        <v>2.5299999999999998</v>
      </c>
      <c r="R83" s="9"/>
    </row>
    <row r="84" spans="1:18" s="1" customFormat="1" ht="24">
      <c r="A84" s="6"/>
      <c r="B84" s="10">
        <f t="shared" si="0"/>
        <v>82</v>
      </c>
      <c r="C84" s="11" t="s">
        <v>509</v>
      </c>
      <c r="D84" s="12" t="s">
        <v>529</v>
      </c>
      <c r="E84" s="12" t="s">
        <v>530</v>
      </c>
      <c r="F84" s="12" t="s">
        <v>512</v>
      </c>
      <c r="G84" s="12" t="s">
        <v>531</v>
      </c>
      <c r="H84" s="12" t="s">
        <v>532</v>
      </c>
      <c r="I84" s="12" t="s">
        <v>23</v>
      </c>
      <c r="J84" s="12" t="s">
        <v>533</v>
      </c>
      <c r="K84" s="12" t="s">
        <v>23</v>
      </c>
      <c r="L84" s="12">
        <v>1</v>
      </c>
      <c r="M84" s="9">
        <f t="shared" si="34"/>
        <v>100</v>
      </c>
      <c r="N84" s="9" t="s">
        <v>42</v>
      </c>
      <c r="O84" s="18" t="s">
        <v>26</v>
      </c>
      <c r="P84" s="17" t="s">
        <v>1219</v>
      </c>
      <c r="Q84" s="19">
        <f t="shared" ref="Q84:Q85" si="43">P84*N84</f>
        <v>4.29</v>
      </c>
      <c r="R84" s="12"/>
    </row>
    <row r="85" spans="1:18" s="1" customFormat="1" ht="24">
      <c r="A85" s="6"/>
      <c r="B85" s="7">
        <f>ROW(B85)-ROW($B$2)</f>
        <v>83</v>
      </c>
      <c r="C85" s="8" t="s">
        <v>509</v>
      </c>
      <c r="D85" s="9" t="s">
        <v>535</v>
      </c>
      <c r="E85" s="9" t="s">
        <v>536</v>
      </c>
      <c r="F85" s="9" t="s">
        <v>524</v>
      </c>
      <c r="G85" s="13" t="s">
        <v>537</v>
      </c>
      <c r="H85" s="9" t="s">
        <v>532</v>
      </c>
      <c r="I85" s="12" t="s">
        <v>1220</v>
      </c>
      <c r="J85" s="9" t="s">
        <v>1221</v>
      </c>
      <c r="K85" s="12" t="s">
        <v>23</v>
      </c>
      <c r="L85" s="9">
        <v>1</v>
      </c>
      <c r="M85" s="9">
        <f t="shared" si="34"/>
        <v>100</v>
      </c>
      <c r="N85" s="12">
        <v>100</v>
      </c>
      <c r="O85" s="18" t="s">
        <v>26</v>
      </c>
      <c r="P85" s="19">
        <v>2.47E-2</v>
      </c>
      <c r="Q85" s="17">
        <f t="shared" si="43"/>
        <v>2.4700000000000002</v>
      </c>
      <c r="R85" s="9"/>
    </row>
    <row r="86" spans="1:18" s="1" customFormat="1" ht="24">
      <c r="A86" s="6"/>
      <c r="B86" s="10">
        <f t="shared" si="0"/>
        <v>84</v>
      </c>
      <c r="C86" s="11" t="s">
        <v>539</v>
      </c>
      <c r="D86" s="12" t="s">
        <v>540</v>
      </c>
      <c r="E86" s="12" t="s">
        <v>541</v>
      </c>
      <c r="F86" s="9" t="s">
        <v>20</v>
      </c>
      <c r="G86" s="12" t="s">
        <v>542</v>
      </c>
      <c r="H86" s="12" t="s">
        <v>543</v>
      </c>
      <c r="I86" s="12" t="s">
        <v>23</v>
      </c>
      <c r="J86" s="12" t="s">
        <v>544</v>
      </c>
      <c r="K86" s="12" t="s">
        <v>23</v>
      </c>
      <c r="L86" s="12">
        <v>1</v>
      </c>
      <c r="M86" s="9">
        <f t="shared" si="34"/>
        <v>100</v>
      </c>
      <c r="N86" s="9" t="s">
        <v>42</v>
      </c>
      <c r="O86" s="18" t="s">
        <v>26</v>
      </c>
      <c r="P86" s="17" t="s">
        <v>1222</v>
      </c>
      <c r="Q86" s="19">
        <f t="shared" ref="Q86" si="44">P86*N86</f>
        <v>25.48</v>
      </c>
      <c r="R86" s="12"/>
    </row>
    <row r="87" spans="1:18" s="1" customFormat="1" ht="24">
      <c r="A87" s="6"/>
      <c r="B87" s="7">
        <f>ROW(B87)-ROW($B$2)</f>
        <v>85</v>
      </c>
      <c r="C87" s="8" t="s">
        <v>546</v>
      </c>
      <c r="D87" s="13" t="s">
        <v>547</v>
      </c>
      <c r="E87" s="13" t="s">
        <v>548</v>
      </c>
      <c r="F87" s="13" t="s">
        <v>20</v>
      </c>
      <c r="G87" s="13" t="s">
        <v>549</v>
      </c>
      <c r="H87" s="13" t="s">
        <v>23</v>
      </c>
      <c r="I87" s="13" t="s">
        <v>23</v>
      </c>
      <c r="J87" s="13" t="s">
        <v>23</v>
      </c>
      <c r="K87" s="23" t="s">
        <v>23</v>
      </c>
      <c r="L87" s="13">
        <v>6</v>
      </c>
      <c r="M87" s="9">
        <f t="shared" si="34"/>
        <v>600</v>
      </c>
      <c r="N87" s="13" t="s">
        <v>23</v>
      </c>
      <c r="O87" s="13" t="s">
        <v>23</v>
      </c>
      <c r="P87" s="24" t="s">
        <v>23</v>
      </c>
      <c r="Q87" s="24" t="s">
        <v>23</v>
      </c>
      <c r="R87" s="27" t="s">
        <v>550</v>
      </c>
    </row>
    <row r="88" spans="1:18" s="1" customFormat="1" ht="24">
      <c r="A88" s="6"/>
      <c r="B88" s="10">
        <f t="shared" si="0"/>
        <v>86</v>
      </c>
      <c r="C88" s="11" t="s">
        <v>551</v>
      </c>
      <c r="D88" s="12" t="s">
        <v>552</v>
      </c>
      <c r="E88" s="12" t="s">
        <v>553</v>
      </c>
      <c r="F88" s="12" t="s">
        <v>554</v>
      </c>
      <c r="G88" s="12" t="s">
        <v>555</v>
      </c>
      <c r="H88" s="12" t="s">
        <v>278</v>
      </c>
      <c r="I88" s="12" t="s">
        <v>23</v>
      </c>
      <c r="J88" s="12" t="s">
        <v>556</v>
      </c>
      <c r="K88" s="12" t="s">
        <v>23</v>
      </c>
      <c r="L88" s="12">
        <v>2</v>
      </c>
      <c r="M88" s="9">
        <f t="shared" si="34"/>
        <v>200</v>
      </c>
      <c r="N88" s="9" t="s">
        <v>1169</v>
      </c>
      <c r="O88" s="18" t="s">
        <v>26</v>
      </c>
      <c r="P88" s="17" t="s">
        <v>1223</v>
      </c>
      <c r="Q88" s="19">
        <f t="shared" ref="Q88:Q89" si="45">P88*N88</f>
        <v>10.46</v>
      </c>
      <c r="R88" s="12"/>
    </row>
    <row r="89" spans="1:18" s="1" customFormat="1" ht="24">
      <c r="A89" s="6"/>
      <c r="B89" s="7">
        <f>ROW(B89)-ROW($B$2)</f>
        <v>87</v>
      </c>
      <c r="C89" s="8" t="s">
        <v>558</v>
      </c>
      <c r="D89" s="9" t="s">
        <v>559</v>
      </c>
      <c r="E89" s="9" t="s">
        <v>560</v>
      </c>
      <c r="F89" s="9" t="s">
        <v>345</v>
      </c>
      <c r="G89" s="9" t="s">
        <v>561</v>
      </c>
      <c r="H89" s="9" t="s">
        <v>562</v>
      </c>
      <c r="I89" s="12" t="s">
        <v>23</v>
      </c>
      <c r="J89" s="9" t="s">
        <v>563</v>
      </c>
      <c r="K89" s="12" t="s">
        <v>23</v>
      </c>
      <c r="L89" s="9">
        <v>3</v>
      </c>
      <c r="M89" s="9">
        <f t="shared" si="34"/>
        <v>300</v>
      </c>
      <c r="N89" s="12" t="s">
        <v>716</v>
      </c>
      <c r="O89" s="18" t="s">
        <v>26</v>
      </c>
      <c r="P89" s="19" t="s">
        <v>168</v>
      </c>
      <c r="Q89" s="17">
        <f t="shared" si="45"/>
        <v>2.88</v>
      </c>
      <c r="R89" s="9"/>
    </row>
    <row r="90" spans="1:18" s="1" customFormat="1" ht="24">
      <c r="A90" s="6"/>
      <c r="B90" s="10">
        <f t="shared" si="0"/>
        <v>88</v>
      </c>
      <c r="C90" s="11" t="s">
        <v>551</v>
      </c>
      <c r="D90" s="12" t="s">
        <v>564</v>
      </c>
      <c r="E90" s="12" t="s">
        <v>565</v>
      </c>
      <c r="F90" s="12" t="s">
        <v>345</v>
      </c>
      <c r="G90" s="12" t="s">
        <v>566</v>
      </c>
      <c r="H90" s="12" t="s">
        <v>567</v>
      </c>
      <c r="I90" s="12" t="s">
        <v>23</v>
      </c>
      <c r="J90" s="12" t="s">
        <v>568</v>
      </c>
      <c r="K90" s="12" t="s">
        <v>23</v>
      </c>
      <c r="L90" s="12">
        <v>1</v>
      </c>
      <c r="M90" s="9">
        <f t="shared" si="34"/>
        <v>100</v>
      </c>
      <c r="N90" s="9" t="s">
        <v>42</v>
      </c>
      <c r="O90" s="18" t="s">
        <v>26</v>
      </c>
      <c r="P90" s="17" t="s">
        <v>1224</v>
      </c>
      <c r="Q90" s="19">
        <f t="shared" ref="Q90:Q91" si="46">P90*N90</f>
        <v>15.37</v>
      </c>
      <c r="R90" s="12"/>
    </row>
    <row r="91" spans="1:18" s="1" customFormat="1" ht="24">
      <c r="A91" s="6"/>
      <c r="B91" s="7">
        <f>ROW(B91)-ROW($B$2)</f>
        <v>89</v>
      </c>
      <c r="C91" s="8" t="s">
        <v>551</v>
      </c>
      <c r="D91" s="9" t="s">
        <v>570</v>
      </c>
      <c r="E91" s="9" t="s">
        <v>571</v>
      </c>
      <c r="F91" s="9" t="s">
        <v>572</v>
      </c>
      <c r="G91" s="9" t="s">
        <v>573</v>
      </c>
      <c r="H91" s="9" t="s">
        <v>574</v>
      </c>
      <c r="I91" s="12" t="s">
        <v>23</v>
      </c>
      <c r="J91" s="9" t="s">
        <v>575</v>
      </c>
      <c r="K91" s="12" t="s">
        <v>23</v>
      </c>
      <c r="L91" s="9">
        <v>2</v>
      </c>
      <c r="M91" s="9">
        <f t="shared" si="34"/>
        <v>200</v>
      </c>
      <c r="N91" s="12" t="s">
        <v>1169</v>
      </c>
      <c r="O91" s="18" t="s">
        <v>26</v>
      </c>
      <c r="P91" s="19" t="s">
        <v>1225</v>
      </c>
      <c r="Q91" s="17">
        <f t="shared" si="46"/>
        <v>98.88</v>
      </c>
      <c r="R91" s="9"/>
    </row>
    <row r="92" spans="1:18" s="1" customFormat="1" ht="24">
      <c r="A92" s="6"/>
      <c r="B92" s="10">
        <f t="shared" si="0"/>
        <v>90</v>
      </c>
      <c r="C92" s="11" t="s">
        <v>551</v>
      </c>
      <c r="D92" s="12" t="s">
        <v>577</v>
      </c>
      <c r="E92" s="12" t="s">
        <v>578</v>
      </c>
      <c r="F92" s="12" t="s">
        <v>345</v>
      </c>
      <c r="G92" s="12" t="s">
        <v>579</v>
      </c>
      <c r="H92" s="12" t="s">
        <v>580</v>
      </c>
      <c r="I92" s="12" t="s">
        <v>23</v>
      </c>
      <c r="J92" s="12" t="s">
        <v>581</v>
      </c>
      <c r="K92" s="12" t="s">
        <v>23</v>
      </c>
      <c r="L92" s="12">
        <v>1</v>
      </c>
      <c r="M92" s="9">
        <f t="shared" si="34"/>
        <v>100</v>
      </c>
      <c r="N92" s="9" t="s">
        <v>42</v>
      </c>
      <c r="O92" s="18" t="s">
        <v>26</v>
      </c>
      <c r="P92" s="17" t="s">
        <v>1226</v>
      </c>
      <c r="Q92" s="19">
        <f t="shared" ref="Q92:Q93" si="47">P92*N92</f>
        <v>6.44</v>
      </c>
      <c r="R92" s="12"/>
    </row>
    <row r="93" spans="1:18" s="1" customFormat="1">
      <c r="A93" s="6"/>
      <c r="B93" s="7">
        <f>ROW(B93)-ROW($B$2)</f>
        <v>91</v>
      </c>
      <c r="C93" s="8" t="s">
        <v>551</v>
      </c>
      <c r="D93" s="9" t="s">
        <v>583</v>
      </c>
      <c r="E93" s="9" t="s">
        <v>584</v>
      </c>
      <c r="F93" s="9" t="s">
        <v>345</v>
      </c>
      <c r="G93" s="9" t="s">
        <v>585</v>
      </c>
      <c r="H93" s="9" t="s">
        <v>305</v>
      </c>
      <c r="I93" s="12" t="s">
        <v>23</v>
      </c>
      <c r="J93" s="9" t="s">
        <v>586</v>
      </c>
      <c r="K93" s="12" t="s">
        <v>23</v>
      </c>
      <c r="L93" s="9">
        <v>1</v>
      </c>
      <c r="M93" s="9">
        <f t="shared" si="34"/>
        <v>100</v>
      </c>
      <c r="N93" s="12" t="s">
        <v>42</v>
      </c>
      <c r="O93" s="18" t="s">
        <v>26</v>
      </c>
      <c r="P93" s="19" t="s">
        <v>1227</v>
      </c>
      <c r="Q93" s="17">
        <f t="shared" si="47"/>
        <v>2.76</v>
      </c>
      <c r="R93" s="9"/>
    </row>
    <row r="94" spans="1:18" s="1" customFormat="1">
      <c r="A94" s="6"/>
      <c r="B94" s="10">
        <f t="shared" si="0"/>
        <v>92</v>
      </c>
      <c r="C94" s="11" t="s">
        <v>588</v>
      </c>
      <c r="D94" s="12" t="s">
        <v>589</v>
      </c>
      <c r="E94" s="12" t="s">
        <v>590</v>
      </c>
      <c r="F94" s="12" t="s">
        <v>591</v>
      </c>
      <c r="G94" s="12" t="s">
        <v>592</v>
      </c>
      <c r="H94" s="12" t="s">
        <v>593</v>
      </c>
      <c r="I94" s="12" t="s">
        <v>23</v>
      </c>
      <c r="J94" s="12" t="s">
        <v>594</v>
      </c>
      <c r="K94" s="12" t="s">
        <v>23</v>
      </c>
      <c r="L94" s="12">
        <v>1</v>
      </c>
      <c r="M94" s="9">
        <f t="shared" si="34"/>
        <v>100</v>
      </c>
      <c r="N94" s="9">
        <v>100</v>
      </c>
      <c r="O94" s="18" t="s">
        <v>26</v>
      </c>
      <c r="P94" s="17" t="s">
        <v>1228</v>
      </c>
      <c r="Q94" s="19">
        <f t="shared" ref="Q94:Q95" si="48">P94*N94</f>
        <v>154.47999999999999</v>
      </c>
      <c r="R94" s="12"/>
    </row>
    <row r="95" spans="1:18" s="1" customFormat="1">
      <c r="A95" s="6"/>
      <c r="B95" s="7">
        <f>ROW(B95)-ROW($B$2)</f>
        <v>93</v>
      </c>
      <c r="C95" s="8" t="s">
        <v>551</v>
      </c>
      <c r="D95" s="9" t="s">
        <v>595</v>
      </c>
      <c r="E95" s="9" t="s">
        <v>596</v>
      </c>
      <c r="F95" s="9" t="s">
        <v>276</v>
      </c>
      <c r="G95" s="9" t="s">
        <v>597</v>
      </c>
      <c r="H95" s="9" t="s">
        <v>347</v>
      </c>
      <c r="I95" s="12" t="s">
        <v>23</v>
      </c>
      <c r="J95" s="9" t="s">
        <v>598</v>
      </c>
      <c r="K95" s="12" t="s">
        <v>23</v>
      </c>
      <c r="L95" s="9">
        <v>1</v>
      </c>
      <c r="M95" s="9">
        <f t="shared" si="34"/>
        <v>100</v>
      </c>
      <c r="N95" s="12" t="s">
        <v>42</v>
      </c>
      <c r="O95" s="18" t="s">
        <v>26</v>
      </c>
      <c r="P95" s="19" t="s">
        <v>107</v>
      </c>
      <c r="Q95" s="17">
        <f t="shared" si="48"/>
        <v>2.42</v>
      </c>
      <c r="R95" s="9"/>
    </row>
    <row r="96" spans="1:18" s="1" customFormat="1" ht="36">
      <c r="A96" s="6"/>
      <c r="B96" s="10">
        <f t="shared" si="0"/>
        <v>94</v>
      </c>
      <c r="C96" s="11" t="s">
        <v>551</v>
      </c>
      <c r="D96" s="12" t="s">
        <v>599</v>
      </c>
      <c r="E96" s="12" t="s">
        <v>600</v>
      </c>
      <c r="F96" s="12" t="s">
        <v>345</v>
      </c>
      <c r="G96" s="12" t="s">
        <v>601</v>
      </c>
      <c r="H96" s="12" t="s">
        <v>257</v>
      </c>
      <c r="I96" s="12" t="s">
        <v>23</v>
      </c>
      <c r="J96" s="12" t="s">
        <v>602</v>
      </c>
      <c r="K96" s="12" t="s">
        <v>23</v>
      </c>
      <c r="L96" s="12">
        <v>1</v>
      </c>
      <c r="M96" s="9">
        <f t="shared" si="34"/>
        <v>100</v>
      </c>
      <c r="N96" s="9" t="s">
        <v>42</v>
      </c>
      <c r="O96" s="18" t="s">
        <v>26</v>
      </c>
      <c r="P96" s="17" t="s">
        <v>603</v>
      </c>
      <c r="Q96" s="19">
        <f t="shared" ref="Q96:Q97" si="49">P96*N96</f>
        <v>2.74</v>
      </c>
      <c r="R96" s="12"/>
    </row>
    <row r="97" spans="1:18" s="1" customFormat="1">
      <c r="A97" s="6"/>
      <c r="B97" s="7">
        <f>ROW(B97)-ROW($B$2)</f>
        <v>95</v>
      </c>
      <c r="C97" s="8" t="s">
        <v>588</v>
      </c>
      <c r="D97" s="9" t="s">
        <v>604</v>
      </c>
      <c r="E97" s="9" t="s">
        <v>605</v>
      </c>
      <c r="F97" s="9" t="s">
        <v>345</v>
      </c>
      <c r="G97" s="9" t="s">
        <v>606</v>
      </c>
      <c r="H97" s="9" t="s">
        <v>305</v>
      </c>
      <c r="I97" s="12" t="s">
        <v>23</v>
      </c>
      <c r="J97" s="9" t="s">
        <v>607</v>
      </c>
      <c r="K97" s="12" t="s">
        <v>23</v>
      </c>
      <c r="L97" s="9">
        <v>1</v>
      </c>
      <c r="M97" s="9">
        <f t="shared" si="34"/>
        <v>100</v>
      </c>
      <c r="N97" s="12" t="s">
        <v>42</v>
      </c>
      <c r="O97" s="18" t="s">
        <v>26</v>
      </c>
      <c r="P97" s="19" t="s">
        <v>1229</v>
      </c>
      <c r="Q97" s="17">
        <f t="shared" si="49"/>
        <v>2.2999999999999998</v>
      </c>
      <c r="R97" s="9"/>
    </row>
    <row r="98" spans="1:18" s="1" customFormat="1" ht="36">
      <c r="A98" s="6"/>
      <c r="B98" s="10">
        <f t="shared" si="0"/>
        <v>96</v>
      </c>
      <c r="C98" s="11" t="s">
        <v>609</v>
      </c>
      <c r="D98" s="12" t="s">
        <v>610</v>
      </c>
      <c r="E98" s="12" t="s">
        <v>611</v>
      </c>
      <c r="F98" s="12" t="s">
        <v>612</v>
      </c>
      <c r="G98" s="12" t="s">
        <v>613</v>
      </c>
      <c r="H98" s="12" t="s">
        <v>614</v>
      </c>
      <c r="I98" s="12" t="s">
        <v>23</v>
      </c>
      <c r="J98" s="12" t="s">
        <v>615</v>
      </c>
      <c r="K98" s="12" t="s">
        <v>616</v>
      </c>
      <c r="L98" s="12">
        <v>1</v>
      </c>
      <c r="M98" s="9">
        <f t="shared" si="34"/>
        <v>100</v>
      </c>
      <c r="N98" s="9" t="s">
        <v>42</v>
      </c>
      <c r="O98" s="18" t="s">
        <v>26</v>
      </c>
      <c r="P98" s="17" t="s">
        <v>617</v>
      </c>
      <c r="Q98" s="19">
        <f t="shared" ref="Q98:Q99" si="50">P98*N98</f>
        <v>0.12</v>
      </c>
      <c r="R98" s="12"/>
    </row>
    <row r="99" spans="1:18" s="1" customFormat="1" ht="36">
      <c r="A99" s="6"/>
      <c r="B99" s="7">
        <f>ROW(B99)-ROW($B$2)</f>
        <v>97</v>
      </c>
      <c r="C99" s="8" t="s">
        <v>609</v>
      </c>
      <c r="D99" s="9" t="s">
        <v>618</v>
      </c>
      <c r="E99" s="9" t="s">
        <v>619</v>
      </c>
      <c r="F99" s="9" t="s">
        <v>612</v>
      </c>
      <c r="G99" s="9" t="s">
        <v>620</v>
      </c>
      <c r="H99" s="9" t="s">
        <v>621</v>
      </c>
      <c r="I99" s="12" t="s">
        <v>23</v>
      </c>
      <c r="J99" s="9" t="s">
        <v>622</v>
      </c>
      <c r="K99" s="9" t="s">
        <v>623</v>
      </c>
      <c r="L99" s="9">
        <v>1</v>
      </c>
      <c r="M99" s="9">
        <f t="shared" si="34"/>
        <v>100</v>
      </c>
      <c r="N99" s="12" t="s">
        <v>42</v>
      </c>
      <c r="O99" s="18" t="s">
        <v>26</v>
      </c>
      <c r="P99" s="19" t="s">
        <v>158</v>
      </c>
      <c r="Q99" s="17">
        <f t="shared" si="50"/>
        <v>0.46</v>
      </c>
      <c r="R99" s="9"/>
    </row>
    <row r="100" spans="1:18" s="1" customFormat="1">
      <c r="A100" s="6"/>
      <c r="B100" s="10">
        <f t="shared" si="0"/>
        <v>98</v>
      </c>
      <c r="C100" s="8" t="s">
        <v>609</v>
      </c>
      <c r="D100" s="12" t="s">
        <v>624</v>
      </c>
      <c r="E100" s="12" t="s">
        <v>625</v>
      </c>
      <c r="F100" s="12" t="s">
        <v>612</v>
      </c>
      <c r="G100" s="12" t="s">
        <v>626</v>
      </c>
      <c r="H100" s="12" t="s">
        <v>31</v>
      </c>
      <c r="I100" s="12" t="s">
        <v>23</v>
      </c>
      <c r="J100" s="12" t="s">
        <v>627</v>
      </c>
      <c r="K100" s="12" t="s">
        <v>628</v>
      </c>
      <c r="L100" s="12">
        <v>1</v>
      </c>
      <c r="M100" s="9">
        <f t="shared" si="34"/>
        <v>100</v>
      </c>
      <c r="N100" s="9" t="s">
        <v>42</v>
      </c>
      <c r="O100" s="18" t="s">
        <v>26</v>
      </c>
      <c r="P100" s="17" t="s">
        <v>617</v>
      </c>
      <c r="Q100" s="19">
        <f t="shared" ref="Q100:Q101" si="51">P100*N100</f>
        <v>0.12</v>
      </c>
      <c r="R100" s="12"/>
    </row>
    <row r="101" spans="1:18" s="1" customFormat="1">
      <c r="A101" s="6"/>
      <c r="B101" s="7">
        <f>ROW(B101)-ROW($B$2)</f>
        <v>99</v>
      </c>
      <c r="C101" s="8" t="s">
        <v>609</v>
      </c>
      <c r="D101" s="9" t="s">
        <v>629</v>
      </c>
      <c r="E101" s="9" t="s">
        <v>630</v>
      </c>
      <c r="F101" s="9" t="s">
        <v>612</v>
      </c>
      <c r="G101" s="9" t="s">
        <v>631</v>
      </c>
      <c r="H101" s="9" t="s">
        <v>31</v>
      </c>
      <c r="I101" s="12" t="s">
        <v>23</v>
      </c>
      <c r="J101" s="9" t="s">
        <v>632</v>
      </c>
      <c r="K101" s="9" t="s">
        <v>633</v>
      </c>
      <c r="L101" s="9">
        <v>2</v>
      </c>
      <c r="M101" s="9">
        <f t="shared" si="34"/>
        <v>200</v>
      </c>
      <c r="N101" s="12" t="s">
        <v>1169</v>
      </c>
      <c r="O101" s="18" t="s">
        <v>26</v>
      </c>
      <c r="P101" s="19" t="s">
        <v>120</v>
      </c>
      <c r="Q101" s="17">
        <f t="shared" si="51"/>
        <v>0.22</v>
      </c>
      <c r="R101" s="9"/>
    </row>
    <row r="102" spans="1:18" s="1" customFormat="1">
      <c r="A102" s="6"/>
      <c r="B102" s="10">
        <f t="shared" si="0"/>
        <v>100</v>
      </c>
      <c r="C102" s="8" t="s">
        <v>609</v>
      </c>
      <c r="D102" s="12" t="s">
        <v>634</v>
      </c>
      <c r="E102" s="12" t="s">
        <v>635</v>
      </c>
      <c r="F102" s="12" t="s">
        <v>612</v>
      </c>
      <c r="G102" s="12" t="s">
        <v>636</v>
      </c>
      <c r="H102" s="12" t="s">
        <v>31</v>
      </c>
      <c r="I102" s="12" t="s">
        <v>23</v>
      </c>
      <c r="J102" s="12" t="s">
        <v>637</v>
      </c>
      <c r="K102" s="12" t="s">
        <v>633</v>
      </c>
      <c r="L102" s="12">
        <v>2</v>
      </c>
      <c r="M102" s="9">
        <f t="shared" si="34"/>
        <v>200</v>
      </c>
      <c r="N102" s="9" t="s">
        <v>1169</v>
      </c>
      <c r="O102" s="18" t="s">
        <v>26</v>
      </c>
      <c r="P102" s="17" t="s">
        <v>1230</v>
      </c>
      <c r="Q102" s="19">
        <f t="shared" ref="Q102:Q103" si="52">P102*N102</f>
        <v>3.68</v>
      </c>
      <c r="R102" s="12"/>
    </row>
    <row r="103" spans="1:18" s="1" customFormat="1">
      <c r="A103" s="6"/>
      <c r="B103" s="7">
        <f>ROW(B103)-ROW($B$2)</f>
        <v>101</v>
      </c>
      <c r="C103" s="8" t="s">
        <v>609</v>
      </c>
      <c r="D103" s="9" t="s">
        <v>639</v>
      </c>
      <c r="E103" s="9" t="s">
        <v>640</v>
      </c>
      <c r="F103" s="9" t="s">
        <v>612</v>
      </c>
      <c r="G103" s="9" t="s">
        <v>641</v>
      </c>
      <c r="H103" s="9" t="s">
        <v>31</v>
      </c>
      <c r="I103" s="12" t="s">
        <v>23</v>
      </c>
      <c r="J103" s="9" t="s">
        <v>642</v>
      </c>
      <c r="K103" s="9" t="s">
        <v>643</v>
      </c>
      <c r="L103" s="9">
        <v>2</v>
      </c>
      <c r="M103" s="9">
        <f t="shared" si="34"/>
        <v>200</v>
      </c>
      <c r="N103" s="12" t="s">
        <v>1169</v>
      </c>
      <c r="O103" s="18" t="s">
        <v>26</v>
      </c>
      <c r="P103" s="19" t="s">
        <v>1231</v>
      </c>
      <c r="Q103" s="17">
        <f t="shared" si="52"/>
        <v>3.84</v>
      </c>
      <c r="R103" s="9"/>
    </row>
    <row r="104" spans="1:18" s="1" customFormat="1">
      <c r="A104" s="6"/>
      <c r="B104" s="10">
        <f t="shared" si="0"/>
        <v>102</v>
      </c>
      <c r="C104" s="8" t="s">
        <v>609</v>
      </c>
      <c r="D104" s="12" t="s">
        <v>645</v>
      </c>
      <c r="E104" s="12" t="s">
        <v>646</v>
      </c>
      <c r="F104" s="12" t="s">
        <v>612</v>
      </c>
      <c r="G104" s="12" t="s">
        <v>647</v>
      </c>
      <c r="H104" s="12" t="s">
        <v>31</v>
      </c>
      <c r="I104" s="12" t="s">
        <v>23</v>
      </c>
      <c r="J104" s="12" t="s">
        <v>648</v>
      </c>
      <c r="K104" s="12" t="s">
        <v>649</v>
      </c>
      <c r="L104" s="12">
        <v>2</v>
      </c>
      <c r="M104" s="9">
        <f t="shared" si="34"/>
        <v>200</v>
      </c>
      <c r="N104" s="9" t="s">
        <v>1169</v>
      </c>
      <c r="O104" s="18" t="s">
        <v>26</v>
      </c>
      <c r="P104" s="17" t="s">
        <v>617</v>
      </c>
      <c r="Q104" s="19">
        <f t="shared" ref="Q104:Q105" si="53">P104*N104</f>
        <v>0.24</v>
      </c>
      <c r="R104" s="12"/>
    </row>
    <row r="105" spans="1:18" s="1" customFormat="1" ht="36">
      <c r="A105" s="6"/>
      <c r="B105" s="7">
        <f>ROW(B105)-ROW($B$2)</f>
        <v>103</v>
      </c>
      <c r="C105" s="8" t="s">
        <v>609</v>
      </c>
      <c r="D105" s="9" t="s">
        <v>650</v>
      </c>
      <c r="E105" s="9" t="s">
        <v>651</v>
      </c>
      <c r="F105" s="9" t="s">
        <v>652</v>
      </c>
      <c r="G105" s="9" t="s">
        <v>653</v>
      </c>
      <c r="H105" s="9" t="s">
        <v>614</v>
      </c>
      <c r="I105" s="12" t="s">
        <v>23</v>
      </c>
      <c r="J105" s="9" t="s">
        <v>654</v>
      </c>
      <c r="K105" s="9" t="s">
        <v>655</v>
      </c>
      <c r="L105" s="9">
        <v>1</v>
      </c>
      <c r="M105" s="9">
        <f t="shared" si="34"/>
        <v>100</v>
      </c>
      <c r="N105" s="12" t="s">
        <v>42</v>
      </c>
      <c r="O105" s="18" t="s">
        <v>26</v>
      </c>
      <c r="P105" s="19" t="s">
        <v>125</v>
      </c>
      <c r="Q105" s="17">
        <f t="shared" si="53"/>
        <v>0.18</v>
      </c>
      <c r="R105" s="9"/>
    </row>
    <row r="106" spans="1:18" s="1" customFormat="1">
      <c r="A106" s="6"/>
      <c r="B106" s="10">
        <f t="shared" si="0"/>
        <v>104</v>
      </c>
      <c r="C106" s="8" t="s">
        <v>609</v>
      </c>
      <c r="D106" s="12" t="s">
        <v>656</v>
      </c>
      <c r="E106" s="12" t="s">
        <v>657</v>
      </c>
      <c r="F106" s="12" t="s">
        <v>612</v>
      </c>
      <c r="G106" s="12" t="s">
        <v>658</v>
      </c>
      <c r="H106" s="12" t="s">
        <v>31</v>
      </c>
      <c r="I106" s="12" t="s">
        <v>23</v>
      </c>
      <c r="J106" s="12" t="s">
        <v>659</v>
      </c>
      <c r="K106" s="12" t="s">
        <v>660</v>
      </c>
      <c r="L106" s="12">
        <v>1</v>
      </c>
      <c r="M106" s="9">
        <f t="shared" si="34"/>
        <v>100</v>
      </c>
      <c r="N106" s="9" t="s">
        <v>42</v>
      </c>
      <c r="O106" s="18" t="s">
        <v>26</v>
      </c>
      <c r="P106" s="17" t="s">
        <v>617</v>
      </c>
      <c r="Q106" s="19">
        <f t="shared" ref="Q106:Q107" si="54">P106*N106</f>
        <v>0.12</v>
      </c>
      <c r="R106" s="12"/>
    </row>
    <row r="107" spans="1:18" s="1" customFormat="1">
      <c r="A107" s="6"/>
      <c r="B107" s="7">
        <f>ROW(B107)-ROW($B$2)</f>
        <v>105</v>
      </c>
      <c r="C107" s="8" t="s">
        <v>609</v>
      </c>
      <c r="D107" s="9" t="s">
        <v>661</v>
      </c>
      <c r="E107" s="9" t="s">
        <v>662</v>
      </c>
      <c r="F107" s="9" t="s">
        <v>612</v>
      </c>
      <c r="G107" s="9" t="s">
        <v>663</v>
      </c>
      <c r="H107" s="9" t="s">
        <v>31</v>
      </c>
      <c r="I107" s="12" t="s">
        <v>23</v>
      </c>
      <c r="J107" s="9" t="s">
        <v>664</v>
      </c>
      <c r="K107" s="9" t="s">
        <v>665</v>
      </c>
      <c r="L107" s="9">
        <v>2</v>
      </c>
      <c r="M107" s="9">
        <f t="shared" si="34"/>
        <v>200</v>
      </c>
      <c r="N107" s="12" t="s">
        <v>1169</v>
      </c>
      <c r="O107" s="18" t="s">
        <v>26</v>
      </c>
      <c r="P107" s="19" t="s">
        <v>666</v>
      </c>
      <c r="Q107" s="17">
        <f t="shared" si="54"/>
        <v>1.06</v>
      </c>
      <c r="R107" s="9"/>
    </row>
    <row r="108" spans="1:18" s="1" customFormat="1">
      <c r="A108" s="6"/>
      <c r="B108" s="10">
        <f t="shared" si="0"/>
        <v>106</v>
      </c>
      <c r="C108" s="8" t="s">
        <v>609</v>
      </c>
      <c r="D108" s="12" t="s">
        <v>667</v>
      </c>
      <c r="E108" s="12" t="s">
        <v>668</v>
      </c>
      <c r="F108" s="12" t="s">
        <v>612</v>
      </c>
      <c r="G108" s="12" t="s">
        <v>669</v>
      </c>
      <c r="H108" s="12" t="s">
        <v>31</v>
      </c>
      <c r="I108" s="12" t="s">
        <v>23</v>
      </c>
      <c r="J108" s="12" t="s">
        <v>670</v>
      </c>
      <c r="K108" s="12" t="s">
        <v>671</v>
      </c>
      <c r="L108" s="12">
        <v>3</v>
      </c>
      <c r="M108" s="9">
        <f t="shared" si="34"/>
        <v>300</v>
      </c>
      <c r="N108" s="9" t="s">
        <v>716</v>
      </c>
      <c r="O108" s="18" t="s">
        <v>26</v>
      </c>
      <c r="P108" s="17" t="s">
        <v>617</v>
      </c>
      <c r="Q108" s="19">
        <f t="shared" ref="Q108:Q109" si="55">P108*N108</f>
        <v>0.36</v>
      </c>
      <c r="R108" s="12"/>
    </row>
    <row r="109" spans="1:18" s="1" customFormat="1" ht="36">
      <c r="A109" s="6"/>
      <c r="B109" s="7">
        <f>ROW(B109)-ROW($B$2)</f>
        <v>107</v>
      </c>
      <c r="C109" s="8" t="s">
        <v>609</v>
      </c>
      <c r="D109" s="9" t="s">
        <v>672</v>
      </c>
      <c r="E109" s="9" t="s">
        <v>673</v>
      </c>
      <c r="F109" s="9" t="s">
        <v>674</v>
      </c>
      <c r="G109" s="9" t="s">
        <v>675</v>
      </c>
      <c r="H109" s="9" t="s">
        <v>31</v>
      </c>
      <c r="I109" s="12" t="s">
        <v>23</v>
      </c>
      <c r="J109" s="9" t="s">
        <v>676</v>
      </c>
      <c r="K109" s="9" t="s">
        <v>633</v>
      </c>
      <c r="L109" s="9">
        <v>17</v>
      </c>
      <c r="M109" s="9">
        <f t="shared" si="34"/>
        <v>1700</v>
      </c>
      <c r="N109" s="12" t="s">
        <v>1232</v>
      </c>
      <c r="O109" s="18" t="s">
        <v>26</v>
      </c>
      <c r="P109" s="19" t="s">
        <v>1233</v>
      </c>
      <c r="Q109" s="17">
        <f t="shared" si="55"/>
        <v>0.85</v>
      </c>
      <c r="R109" s="9"/>
    </row>
    <row r="110" spans="1:18" s="1" customFormat="1">
      <c r="A110" s="6"/>
      <c r="B110" s="10">
        <f t="shared" si="0"/>
        <v>108</v>
      </c>
      <c r="C110" s="8" t="s">
        <v>609</v>
      </c>
      <c r="D110" s="12" t="s">
        <v>678</v>
      </c>
      <c r="E110" s="12" t="s">
        <v>679</v>
      </c>
      <c r="F110" s="12" t="s">
        <v>612</v>
      </c>
      <c r="G110" s="9" t="s">
        <v>680</v>
      </c>
      <c r="H110" s="9" t="s">
        <v>681</v>
      </c>
      <c r="I110" s="12" t="s">
        <v>23</v>
      </c>
      <c r="J110" s="12" t="s">
        <v>682</v>
      </c>
      <c r="K110" s="12" t="s">
        <v>683</v>
      </c>
      <c r="L110" s="12">
        <v>4</v>
      </c>
      <c r="M110" s="9">
        <f t="shared" si="34"/>
        <v>400</v>
      </c>
      <c r="N110" s="9" t="s">
        <v>1172</v>
      </c>
      <c r="O110" s="18" t="s">
        <v>26</v>
      </c>
      <c r="P110" s="17" t="s">
        <v>1234</v>
      </c>
      <c r="Q110" s="19">
        <f t="shared" ref="Q110:Q111" si="56">P110*N110</f>
        <v>8.8000000000000007</v>
      </c>
      <c r="R110" s="12"/>
    </row>
    <row r="111" spans="1:18" s="1" customFormat="1">
      <c r="A111" s="6"/>
      <c r="B111" s="7">
        <f>ROW(B111)-ROW($B$2)</f>
        <v>109</v>
      </c>
      <c r="C111" s="8" t="s">
        <v>609</v>
      </c>
      <c r="D111" s="9" t="s">
        <v>685</v>
      </c>
      <c r="E111" s="9" t="s">
        <v>686</v>
      </c>
      <c r="F111" s="9" t="s">
        <v>612</v>
      </c>
      <c r="G111" s="9" t="s">
        <v>687</v>
      </c>
      <c r="H111" s="9" t="s">
        <v>31</v>
      </c>
      <c r="I111" s="12" t="s">
        <v>23</v>
      </c>
      <c r="J111" s="9" t="s">
        <v>688</v>
      </c>
      <c r="K111" s="9" t="s">
        <v>689</v>
      </c>
      <c r="L111" s="9">
        <v>1</v>
      </c>
      <c r="M111" s="9">
        <f t="shared" si="34"/>
        <v>100</v>
      </c>
      <c r="N111" s="12" t="s">
        <v>42</v>
      </c>
      <c r="O111" s="18" t="s">
        <v>26</v>
      </c>
      <c r="P111" s="19" t="s">
        <v>690</v>
      </c>
      <c r="Q111" s="17">
        <f t="shared" si="56"/>
        <v>0.82</v>
      </c>
      <c r="R111" s="9"/>
    </row>
    <row r="112" spans="1:18" s="1" customFormat="1">
      <c r="A112" s="6"/>
      <c r="B112" s="10">
        <f t="shared" si="0"/>
        <v>110</v>
      </c>
      <c r="C112" s="8" t="s">
        <v>609</v>
      </c>
      <c r="D112" s="12" t="s">
        <v>691</v>
      </c>
      <c r="E112" s="12" t="s">
        <v>692</v>
      </c>
      <c r="F112" s="12" t="s">
        <v>612</v>
      </c>
      <c r="G112" s="12" t="s">
        <v>693</v>
      </c>
      <c r="H112" s="12" t="s">
        <v>31</v>
      </c>
      <c r="I112" s="12" t="s">
        <v>23</v>
      </c>
      <c r="J112" s="12" t="s">
        <v>694</v>
      </c>
      <c r="K112" s="12" t="s">
        <v>695</v>
      </c>
      <c r="L112" s="12">
        <v>4</v>
      </c>
      <c r="M112" s="9">
        <f t="shared" si="34"/>
        <v>400</v>
      </c>
      <c r="N112" s="9" t="s">
        <v>1172</v>
      </c>
      <c r="O112" s="18" t="s">
        <v>26</v>
      </c>
      <c r="P112" s="17" t="s">
        <v>617</v>
      </c>
      <c r="Q112" s="19">
        <f t="shared" ref="Q112:Q113" si="57">P112*N112</f>
        <v>0.48</v>
      </c>
      <c r="R112" s="12"/>
    </row>
    <row r="113" spans="1:18" s="1" customFormat="1">
      <c r="A113" s="6"/>
      <c r="B113" s="7">
        <f>ROW(B113)-ROW($B$2)</f>
        <v>111</v>
      </c>
      <c r="C113" s="8" t="s">
        <v>609</v>
      </c>
      <c r="D113" s="9" t="s">
        <v>696</v>
      </c>
      <c r="E113" s="9" t="s">
        <v>697</v>
      </c>
      <c r="F113" s="9" t="s">
        <v>612</v>
      </c>
      <c r="G113" s="9" t="s">
        <v>698</v>
      </c>
      <c r="H113" s="9" t="s">
        <v>31</v>
      </c>
      <c r="I113" s="12" t="s">
        <v>23</v>
      </c>
      <c r="J113" s="9" t="s">
        <v>699</v>
      </c>
      <c r="K113" s="9" t="s">
        <v>683</v>
      </c>
      <c r="L113" s="9">
        <v>7</v>
      </c>
      <c r="M113" s="9">
        <f t="shared" si="34"/>
        <v>700</v>
      </c>
      <c r="N113" s="12" t="s">
        <v>1235</v>
      </c>
      <c r="O113" s="18" t="s">
        <v>26</v>
      </c>
      <c r="P113" s="19" t="s">
        <v>120</v>
      </c>
      <c r="Q113" s="17">
        <f t="shared" si="57"/>
        <v>0.77</v>
      </c>
      <c r="R113" s="9"/>
    </row>
    <row r="114" spans="1:18" s="1" customFormat="1">
      <c r="A114" s="6"/>
      <c r="B114" s="10">
        <f t="shared" si="0"/>
        <v>112</v>
      </c>
      <c r="C114" s="8" t="s">
        <v>609</v>
      </c>
      <c r="D114" s="12" t="s">
        <v>700</v>
      </c>
      <c r="E114" s="12" t="s">
        <v>701</v>
      </c>
      <c r="F114" s="12" t="s">
        <v>612</v>
      </c>
      <c r="G114" s="12" t="s">
        <v>702</v>
      </c>
      <c r="H114" s="12" t="s">
        <v>31</v>
      </c>
      <c r="I114" s="12" t="s">
        <v>23</v>
      </c>
      <c r="J114" s="12" t="s">
        <v>703</v>
      </c>
      <c r="K114" s="12" t="s">
        <v>704</v>
      </c>
      <c r="L114" s="12">
        <v>2</v>
      </c>
      <c r="M114" s="9">
        <f t="shared" si="34"/>
        <v>200</v>
      </c>
      <c r="N114" s="9" t="s">
        <v>1169</v>
      </c>
      <c r="O114" s="18" t="s">
        <v>26</v>
      </c>
      <c r="P114" s="17" t="s">
        <v>617</v>
      </c>
      <c r="Q114" s="19">
        <f t="shared" ref="Q114" si="58">P114*N114</f>
        <v>0.24</v>
      </c>
      <c r="R114" s="12"/>
    </row>
    <row r="115" spans="1:18" s="1" customFormat="1" ht="24">
      <c r="A115" s="6"/>
      <c r="B115" s="7">
        <f>ROW(B115)-ROW($B$2)</f>
        <v>113</v>
      </c>
      <c r="C115" s="8" t="s">
        <v>609</v>
      </c>
      <c r="D115" s="13" t="s">
        <v>705</v>
      </c>
      <c r="E115" s="13" t="s">
        <v>706</v>
      </c>
      <c r="F115" s="13" t="s">
        <v>674</v>
      </c>
      <c r="G115" s="13" t="s">
        <v>707</v>
      </c>
      <c r="H115" s="13" t="s">
        <v>31</v>
      </c>
      <c r="I115" s="12" t="s">
        <v>23</v>
      </c>
      <c r="J115" s="13" t="s">
        <v>708</v>
      </c>
      <c r="K115" s="13" t="s">
        <v>709</v>
      </c>
      <c r="L115" s="13">
        <v>1</v>
      </c>
      <c r="M115" s="9">
        <f t="shared" si="34"/>
        <v>100</v>
      </c>
      <c r="N115" s="23" t="s">
        <v>42</v>
      </c>
      <c r="O115" s="25" t="s">
        <v>26</v>
      </c>
      <c r="P115" s="26" t="s">
        <v>23</v>
      </c>
      <c r="Q115" s="24" t="s">
        <v>23</v>
      </c>
      <c r="R115" s="27" t="s">
        <v>550</v>
      </c>
    </row>
    <row r="116" spans="1:18" s="1" customFormat="1" ht="24">
      <c r="A116" s="6"/>
      <c r="B116" s="10">
        <f t="shared" si="0"/>
        <v>114</v>
      </c>
      <c r="C116" s="8" t="s">
        <v>609</v>
      </c>
      <c r="D116" s="23" t="s">
        <v>710</v>
      </c>
      <c r="E116" s="23" t="s">
        <v>711</v>
      </c>
      <c r="F116" s="23" t="s">
        <v>612</v>
      </c>
      <c r="G116" s="23" t="s">
        <v>712</v>
      </c>
      <c r="H116" s="23" t="s">
        <v>31</v>
      </c>
      <c r="I116" s="12" t="s">
        <v>23</v>
      </c>
      <c r="J116" s="23" t="s">
        <v>713</v>
      </c>
      <c r="K116" s="23" t="s">
        <v>709</v>
      </c>
      <c r="L116" s="23">
        <v>7</v>
      </c>
      <c r="M116" s="9">
        <f t="shared" si="34"/>
        <v>700</v>
      </c>
      <c r="N116" s="13" t="s">
        <v>1235</v>
      </c>
      <c r="O116" s="25" t="s">
        <v>26</v>
      </c>
      <c r="P116" s="24" t="s">
        <v>23</v>
      </c>
      <c r="Q116" s="26" t="s">
        <v>23</v>
      </c>
      <c r="R116" s="27" t="s">
        <v>550</v>
      </c>
    </row>
    <row r="117" spans="1:18" s="1" customFormat="1" ht="84">
      <c r="A117" s="6"/>
      <c r="B117" s="7">
        <f>ROW(B117)-ROW($B$2)</f>
        <v>115</v>
      </c>
      <c r="C117" s="8" t="s">
        <v>609</v>
      </c>
      <c r="D117" s="9" t="s">
        <v>714</v>
      </c>
      <c r="E117" s="9" t="s">
        <v>711</v>
      </c>
      <c r="F117" s="9" t="s">
        <v>612</v>
      </c>
      <c r="G117" s="9" t="s">
        <v>712</v>
      </c>
      <c r="H117" s="9" t="s">
        <v>31</v>
      </c>
      <c r="I117" s="12" t="s">
        <v>23</v>
      </c>
      <c r="J117" s="9" t="s">
        <v>713</v>
      </c>
      <c r="K117" s="9" t="s">
        <v>715</v>
      </c>
      <c r="L117" s="9">
        <v>44</v>
      </c>
      <c r="M117" s="9">
        <f t="shared" si="34"/>
        <v>4400</v>
      </c>
      <c r="N117" s="12" t="s">
        <v>1236</v>
      </c>
      <c r="O117" s="18" t="s">
        <v>26</v>
      </c>
      <c r="P117" s="19" t="s">
        <v>820</v>
      </c>
      <c r="Q117" s="17">
        <f>P117*N117</f>
        <v>3.52</v>
      </c>
      <c r="R117" s="9"/>
    </row>
    <row r="118" spans="1:18" s="1" customFormat="1">
      <c r="A118" s="6"/>
      <c r="B118" s="10">
        <f t="shared" si="0"/>
        <v>116</v>
      </c>
      <c r="C118" s="8" t="s">
        <v>609</v>
      </c>
      <c r="D118" s="12" t="s">
        <v>717</v>
      </c>
      <c r="E118" s="12" t="s">
        <v>718</v>
      </c>
      <c r="F118" s="12" t="s">
        <v>612</v>
      </c>
      <c r="G118" s="12" t="s">
        <v>719</v>
      </c>
      <c r="H118" s="12" t="s">
        <v>31</v>
      </c>
      <c r="I118" s="12" t="s">
        <v>23</v>
      </c>
      <c r="J118" s="12" t="s">
        <v>720</v>
      </c>
      <c r="K118" s="12" t="s">
        <v>649</v>
      </c>
      <c r="L118" s="12">
        <v>1</v>
      </c>
      <c r="M118" s="9">
        <f t="shared" si="34"/>
        <v>100</v>
      </c>
      <c r="N118" s="9" t="s">
        <v>42</v>
      </c>
      <c r="O118" s="18" t="s">
        <v>26</v>
      </c>
      <c r="P118" s="17" t="s">
        <v>1237</v>
      </c>
      <c r="Q118" s="19">
        <f t="shared" ref="Q118:Q119" si="59">P118*N118</f>
        <v>2.04</v>
      </c>
      <c r="R118" s="12"/>
    </row>
    <row r="119" spans="1:18" s="1" customFormat="1">
      <c r="A119" s="6"/>
      <c r="B119" s="7">
        <f>ROW(B119)-ROW($B$2)</f>
        <v>117</v>
      </c>
      <c r="C119" s="8" t="s">
        <v>609</v>
      </c>
      <c r="D119" s="9" t="s">
        <v>722</v>
      </c>
      <c r="E119" s="9" t="s">
        <v>723</v>
      </c>
      <c r="F119" s="9" t="s">
        <v>724</v>
      </c>
      <c r="G119" s="9" t="s">
        <v>725</v>
      </c>
      <c r="H119" s="9" t="s">
        <v>31</v>
      </c>
      <c r="I119" s="12" t="s">
        <v>23</v>
      </c>
      <c r="J119" s="9" t="s">
        <v>726</v>
      </c>
      <c r="K119" s="9" t="s">
        <v>727</v>
      </c>
      <c r="L119" s="9">
        <v>1</v>
      </c>
      <c r="M119" s="9">
        <f t="shared" si="34"/>
        <v>100</v>
      </c>
      <c r="N119" s="12" t="s">
        <v>42</v>
      </c>
      <c r="O119" s="18" t="s">
        <v>26</v>
      </c>
      <c r="P119" s="19" t="s">
        <v>50</v>
      </c>
      <c r="Q119" s="17">
        <f t="shared" si="59"/>
        <v>0.22</v>
      </c>
      <c r="R119" s="9"/>
    </row>
    <row r="120" spans="1:18" s="1" customFormat="1">
      <c r="A120" s="6"/>
      <c r="B120" s="10">
        <f t="shared" si="0"/>
        <v>118</v>
      </c>
      <c r="C120" s="8" t="s">
        <v>609</v>
      </c>
      <c r="D120" s="12" t="s">
        <v>728</v>
      </c>
      <c r="E120" s="12" t="s">
        <v>729</v>
      </c>
      <c r="F120" s="12" t="s">
        <v>612</v>
      </c>
      <c r="G120" s="12" t="s">
        <v>730</v>
      </c>
      <c r="H120" s="12" t="s">
        <v>31</v>
      </c>
      <c r="I120" s="12" t="s">
        <v>23</v>
      </c>
      <c r="J120" s="12" t="s">
        <v>731</v>
      </c>
      <c r="K120" s="12" t="s">
        <v>732</v>
      </c>
      <c r="L120" s="12">
        <v>4</v>
      </c>
      <c r="M120" s="9">
        <f t="shared" si="34"/>
        <v>400</v>
      </c>
      <c r="N120" s="9" t="s">
        <v>1172</v>
      </c>
      <c r="O120" s="18" t="s">
        <v>26</v>
      </c>
      <c r="P120" s="17" t="s">
        <v>120</v>
      </c>
      <c r="Q120" s="19">
        <f t="shared" ref="Q120:Q121" si="60">P120*N120</f>
        <v>0.44</v>
      </c>
      <c r="R120" s="12"/>
    </row>
    <row r="121" spans="1:18" s="1" customFormat="1">
      <c r="A121" s="6"/>
      <c r="B121" s="7">
        <f>ROW(B121)-ROW($B$2)</f>
        <v>119</v>
      </c>
      <c r="C121" s="8" t="s">
        <v>609</v>
      </c>
      <c r="D121" s="9" t="s">
        <v>733</v>
      </c>
      <c r="E121" s="9" t="s">
        <v>734</v>
      </c>
      <c r="F121" s="9" t="s">
        <v>612</v>
      </c>
      <c r="G121" s="9" t="s">
        <v>735</v>
      </c>
      <c r="H121" s="9" t="s">
        <v>31</v>
      </c>
      <c r="I121" s="12" t="s">
        <v>23</v>
      </c>
      <c r="J121" s="9" t="s">
        <v>736</v>
      </c>
      <c r="K121" s="9" t="s">
        <v>737</v>
      </c>
      <c r="L121" s="9">
        <v>1</v>
      </c>
      <c r="M121" s="9">
        <f t="shared" si="34"/>
        <v>100</v>
      </c>
      <c r="N121" s="12" t="s">
        <v>42</v>
      </c>
      <c r="O121" s="18" t="s">
        <v>26</v>
      </c>
      <c r="P121" s="19" t="s">
        <v>738</v>
      </c>
      <c r="Q121" s="17">
        <f t="shared" si="60"/>
        <v>2.38</v>
      </c>
      <c r="R121" s="9"/>
    </row>
    <row r="122" spans="1:18" s="1" customFormat="1">
      <c r="A122" s="6"/>
      <c r="B122" s="10">
        <f t="shared" si="0"/>
        <v>120</v>
      </c>
      <c r="C122" s="8" t="s">
        <v>609</v>
      </c>
      <c r="D122" s="12" t="s">
        <v>739</v>
      </c>
      <c r="E122" s="12" t="s">
        <v>740</v>
      </c>
      <c r="F122" s="12" t="s">
        <v>652</v>
      </c>
      <c r="G122" s="12" t="s">
        <v>741</v>
      </c>
      <c r="H122" s="12" t="s">
        <v>742</v>
      </c>
      <c r="I122" s="12" t="s">
        <v>23</v>
      </c>
      <c r="J122" s="12" t="s">
        <v>743</v>
      </c>
      <c r="K122" s="12" t="s">
        <v>744</v>
      </c>
      <c r="L122" s="12">
        <v>2</v>
      </c>
      <c r="M122" s="9">
        <f t="shared" si="34"/>
        <v>200</v>
      </c>
      <c r="N122" s="9" t="s">
        <v>1169</v>
      </c>
      <c r="O122" s="18" t="s">
        <v>26</v>
      </c>
      <c r="P122" s="17" t="s">
        <v>1238</v>
      </c>
      <c r="Q122" s="19">
        <f t="shared" ref="Q122:Q123" si="61">P122*N122</f>
        <v>7.54</v>
      </c>
      <c r="R122" s="12"/>
    </row>
    <row r="123" spans="1:18" s="1" customFormat="1">
      <c r="A123" s="6"/>
      <c r="B123" s="7">
        <f>ROW(B123)-ROW($B$2)</f>
        <v>121</v>
      </c>
      <c r="C123" s="8" t="s">
        <v>609</v>
      </c>
      <c r="D123" s="9" t="s">
        <v>746</v>
      </c>
      <c r="E123" s="9" t="s">
        <v>747</v>
      </c>
      <c r="F123" s="9" t="s">
        <v>612</v>
      </c>
      <c r="G123" s="9" t="s">
        <v>748</v>
      </c>
      <c r="H123" s="9" t="s">
        <v>31</v>
      </c>
      <c r="I123" s="12" t="s">
        <v>23</v>
      </c>
      <c r="J123" s="9" t="s">
        <v>749</v>
      </c>
      <c r="K123" s="9" t="s">
        <v>750</v>
      </c>
      <c r="L123" s="9">
        <v>2</v>
      </c>
      <c r="M123" s="9">
        <f t="shared" si="34"/>
        <v>200</v>
      </c>
      <c r="N123" s="12" t="s">
        <v>1169</v>
      </c>
      <c r="O123" s="18" t="s">
        <v>26</v>
      </c>
      <c r="P123" s="19" t="s">
        <v>617</v>
      </c>
      <c r="Q123" s="17">
        <f t="shared" si="61"/>
        <v>0.24</v>
      </c>
      <c r="R123" s="9"/>
    </row>
    <row r="124" spans="1:18" s="1" customFormat="1">
      <c r="A124" s="6"/>
      <c r="B124" s="10">
        <f t="shared" si="0"/>
        <v>122</v>
      </c>
      <c r="C124" s="8" t="s">
        <v>609</v>
      </c>
      <c r="D124" s="12" t="s">
        <v>751</v>
      </c>
      <c r="E124" s="12" t="s">
        <v>752</v>
      </c>
      <c r="F124" s="12" t="s">
        <v>724</v>
      </c>
      <c r="G124" s="12" t="s">
        <v>753</v>
      </c>
      <c r="H124" s="12" t="s">
        <v>31</v>
      </c>
      <c r="I124" s="12" t="s">
        <v>23</v>
      </c>
      <c r="J124" s="12" t="s">
        <v>754</v>
      </c>
      <c r="K124" s="12" t="s">
        <v>755</v>
      </c>
      <c r="L124" s="12">
        <v>1</v>
      </c>
      <c r="M124" s="9">
        <f t="shared" si="34"/>
        <v>100</v>
      </c>
      <c r="N124" s="9" t="s">
        <v>42</v>
      </c>
      <c r="O124" s="18" t="s">
        <v>26</v>
      </c>
      <c r="P124" s="17" t="s">
        <v>756</v>
      </c>
      <c r="Q124" s="19">
        <f t="shared" ref="Q124:Q125" si="62">P124*N124</f>
        <v>0.49</v>
      </c>
      <c r="R124" s="12"/>
    </row>
    <row r="125" spans="1:18" s="1" customFormat="1">
      <c r="A125" s="6"/>
      <c r="B125" s="7">
        <f>ROW(B125)-ROW($B$2)</f>
        <v>123</v>
      </c>
      <c r="C125" s="8" t="s">
        <v>609</v>
      </c>
      <c r="D125" s="9" t="s">
        <v>757</v>
      </c>
      <c r="E125" s="9" t="s">
        <v>758</v>
      </c>
      <c r="F125" s="9" t="s">
        <v>674</v>
      </c>
      <c r="G125" s="9" t="s">
        <v>759</v>
      </c>
      <c r="H125" s="9" t="s">
        <v>31</v>
      </c>
      <c r="I125" s="12" t="s">
        <v>23</v>
      </c>
      <c r="J125" s="9" t="s">
        <v>760</v>
      </c>
      <c r="K125" s="9" t="s">
        <v>761</v>
      </c>
      <c r="L125" s="9">
        <v>1</v>
      </c>
      <c r="M125" s="9">
        <f t="shared" si="34"/>
        <v>100</v>
      </c>
      <c r="N125" s="12" t="s">
        <v>42</v>
      </c>
      <c r="O125" s="18" t="s">
        <v>26</v>
      </c>
      <c r="P125" s="19" t="s">
        <v>1239</v>
      </c>
      <c r="Q125" s="17">
        <f t="shared" si="62"/>
        <v>3.61</v>
      </c>
      <c r="R125" s="9"/>
    </row>
    <row r="126" spans="1:18" s="1" customFormat="1">
      <c r="A126" s="6"/>
      <c r="B126" s="10">
        <f t="shared" si="0"/>
        <v>124</v>
      </c>
      <c r="C126" s="8" t="s">
        <v>609</v>
      </c>
      <c r="D126" s="12" t="s">
        <v>763</v>
      </c>
      <c r="E126" s="12" t="s">
        <v>764</v>
      </c>
      <c r="F126" s="12" t="s">
        <v>674</v>
      </c>
      <c r="G126" s="12" t="s">
        <v>765</v>
      </c>
      <c r="H126" s="12" t="s">
        <v>31</v>
      </c>
      <c r="I126" s="12" t="s">
        <v>23</v>
      </c>
      <c r="J126" s="12" t="s">
        <v>766</v>
      </c>
      <c r="K126" s="12" t="s">
        <v>767</v>
      </c>
      <c r="L126" s="12">
        <v>1</v>
      </c>
      <c r="M126" s="9">
        <f t="shared" si="34"/>
        <v>100</v>
      </c>
      <c r="N126" s="9" t="s">
        <v>42</v>
      </c>
      <c r="O126" s="18" t="s">
        <v>26</v>
      </c>
      <c r="P126" s="17" t="s">
        <v>768</v>
      </c>
      <c r="Q126" s="19">
        <f t="shared" ref="Q126:Q127" si="63">P126*N126</f>
        <v>1.98</v>
      </c>
      <c r="R126" s="12"/>
    </row>
    <row r="127" spans="1:18" s="1" customFormat="1">
      <c r="A127" s="6"/>
      <c r="B127" s="7">
        <f>ROW(B127)-ROW($B$2)</f>
        <v>125</v>
      </c>
      <c r="C127" s="8" t="s">
        <v>609</v>
      </c>
      <c r="D127" s="9" t="s">
        <v>769</v>
      </c>
      <c r="E127" s="9" t="s">
        <v>770</v>
      </c>
      <c r="F127" s="9" t="s">
        <v>612</v>
      </c>
      <c r="G127" s="9" t="s">
        <v>771</v>
      </c>
      <c r="H127" s="9" t="s">
        <v>31</v>
      </c>
      <c r="I127" s="12" t="s">
        <v>23</v>
      </c>
      <c r="J127" s="9" t="s">
        <v>772</v>
      </c>
      <c r="K127" s="9" t="s">
        <v>773</v>
      </c>
      <c r="L127" s="9">
        <v>1</v>
      </c>
      <c r="M127" s="9">
        <f t="shared" si="34"/>
        <v>100</v>
      </c>
      <c r="N127" s="12" t="s">
        <v>42</v>
      </c>
      <c r="O127" s="18" t="s">
        <v>26</v>
      </c>
      <c r="P127" s="19" t="s">
        <v>1240</v>
      </c>
      <c r="Q127" s="17">
        <f t="shared" si="63"/>
        <v>5.36</v>
      </c>
      <c r="R127" s="9"/>
    </row>
    <row r="128" spans="1:18" s="1" customFormat="1" ht="24">
      <c r="A128" s="6"/>
      <c r="B128" s="10">
        <f t="shared" si="0"/>
        <v>126</v>
      </c>
      <c r="C128" s="8" t="s">
        <v>609</v>
      </c>
      <c r="D128" s="12" t="s">
        <v>775</v>
      </c>
      <c r="E128" s="12" t="s">
        <v>776</v>
      </c>
      <c r="F128" s="12" t="s">
        <v>674</v>
      </c>
      <c r="G128" s="12" t="s">
        <v>777</v>
      </c>
      <c r="H128" s="12" t="s">
        <v>31</v>
      </c>
      <c r="I128" s="12" t="s">
        <v>23</v>
      </c>
      <c r="J128" s="12" t="s">
        <v>778</v>
      </c>
      <c r="K128" s="12" t="s">
        <v>715</v>
      </c>
      <c r="L128" s="12">
        <v>10</v>
      </c>
      <c r="M128" s="9">
        <f t="shared" si="34"/>
        <v>1000</v>
      </c>
      <c r="N128" s="9" t="s">
        <v>1241</v>
      </c>
      <c r="O128" s="18" t="s">
        <v>26</v>
      </c>
      <c r="P128" s="17" t="s">
        <v>1233</v>
      </c>
      <c r="Q128" s="19">
        <f t="shared" ref="Q128:Q129" si="64">P128*N128</f>
        <v>0.5</v>
      </c>
      <c r="R128" s="12"/>
    </row>
    <row r="129" spans="1:18" s="1" customFormat="1">
      <c r="A129" s="6"/>
      <c r="B129" s="7">
        <f>ROW(B129)-ROW($B$2)</f>
        <v>127</v>
      </c>
      <c r="C129" s="8" t="s">
        <v>609</v>
      </c>
      <c r="D129" s="9" t="s">
        <v>780</v>
      </c>
      <c r="E129" s="9" t="s">
        <v>781</v>
      </c>
      <c r="F129" s="9" t="s">
        <v>724</v>
      </c>
      <c r="G129" s="9" t="s">
        <v>782</v>
      </c>
      <c r="H129" s="9" t="s">
        <v>31</v>
      </c>
      <c r="I129" s="12" t="s">
        <v>23</v>
      </c>
      <c r="J129" s="9" t="s">
        <v>783</v>
      </c>
      <c r="K129" s="9" t="s">
        <v>784</v>
      </c>
      <c r="L129" s="9">
        <v>1</v>
      </c>
      <c r="M129" s="9">
        <f t="shared" si="34"/>
        <v>100</v>
      </c>
      <c r="N129" s="12" t="s">
        <v>42</v>
      </c>
      <c r="O129" s="18" t="s">
        <v>26</v>
      </c>
      <c r="P129" s="19" t="s">
        <v>785</v>
      </c>
      <c r="Q129" s="17">
        <f t="shared" si="64"/>
        <v>0.27</v>
      </c>
      <c r="R129" s="9"/>
    </row>
    <row r="130" spans="1:18" s="1" customFormat="1">
      <c r="A130" s="6"/>
      <c r="B130" s="10">
        <f t="shared" si="0"/>
        <v>128</v>
      </c>
      <c r="C130" s="8" t="s">
        <v>609</v>
      </c>
      <c r="D130" s="12" t="s">
        <v>786</v>
      </c>
      <c r="E130" s="12" t="s">
        <v>787</v>
      </c>
      <c r="F130" s="12" t="s">
        <v>612</v>
      </c>
      <c r="G130" s="12" t="s">
        <v>788</v>
      </c>
      <c r="H130" s="12" t="s">
        <v>31</v>
      </c>
      <c r="I130" s="12" t="s">
        <v>23</v>
      </c>
      <c r="J130" s="12" t="s">
        <v>789</v>
      </c>
      <c r="K130" s="12" t="s">
        <v>790</v>
      </c>
      <c r="L130" s="12">
        <v>1</v>
      </c>
      <c r="M130" s="9">
        <f t="shared" si="34"/>
        <v>100</v>
      </c>
      <c r="N130" s="9" t="s">
        <v>42</v>
      </c>
      <c r="O130" s="18" t="s">
        <v>26</v>
      </c>
      <c r="P130" s="17" t="s">
        <v>617</v>
      </c>
      <c r="Q130" s="19">
        <f t="shared" ref="Q130:Q131" si="65">P130*N130</f>
        <v>0.12</v>
      </c>
      <c r="R130" s="12"/>
    </row>
    <row r="131" spans="1:18" s="1" customFormat="1" ht="36">
      <c r="A131" s="6"/>
      <c r="B131" s="7">
        <f>ROW(B131)-ROW($B$2)</f>
        <v>129</v>
      </c>
      <c r="C131" s="8" t="s">
        <v>609</v>
      </c>
      <c r="D131" s="9" t="s">
        <v>791</v>
      </c>
      <c r="E131" s="9" t="s">
        <v>792</v>
      </c>
      <c r="F131" s="9" t="s">
        <v>612</v>
      </c>
      <c r="G131" s="9" t="s">
        <v>793</v>
      </c>
      <c r="H131" s="9" t="s">
        <v>794</v>
      </c>
      <c r="I131" s="12" t="s">
        <v>23</v>
      </c>
      <c r="J131" s="9" t="s">
        <v>795</v>
      </c>
      <c r="K131" s="9" t="s">
        <v>761</v>
      </c>
      <c r="L131" s="9">
        <v>1</v>
      </c>
      <c r="M131" s="9">
        <f t="shared" si="34"/>
        <v>100</v>
      </c>
      <c r="N131" s="12" t="s">
        <v>42</v>
      </c>
      <c r="O131" s="18" t="s">
        <v>26</v>
      </c>
      <c r="P131" s="19" t="s">
        <v>796</v>
      </c>
      <c r="Q131" s="17">
        <f t="shared" si="65"/>
        <v>2.63</v>
      </c>
      <c r="R131" s="9"/>
    </row>
    <row r="132" spans="1:18" s="1" customFormat="1">
      <c r="A132" s="6"/>
      <c r="B132" s="10">
        <f t="shared" si="0"/>
        <v>130</v>
      </c>
      <c r="C132" s="8" t="s">
        <v>609</v>
      </c>
      <c r="D132" s="12" t="s">
        <v>797</v>
      </c>
      <c r="E132" s="12" t="s">
        <v>798</v>
      </c>
      <c r="F132" s="12" t="s">
        <v>674</v>
      </c>
      <c r="G132" s="12" t="s">
        <v>799</v>
      </c>
      <c r="H132" s="12" t="s">
        <v>31</v>
      </c>
      <c r="I132" s="12" t="s">
        <v>23</v>
      </c>
      <c r="J132" s="12" t="s">
        <v>800</v>
      </c>
      <c r="K132" s="12" t="s">
        <v>801</v>
      </c>
      <c r="L132" s="12">
        <v>1</v>
      </c>
      <c r="M132" s="9">
        <f t="shared" ref="M132:M195" si="66">L132*100</f>
        <v>100</v>
      </c>
      <c r="N132" s="9" t="s">
        <v>42</v>
      </c>
      <c r="O132" s="18" t="s">
        <v>26</v>
      </c>
      <c r="P132" s="17" t="s">
        <v>802</v>
      </c>
      <c r="Q132" s="19">
        <f t="shared" ref="Q132:Q133" si="67">P132*N132</f>
        <v>2.0099999999999998</v>
      </c>
      <c r="R132" s="12"/>
    </row>
    <row r="133" spans="1:18" s="1" customFormat="1">
      <c r="A133" s="6"/>
      <c r="B133" s="7">
        <f>ROW(B133)-ROW($B$2)</f>
        <v>131</v>
      </c>
      <c r="C133" s="8" t="s">
        <v>609</v>
      </c>
      <c r="D133" s="9" t="s">
        <v>803</v>
      </c>
      <c r="E133" s="9" t="s">
        <v>804</v>
      </c>
      <c r="F133" s="9" t="s">
        <v>805</v>
      </c>
      <c r="G133" s="9" t="s">
        <v>806</v>
      </c>
      <c r="H133" s="9" t="s">
        <v>31</v>
      </c>
      <c r="I133" s="12" t="s">
        <v>23</v>
      </c>
      <c r="J133" s="9" t="s">
        <v>807</v>
      </c>
      <c r="K133" s="9" t="s">
        <v>715</v>
      </c>
      <c r="L133" s="9">
        <v>1</v>
      </c>
      <c r="M133" s="9">
        <f t="shared" si="66"/>
        <v>100</v>
      </c>
      <c r="N133" s="12" t="s">
        <v>42</v>
      </c>
      <c r="O133" s="18" t="s">
        <v>26</v>
      </c>
      <c r="P133" s="19" t="s">
        <v>1242</v>
      </c>
      <c r="Q133" s="17">
        <f t="shared" si="67"/>
        <v>3</v>
      </c>
      <c r="R133" s="9"/>
    </row>
    <row r="134" spans="1:18" s="1" customFormat="1">
      <c r="A134" s="6"/>
      <c r="B134" s="10">
        <f t="shared" si="0"/>
        <v>132</v>
      </c>
      <c r="C134" s="8" t="s">
        <v>609</v>
      </c>
      <c r="D134" s="12" t="s">
        <v>809</v>
      </c>
      <c r="E134" s="12" t="s">
        <v>810</v>
      </c>
      <c r="F134" s="12" t="s">
        <v>674</v>
      </c>
      <c r="G134" s="12" t="s">
        <v>811</v>
      </c>
      <c r="H134" s="12" t="s">
        <v>31</v>
      </c>
      <c r="I134" s="12" t="s">
        <v>23</v>
      </c>
      <c r="J134" s="12" t="s">
        <v>812</v>
      </c>
      <c r="K134" s="12" t="s">
        <v>813</v>
      </c>
      <c r="L134" s="12">
        <v>1</v>
      </c>
      <c r="M134" s="9">
        <f t="shared" si="66"/>
        <v>100</v>
      </c>
      <c r="N134" s="9" t="s">
        <v>42</v>
      </c>
      <c r="O134" s="18" t="s">
        <v>26</v>
      </c>
      <c r="P134" s="17" t="s">
        <v>814</v>
      </c>
      <c r="Q134" s="19">
        <f t="shared" ref="Q134:Q135" si="68">P134*N134</f>
        <v>0.16</v>
      </c>
      <c r="R134" s="12"/>
    </row>
    <row r="135" spans="1:18" s="1" customFormat="1">
      <c r="A135" s="6"/>
      <c r="B135" s="7">
        <f>ROW(B135)-ROW($B$2)</f>
        <v>133</v>
      </c>
      <c r="C135" s="8" t="s">
        <v>609</v>
      </c>
      <c r="D135" s="9" t="s">
        <v>815</v>
      </c>
      <c r="E135" s="9" t="s">
        <v>816</v>
      </c>
      <c r="F135" s="9" t="s">
        <v>817</v>
      </c>
      <c r="G135" s="9" t="s">
        <v>818</v>
      </c>
      <c r="H135" s="9" t="s">
        <v>31</v>
      </c>
      <c r="I135" s="12" t="s">
        <v>23</v>
      </c>
      <c r="J135" s="9" t="s">
        <v>819</v>
      </c>
      <c r="K135" s="9" t="s">
        <v>727</v>
      </c>
      <c r="L135" s="9">
        <v>1</v>
      </c>
      <c r="M135" s="9">
        <f t="shared" si="66"/>
        <v>100</v>
      </c>
      <c r="N135" s="12" t="s">
        <v>42</v>
      </c>
      <c r="O135" s="18" t="s">
        <v>26</v>
      </c>
      <c r="P135" s="19" t="s">
        <v>820</v>
      </c>
      <c r="Q135" s="17">
        <f t="shared" si="68"/>
        <v>0.08</v>
      </c>
      <c r="R135" s="9"/>
    </row>
    <row r="136" spans="1:18" s="1" customFormat="1">
      <c r="A136" s="6"/>
      <c r="B136" s="10">
        <f t="shared" si="0"/>
        <v>134</v>
      </c>
      <c r="C136" s="8" t="s">
        <v>609</v>
      </c>
      <c r="D136" s="12" t="s">
        <v>821</v>
      </c>
      <c r="E136" s="12" t="s">
        <v>822</v>
      </c>
      <c r="F136" s="12" t="s">
        <v>674</v>
      </c>
      <c r="G136" s="12" t="s">
        <v>823</v>
      </c>
      <c r="H136" s="12" t="s">
        <v>31</v>
      </c>
      <c r="I136" s="12" t="s">
        <v>23</v>
      </c>
      <c r="J136" s="12" t="s">
        <v>824</v>
      </c>
      <c r="K136" s="12" t="s">
        <v>825</v>
      </c>
      <c r="L136" s="12">
        <v>1</v>
      </c>
      <c r="M136" s="9">
        <f t="shared" si="66"/>
        <v>100</v>
      </c>
      <c r="N136" s="9" t="s">
        <v>42</v>
      </c>
      <c r="O136" s="18" t="s">
        <v>26</v>
      </c>
      <c r="P136" s="17" t="s">
        <v>677</v>
      </c>
      <c r="Q136" s="19">
        <f t="shared" ref="Q136:Q137" si="69">P136*N136</f>
        <v>7.0000000000000007E-2</v>
      </c>
      <c r="R136" s="12"/>
    </row>
    <row r="137" spans="1:18" s="1" customFormat="1">
      <c r="A137" s="6"/>
      <c r="B137" s="7">
        <f>ROW(B137)-ROW($B$2)</f>
        <v>135</v>
      </c>
      <c r="C137" s="8" t="s">
        <v>609</v>
      </c>
      <c r="D137" s="9" t="s">
        <v>826</v>
      </c>
      <c r="E137" s="9" t="s">
        <v>827</v>
      </c>
      <c r="F137" s="9" t="s">
        <v>828</v>
      </c>
      <c r="G137" s="9" t="s">
        <v>829</v>
      </c>
      <c r="H137" s="9" t="s">
        <v>31</v>
      </c>
      <c r="I137" s="12" t="s">
        <v>23</v>
      </c>
      <c r="J137" s="9" t="s">
        <v>830</v>
      </c>
      <c r="K137" s="9" t="s">
        <v>732</v>
      </c>
      <c r="L137" s="9">
        <v>1</v>
      </c>
      <c r="M137" s="9">
        <f t="shared" si="66"/>
        <v>100</v>
      </c>
      <c r="N137" s="12" t="s">
        <v>42</v>
      </c>
      <c r="O137" s="18" t="s">
        <v>26</v>
      </c>
      <c r="P137" s="19" t="s">
        <v>1243</v>
      </c>
      <c r="Q137" s="17">
        <f t="shared" si="69"/>
        <v>1.1599999999999999</v>
      </c>
      <c r="R137" s="9"/>
    </row>
    <row r="138" spans="1:18" s="1" customFormat="1">
      <c r="A138" s="6"/>
      <c r="B138" s="10">
        <f t="shared" si="0"/>
        <v>136</v>
      </c>
      <c r="C138" s="8" t="s">
        <v>609</v>
      </c>
      <c r="D138" s="12" t="s">
        <v>832</v>
      </c>
      <c r="E138" s="12" t="s">
        <v>833</v>
      </c>
      <c r="F138" s="12" t="s">
        <v>612</v>
      </c>
      <c r="G138" s="12" t="s">
        <v>834</v>
      </c>
      <c r="H138" s="12" t="s">
        <v>31</v>
      </c>
      <c r="I138" s="12" t="s">
        <v>23</v>
      </c>
      <c r="J138" s="12" t="s">
        <v>835</v>
      </c>
      <c r="K138" s="12" t="s">
        <v>836</v>
      </c>
      <c r="L138" s="12">
        <v>1</v>
      </c>
      <c r="M138" s="9">
        <f t="shared" si="66"/>
        <v>100</v>
      </c>
      <c r="N138" s="9" t="s">
        <v>42</v>
      </c>
      <c r="O138" s="18" t="s">
        <v>26</v>
      </c>
      <c r="P138" s="17" t="s">
        <v>837</v>
      </c>
      <c r="Q138" s="19">
        <f t="shared" ref="Q138:Q139" si="70">P138*N138</f>
        <v>2.48</v>
      </c>
      <c r="R138" s="12"/>
    </row>
    <row r="139" spans="1:18" s="1" customFormat="1">
      <c r="A139" s="6"/>
      <c r="B139" s="7">
        <f>ROW(B139)-ROW($B$2)</f>
        <v>137</v>
      </c>
      <c r="C139" s="8" t="s">
        <v>609</v>
      </c>
      <c r="D139" s="9" t="s">
        <v>838</v>
      </c>
      <c r="E139" s="9" t="s">
        <v>839</v>
      </c>
      <c r="F139" s="9" t="s">
        <v>612</v>
      </c>
      <c r="G139" s="9" t="s">
        <v>840</v>
      </c>
      <c r="H139" s="9" t="s">
        <v>31</v>
      </c>
      <c r="I139" s="12" t="s">
        <v>23</v>
      </c>
      <c r="J139" s="9" t="s">
        <v>841</v>
      </c>
      <c r="K139" s="9" t="s">
        <v>842</v>
      </c>
      <c r="L139" s="9">
        <v>2</v>
      </c>
      <c r="M139" s="9">
        <f t="shared" si="66"/>
        <v>200</v>
      </c>
      <c r="N139" s="12" t="s">
        <v>1169</v>
      </c>
      <c r="O139" s="18" t="s">
        <v>26</v>
      </c>
      <c r="P139" s="19" t="s">
        <v>617</v>
      </c>
      <c r="Q139" s="17">
        <f t="shared" si="70"/>
        <v>0.24</v>
      </c>
      <c r="R139" s="9"/>
    </row>
    <row r="140" spans="1:18" s="1" customFormat="1" ht="36">
      <c r="A140" s="6"/>
      <c r="B140" s="10">
        <f t="shared" si="0"/>
        <v>138</v>
      </c>
      <c r="C140" s="8" t="s">
        <v>609</v>
      </c>
      <c r="D140" s="12" t="s">
        <v>843</v>
      </c>
      <c r="E140" s="12" t="s">
        <v>844</v>
      </c>
      <c r="F140" s="12" t="s">
        <v>674</v>
      </c>
      <c r="G140" s="12" t="s">
        <v>845</v>
      </c>
      <c r="H140" s="12" t="s">
        <v>31</v>
      </c>
      <c r="I140" s="12" t="s">
        <v>23</v>
      </c>
      <c r="J140" s="12" t="s">
        <v>846</v>
      </c>
      <c r="K140" s="12" t="s">
        <v>683</v>
      </c>
      <c r="L140" s="12">
        <v>13</v>
      </c>
      <c r="M140" s="9">
        <f t="shared" si="66"/>
        <v>1300</v>
      </c>
      <c r="N140" s="9" t="s">
        <v>1244</v>
      </c>
      <c r="O140" s="18" t="s">
        <v>26</v>
      </c>
      <c r="P140" s="17" t="s">
        <v>1245</v>
      </c>
      <c r="Q140" s="19">
        <f t="shared" ref="Q140:Q141" si="71">P140*N140</f>
        <v>0.52</v>
      </c>
      <c r="R140" s="12"/>
    </row>
    <row r="141" spans="1:18" s="1" customFormat="1">
      <c r="A141" s="6"/>
      <c r="B141" s="7">
        <f>ROW(B141)-ROW($B$2)</f>
        <v>139</v>
      </c>
      <c r="C141" s="8" t="s">
        <v>609</v>
      </c>
      <c r="D141" s="9" t="s">
        <v>847</v>
      </c>
      <c r="E141" s="9" t="s">
        <v>848</v>
      </c>
      <c r="F141" s="9" t="s">
        <v>612</v>
      </c>
      <c r="G141" s="9" t="s">
        <v>849</v>
      </c>
      <c r="H141" s="9" t="s">
        <v>850</v>
      </c>
      <c r="I141" s="12" t="s">
        <v>23</v>
      </c>
      <c r="J141" s="9" t="s">
        <v>851</v>
      </c>
      <c r="K141" s="9" t="s">
        <v>665</v>
      </c>
      <c r="L141" s="9">
        <v>1</v>
      </c>
      <c r="M141" s="9">
        <f t="shared" si="66"/>
        <v>100</v>
      </c>
      <c r="N141" s="12" t="s">
        <v>42</v>
      </c>
      <c r="O141" s="18" t="s">
        <v>26</v>
      </c>
      <c r="P141" s="19" t="s">
        <v>617</v>
      </c>
      <c r="Q141" s="17">
        <f t="shared" si="71"/>
        <v>0.12</v>
      </c>
      <c r="R141" s="9"/>
    </row>
    <row r="142" spans="1:18" s="1" customFormat="1">
      <c r="A142" s="6"/>
      <c r="B142" s="10">
        <f t="shared" si="0"/>
        <v>140</v>
      </c>
      <c r="C142" s="8" t="s">
        <v>609</v>
      </c>
      <c r="D142" s="12" t="s">
        <v>852</v>
      </c>
      <c r="E142" s="12" t="s">
        <v>853</v>
      </c>
      <c r="F142" s="12" t="s">
        <v>612</v>
      </c>
      <c r="G142" s="12" t="s">
        <v>854</v>
      </c>
      <c r="H142" s="12" t="s">
        <v>855</v>
      </c>
      <c r="I142" s="12" t="s">
        <v>23</v>
      </c>
      <c r="J142" s="9" t="s">
        <v>856</v>
      </c>
      <c r="K142" s="12" t="s">
        <v>857</v>
      </c>
      <c r="L142" s="12">
        <v>2</v>
      </c>
      <c r="M142" s="9">
        <f t="shared" si="66"/>
        <v>200</v>
      </c>
      <c r="N142" s="9" t="s">
        <v>1169</v>
      </c>
      <c r="O142" s="18" t="s">
        <v>26</v>
      </c>
      <c r="P142" s="17" t="s">
        <v>1246</v>
      </c>
      <c r="Q142" s="19">
        <f t="shared" ref="Q142:Q143" si="72">P142*N142</f>
        <v>0.28000000000000003</v>
      </c>
      <c r="R142" s="12"/>
    </row>
    <row r="143" spans="1:18" s="1" customFormat="1">
      <c r="A143" s="6"/>
      <c r="B143" s="7">
        <f>ROW(B143)-ROW($B$2)</f>
        <v>141</v>
      </c>
      <c r="C143" s="8" t="s">
        <v>609</v>
      </c>
      <c r="D143" s="9" t="s">
        <v>859</v>
      </c>
      <c r="E143" s="9" t="s">
        <v>860</v>
      </c>
      <c r="F143" s="9" t="s">
        <v>674</v>
      </c>
      <c r="G143" s="9" t="s">
        <v>861</v>
      </c>
      <c r="H143" s="9" t="s">
        <v>31</v>
      </c>
      <c r="I143" s="12" t="s">
        <v>23</v>
      </c>
      <c r="J143" s="9" t="s">
        <v>862</v>
      </c>
      <c r="K143" s="9" t="s">
        <v>732</v>
      </c>
      <c r="L143" s="9">
        <v>2</v>
      </c>
      <c r="M143" s="9">
        <f t="shared" si="66"/>
        <v>200</v>
      </c>
      <c r="N143" s="12" t="s">
        <v>1169</v>
      </c>
      <c r="O143" s="18" t="s">
        <v>26</v>
      </c>
      <c r="P143" s="19" t="s">
        <v>779</v>
      </c>
      <c r="Q143" s="17">
        <f t="shared" si="72"/>
        <v>0.12</v>
      </c>
      <c r="R143" s="9"/>
    </row>
    <row r="144" spans="1:18" s="1" customFormat="1" ht="24">
      <c r="A144" s="6"/>
      <c r="B144" s="10">
        <f t="shared" si="0"/>
        <v>142</v>
      </c>
      <c r="C144" s="8" t="s">
        <v>609</v>
      </c>
      <c r="D144" s="23" t="s">
        <v>863</v>
      </c>
      <c r="E144" s="23" t="s">
        <v>864</v>
      </c>
      <c r="F144" s="23" t="s">
        <v>828</v>
      </c>
      <c r="G144" s="23" t="s">
        <v>865</v>
      </c>
      <c r="H144" s="23" t="s">
        <v>31</v>
      </c>
      <c r="I144" s="12" t="s">
        <v>23</v>
      </c>
      <c r="J144" s="23"/>
      <c r="K144" s="23" t="s">
        <v>709</v>
      </c>
      <c r="L144" s="23">
        <v>1</v>
      </c>
      <c r="M144" s="9">
        <f t="shared" si="66"/>
        <v>100</v>
      </c>
      <c r="N144" s="13" t="s">
        <v>42</v>
      </c>
      <c r="O144" s="25" t="s">
        <v>26</v>
      </c>
      <c r="P144" s="24" t="s">
        <v>23</v>
      </c>
      <c r="Q144" s="26" t="s">
        <v>23</v>
      </c>
      <c r="R144" s="27" t="s">
        <v>550</v>
      </c>
    </row>
    <row r="145" spans="1:18" s="1" customFormat="1" ht="36">
      <c r="A145" s="6"/>
      <c r="B145" s="7">
        <f>ROW(B145)-ROW($B$2)</f>
        <v>143</v>
      </c>
      <c r="C145" s="8" t="s">
        <v>609</v>
      </c>
      <c r="D145" s="9" t="s">
        <v>866</v>
      </c>
      <c r="E145" s="9" t="s">
        <v>867</v>
      </c>
      <c r="F145" s="9" t="s">
        <v>868</v>
      </c>
      <c r="G145" s="9" t="s">
        <v>869</v>
      </c>
      <c r="H145" s="9" t="s">
        <v>870</v>
      </c>
      <c r="I145" s="12" t="s">
        <v>23</v>
      </c>
      <c r="J145" s="9" t="s">
        <v>871</v>
      </c>
      <c r="K145" s="9" t="s">
        <v>872</v>
      </c>
      <c r="L145" s="9">
        <v>1</v>
      </c>
      <c r="M145" s="9">
        <f t="shared" si="66"/>
        <v>100</v>
      </c>
      <c r="N145" s="12" t="s">
        <v>42</v>
      </c>
      <c r="O145" s="18" t="s">
        <v>26</v>
      </c>
      <c r="P145" s="19" t="s">
        <v>1247</v>
      </c>
      <c r="Q145" s="17">
        <f>P145*N145</f>
        <v>4.55</v>
      </c>
      <c r="R145" s="9"/>
    </row>
    <row r="146" spans="1:18" s="1" customFormat="1">
      <c r="A146" s="6"/>
      <c r="B146" s="10">
        <f t="shared" si="0"/>
        <v>144</v>
      </c>
      <c r="C146" s="8" t="s">
        <v>609</v>
      </c>
      <c r="D146" s="12" t="s">
        <v>874</v>
      </c>
      <c r="E146" s="12" t="s">
        <v>864</v>
      </c>
      <c r="F146" s="12" t="s">
        <v>828</v>
      </c>
      <c r="G146" s="12" t="s">
        <v>865</v>
      </c>
      <c r="H146" s="12" t="s">
        <v>31</v>
      </c>
      <c r="I146" s="12" t="s">
        <v>23</v>
      </c>
      <c r="J146" s="9" t="s">
        <v>875</v>
      </c>
      <c r="K146" s="12" t="s">
        <v>715</v>
      </c>
      <c r="L146" s="12">
        <v>1</v>
      </c>
      <c r="M146" s="9">
        <f t="shared" si="66"/>
        <v>100</v>
      </c>
      <c r="N146" s="9" t="s">
        <v>42</v>
      </c>
      <c r="O146" s="18" t="s">
        <v>26</v>
      </c>
      <c r="P146" s="17" t="s">
        <v>55</v>
      </c>
      <c r="Q146" s="19">
        <f t="shared" ref="Q146:Q147" si="73">P146*N146</f>
        <v>0.31</v>
      </c>
      <c r="R146" s="12"/>
    </row>
    <row r="147" spans="1:18" s="1" customFormat="1">
      <c r="A147" s="6"/>
      <c r="B147" s="7">
        <f>ROW(B147)-ROW($B$2)</f>
        <v>145</v>
      </c>
      <c r="C147" s="8" t="s">
        <v>609</v>
      </c>
      <c r="D147" s="9" t="s">
        <v>876</v>
      </c>
      <c r="E147" s="9" t="s">
        <v>877</v>
      </c>
      <c r="F147" s="9" t="s">
        <v>612</v>
      </c>
      <c r="G147" s="9" t="s">
        <v>878</v>
      </c>
      <c r="H147" s="9" t="s">
        <v>31</v>
      </c>
      <c r="I147" s="12" t="s">
        <v>23</v>
      </c>
      <c r="J147" s="9" t="s">
        <v>879</v>
      </c>
      <c r="K147" s="9" t="s">
        <v>744</v>
      </c>
      <c r="L147" s="9">
        <v>1</v>
      </c>
      <c r="M147" s="9">
        <f t="shared" si="66"/>
        <v>100</v>
      </c>
      <c r="N147" s="12" t="s">
        <v>42</v>
      </c>
      <c r="O147" s="18" t="s">
        <v>26</v>
      </c>
      <c r="P147" s="19" t="s">
        <v>101</v>
      </c>
      <c r="Q147" s="17">
        <f t="shared" si="73"/>
        <v>0.1</v>
      </c>
      <c r="R147" s="9"/>
    </row>
    <row r="148" spans="1:18" s="1" customFormat="1">
      <c r="A148" s="6"/>
      <c r="B148" s="10">
        <f t="shared" si="0"/>
        <v>146</v>
      </c>
      <c r="C148" s="8" t="s">
        <v>609</v>
      </c>
      <c r="D148" s="12" t="s">
        <v>880</v>
      </c>
      <c r="E148" s="12" t="s">
        <v>881</v>
      </c>
      <c r="F148" s="12" t="s">
        <v>612</v>
      </c>
      <c r="G148" s="12" t="s">
        <v>882</v>
      </c>
      <c r="H148" s="12" t="s">
        <v>31</v>
      </c>
      <c r="I148" s="12" t="s">
        <v>23</v>
      </c>
      <c r="J148" s="12" t="s">
        <v>883</v>
      </c>
      <c r="K148" s="12" t="s">
        <v>683</v>
      </c>
      <c r="L148" s="12">
        <v>2</v>
      </c>
      <c r="M148" s="9">
        <f t="shared" si="66"/>
        <v>200</v>
      </c>
      <c r="N148" s="12" t="s">
        <v>1169</v>
      </c>
      <c r="O148" s="18" t="s">
        <v>26</v>
      </c>
      <c r="P148" s="19" t="s">
        <v>1248</v>
      </c>
      <c r="Q148" s="19">
        <f t="shared" ref="Q148:Q149" si="74">P148*N148</f>
        <v>3.12</v>
      </c>
      <c r="R148" s="12"/>
    </row>
    <row r="149" spans="1:18" s="1" customFormat="1">
      <c r="A149" s="6"/>
      <c r="B149" s="7">
        <f>ROW(B149)-ROW($B$2)</f>
        <v>147</v>
      </c>
      <c r="C149" s="8" t="s">
        <v>609</v>
      </c>
      <c r="D149" s="9" t="s">
        <v>884</v>
      </c>
      <c r="E149" s="9" t="s">
        <v>885</v>
      </c>
      <c r="F149" s="9" t="s">
        <v>612</v>
      </c>
      <c r="G149" s="9" t="s">
        <v>886</v>
      </c>
      <c r="H149" s="9" t="s">
        <v>31</v>
      </c>
      <c r="I149" s="12" t="s">
        <v>23</v>
      </c>
      <c r="J149" s="9" t="s">
        <v>887</v>
      </c>
      <c r="K149" s="9" t="s">
        <v>888</v>
      </c>
      <c r="L149" s="9">
        <v>2</v>
      </c>
      <c r="M149" s="9">
        <f t="shared" si="66"/>
        <v>200</v>
      </c>
      <c r="N149" s="9" t="s">
        <v>1169</v>
      </c>
      <c r="O149" s="18" t="s">
        <v>26</v>
      </c>
      <c r="P149" s="17" t="s">
        <v>1249</v>
      </c>
      <c r="Q149" s="17">
        <f t="shared" si="74"/>
        <v>3.88</v>
      </c>
      <c r="R149" s="9"/>
    </row>
    <row r="150" spans="1:18" s="1" customFormat="1">
      <c r="A150" s="6"/>
      <c r="B150" s="10">
        <f t="shared" si="0"/>
        <v>148</v>
      </c>
      <c r="C150" s="8" t="s">
        <v>609</v>
      </c>
      <c r="D150" s="12" t="s">
        <v>889</v>
      </c>
      <c r="E150" s="12" t="s">
        <v>890</v>
      </c>
      <c r="F150" s="12" t="s">
        <v>817</v>
      </c>
      <c r="G150" s="12" t="s">
        <v>891</v>
      </c>
      <c r="H150" s="12" t="s">
        <v>31</v>
      </c>
      <c r="I150" s="12" t="s">
        <v>23</v>
      </c>
      <c r="J150" s="12" t="s">
        <v>892</v>
      </c>
      <c r="K150" s="12" t="s">
        <v>842</v>
      </c>
      <c r="L150" s="12">
        <v>1</v>
      </c>
      <c r="M150" s="9">
        <f t="shared" si="66"/>
        <v>100</v>
      </c>
      <c r="N150" s="12" t="s">
        <v>42</v>
      </c>
      <c r="O150" s="20" t="s">
        <v>26</v>
      </c>
      <c r="P150" s="19" t="s">
        <v>820</v>
      </c>
      <c r="Q150" s="19">
        <f t="shared" ref="Q150" si="75">P150*N150</f>
        <v>0.08</v>
      </c>
      <c r="R150" s="12"/>
    </row>
    <row r="151" spans="1:18" s="1" customFormat="1" ht="24">
      <c r="A151" s="6"/>
      <c r="B151" s="7">
        <f>ROW(B151)-ROW($B$2)</f>
        <v>149</v>
      </c>
      <c r="C151" s="8" t="s">
        <v>609</v>
      </c>
      <c r="D151" s="13" t="s">
        <v>893</v>
      </c>
      <c r="E151" s="13" t="s">
        <v>881</v>
      </c>
      <c r="F151" s="13" t="s">
        <v>612</v>
      </c>
      <c r="G151" s="13" t="s">
        <v>882</v>
      </c>
      <c r="H151" s="13" t="s">
        <v>31</v>
      </c>
      <c r="I151" s="12" t="s">
        <v>23</v>
      </c>
      <c r="J151" s="13" t="s">
        <v>883</v>
      </c>
      <c r="K151" s="13" t="s">
        <v>709</v>
      </c>
      <c r="L151" s="13">
        <v>2</v>
      </c>
      <c r="M151" s="9">
        <f t="shared" si="66"/>
        <v>200</v>
      </c>
      <c r="N151" s="13" t="s">
        <v>1169</v>
      </c>
      <c r="O151" s="13" t="s">
        <v>23</v>
      </c>
      <c r="P151" s="24" t="s">
        <v>23</v>
      </c>
      <c r="Q151" s="24" t="s">
        <v>23</v>
      </c>
      <c r="R151" s="27" t="s">
        <v>550</v>
      </c>
    </row>
    <row r="152" spans="1:18" s="1" customFormat="1" ht="36">
      <c r="A152" s="6"/>
      <c r="B152" s="10">
        <f t="shared" si="0"/>
        <v>150</v>
      </c>
      <c r="C152" s="8" t="s">
        <v>609</v>
      </c>
      <c r="D152" s="12" t="s">
        <v>894</v>
      </c>
      <c r="E152" s="12" t="s">
        <v>895</v>
      </c>
      <c r="F152" s="12" t="s">
        <v>868</v>
      </c>
      <c r="G152" s="12" t="s">
        <v>896</v>
      </c>
      <c r="H152" s="12" t="s">
        <v>897</v>
      </c>
      <c r="I152" s="12" t="s">
        <v>23</v>
      </c>
      <c r="J152" s="12" t="s">
        <v>898</v>
      </c>
      <c r="K152" s="12" t="s">
        <v>715</v>
      </c>
      <c r="L152" s="12">
        <v>1</v>
      </c>
      <c r="M152" s="9">
        <f t="shared" si="66"/>
        <v>100</v>
      </c>
      <c r="N152" s="12" t="s">
        <v>42</v>
      </c>
      <c r="O152" s="20" t="s">
        <v>26</v>
      </c>
      <c r="P152" s="19" t="s">
        <v>1250</v>
      </c>
      <c r="Q152" s="19">
        <f t="shared" ref="Q152:Q153" si="76">P152*N152</f>
        <v>1.9</v>
      </c>
      <c r="R152" s="12"/>
    </row>
    <row r="153" spans="1:18" s="1" customFormat="1">
      <c r="A153" s="6"/>
      <c r="B153" s="7">
        <f>ROW(B153)-ROW($B$2)</f>
        <v>151</v>
      </c>
      <c r="C153" s="8" t="s">
        <v>609</v>
      </c>
      <c r="D153" s="9" t="s">
        <v>899</v>
      </c>
      <c r="E153" s="9" t="s">
        <v>679</v>
      </c>
      <c r="F153" s="9" t="s">
        <v>612</v>
      </c>
      <c r="G153" s="9" t="s">
        <v>680</v>
      </c>
      <c r="H153" s="9" t="s">
        <v>900</v>
      </c>
      <c r="I153" s="12" t="s">
        <v>23</v>
      </c>
      <c r="J153" s="9" t="s">
        <v>682</v>
      </c>
      <c r="K153" s="9" t="s">
        <v>683</v>
      </c>
      <c r="L153" s="9">
        <v>1</v>
      </c>
      <c r="M153" s="9">
        <f t="shared" si="66"/>
        <v>100</v>
      </c>
      <c r="N153" s="9" t="s">
        <v>42</v>
      </c>
      <c r="O153" s="18" t="s">
        <v>26</v>
      </c>
      <c r="P153" s="17" t="s">
        <v>1251</v>
      </c>
      <c r="Q153" s="17">
        <f t="shared" si="76"/>
        <v>2.82</v>
      </c>
      <c r="R153" s="9"/>
    </row>
    <row r="154" spans="1:18" s="1" customFormat="1">
      <c r="A154" s="6"/>
      <c r="B154" s="10">
        <f t="shared" si="0"/>
        <v>152</v>
      </c>
      <c r="C154" s="8" t="s">
        <v>609</v>
      </c>
      <c r="D154" s="12" t="s">
        <v>901</v>
      </c>
      <c r="E154" s="12" t="s">
        <v>902</v>
      </c>
      <c r="F154" s="12" t="s">
        <v>817</v>
      </c>
      <c r="G154" s="12" t="s">
        <v>903</v>
      </c>
      <c r="H154" s="12" t="s">
        <v>31</v>
      </c>
      <c r="I154" s="12" t="s">
        <v>23</v>
      </c>
      <c r="J154" s="12" t="s">
        <v>904</v>
      </c>
      <c r="K154" s="12" t="s">
        <v>683</v>
      </c>
      <c r="L154" s="12">
        <v>5</v>
      </c>
      <c r="M154" s="9">
        <f t="shared" si="66"/>
        <v>500</v>
      </c>
      <c r="N154" s="12" t="s">
        <v>1176</v>
      </c>
      <c r="O154" s="20" t="s">
        <v>26</v>
      </c>
      <c r="P154" s="19" t="s">
        <v>1252</v>
      </c>
      <c r="Q154" s="19">
        <f t="shared" ref="Q154:Q155" si="77">P154*N154</f>
        <v>0.45</v>
      </c>
      <c r="R154" s="12"/>
    </row>
    <row r="155" spans="1:18" s="1" customFormat="1">
      <c r="A155" s="6"/>
      <c r="B155" s="7">
        <f>ROW(B155)-ROW($B$2)</f>
        <v>153</v>
      </c>
      <c r="C155" s="8" t="s">
        <v>609</v>
      </c>
      <c r="D155" s="9" t="s">
        <v>905</v>
      </c>
      <c r="E155" s="9" t="s">
        <v>906</v>
      </c>
      <c r="F155" s="9" t="s">
        <v>612</v>
      </c>
      <c r="G155" s="9" t="s">
        <v>907</v>
      </c>
      <c r="H155" s="9" t="s">
        <v>31</v>
      </c>
      <c r="I155" s="12" t="s">
        <v>23</v>
      </c>
      <c r="J155" s="9" t="s">
        <v>908</v>
      </c>
      <c r="K155" s="9" t="s">
        <v>909</v>
      </c>
      <c r="L155" s="9">
        <v>2</v>
      </c>
      <c r="M155" s="9">
        <f t="shared" si="66"/>
        <v>200</v>
      </c>
      <c r="N155" s="9" t="s">
        <v>1169</v>
      </c>
      <c r="O155" s="16" t="s">
        <v>26</v>
      </c>
      <c r="P155" s="17" t="s">
        <v>617</v>
      </c>
      <c r="Q155" s="17">
        <f t="shared" si="77"/>
        <v>0.24</v>
      </c>
      <c r="R155" s="9"/>
    </row>
    <row r="156" spans="1:18" s="1" customFormat="1">
      <c r="A156" s="6"/>
      <c r="B156" s="10">
        <f t="shared" si="0"/>
        <v>154</v>
      </c>
      <c r="C156" s="8" t="s">
        <v>609</v>
      </c>
      <c r="D156" s="12" t="s">
        <v>910</v>
      </c>
      <c r="E156" s="12" t="s">
        <v>911</v>
      </c>
      <c r="F156" s="12" t="s">
        <v>612</v>
      </c>
      <c r="G156" s="12" t="s">
        <v>912</v>
      </c>
      <c r="H156" s="12" t="s">
        <v>855</v>
      </c>
      <c r="I156" s="12" t="s">
        <v>23</v>
      </c>
      <c r="J156" s="12" t="s">
        <v>913</v>
      </c>
      <c r="K156" s="12" t="s">
        <v>914</v>
      </c>
      <c r="L156" s="12">
        <v>1</v>
      </c>
      <c r="M156" s="9">
        <f t="shared" si="66"/>
        <v>100</v>
      </c>
      <c r="N156" s="12" t="s">
        <v>42</v>
      </c>
      <c r="O156" s="20" t="s">
        <v>26</v>
      </c>
      <c r="P156" s="19" t="s">
        <v>1253</v>
      </c>
      <c r="Q156" s="19">
        <f t="shared" ref="Q156:Q157" si="78">P156*N156</f>
        <v>0.48</v>
      </c>
      <c r="R156" s="12"/>
    </row>
    <row r="157" spans="1:18" s="1" customFormat="1">
      <c r="A157" s="6"/>
      <c r="B157" s="7">
        <f>ROW(B157)-ROW($B$2)</f>
        <v>155</v>
      </c>
      <c r="C157" s="8" t="s">
        <v>609</v>
      </c>
      <c r="D157" s="9" t="s">
        <v>915</v>
      </c>
      <c r="E157" s="9" t="s">
        <v>916</v>
      </c>
      <c r="F157" s="9" t="s">
        <v>612</v>
      </c>
      <c r="G157" s="9" t="s">
        <v>917</v>
      </c>
      <c r="H157" s="9" t="s">
        <v>31</v>
      </c>
      <c r="I157" s="12" t="s">
        <v>23</v>
      </c>
      <c r="J157" s="9" t="s">
        <v>918</v>
      </c>
      <c r="K157" s="9" t="s">
        <v>919</v>
      </c>
      <c r="L157" s="9">
        <v>1</v>
      </c>
      <c r="M157" s="9">
        <f t="shared" si="66"/>
        <v>100</v>
      </c>
      <c r="N157" s="9" t="s">
        <v>42</v>
      </c>
      <c r="O157" s="16" t="s">
        <v>26</v>
      </c>
      <c r="P157" s="17" t="s">
        <v>677</v>
      </c>
      <c r="Q157" s="17">
        <f t="shared" si="78"/>
        <v>7.0000000000000007E-2</v>
      </c>
      <c r="R157" s="9"/>
    </row>
    <row r="158" spans="1:18" s="1" customFormat="1">
      <c r="A158" s="6"/>
      <c r="B158" s="10">
        <f t="shared" si="0"/>
        <v>156</v>
      </c>
      <c r="C158" s="8" t="s">
        <v>609</v>
      </c>
      <c r="D158" s="12" t="s">
        <v>920</v>
      </c>
      <c r="E158" s="12" t="s">
        <v>921</v>
      </c>
      <c r="F158" s="12" t="s">
        <v>612</v>
      </c>
      <c r="G158" s="12" t="s">
        <v>922</v>
      </c>
      <c r="H158" s="12" t="s">
        <v>31</v>
      </c>
      <c r="I158" s="12" t="s">
        <v>23</v>
      </c>
      <c r="J158" s="12" t="s">
        <v>923</v>
      </c>
      <c r="K158" s="12" t="s">
        <v>761</v>
      </c>
      <c r="L158" s="12">
        <v>1</v>
      </c>
      <c r="M158" s="9">
        <f t="shared" si="66"/>
        <v>100</v>
      </c>
      <c r="N158" s="12" t="s">
        <v>42</v>
      </c>
      <c r="O158" s="20" t="s">
        <v>26</v>
      </c>
      <c r="P158" s="19" t="s">
        <v>617</v>
      </c>
      <c r="Q158" s="19">
        <f t="shared" ref="Q158:Q159" si="79">P158*N158</f>
        <v>0.12</v>
      </c>
      <c r="R158" s="12"/>
    </row>
    <row r="159" spans="1:18" s="1" customFormat="1">
      <c r="A159" s="6"/>
      <c r="B159" s="7">
        <f>ROW(B159)-ROW($B$2)</f>
        <v>157</v>
      </c>
      <c r="C159" s="8" t="s">
        <v>609</v>
      </c>
      <c r="D159" s="9" t="s">
        <v>924</v>
      </c>
      <c r="E159" s="9" t="s">
        <v>925</v>
      </c>
      <c r="F159" s="9" t="s">
        <v>612</v>
      </c>
      <c r="G159" s="9" t="s">
        <v>926</v>
      </c>
      <c r="H159" s="9" t="s">
        <v>855</v>
      </c>
      <c r="I159" s="12" t="s">
        <v>23</v>
      </c>
      <c r="J159" s="9" t="s">
        <v>927</v>
      </c>
      <c r="K159" s="9" t="s">
        <v>928</v>
      </c>
      <c r="L159" s="9">
        <v>1</v>
      </c>
      <c r="M159" s="9">
        <f t="shared" si="66"/>
        <v>100</v>
      </c>
      <c r="N159" s="9" t="s">
        <v>42</v>
      </c>
      <c r="O159" s="16" t="s">
        <v>26</v>
      </c>
      <c r="P159" s="17" t="s">
        <v>1254</v>
      </c>
      <c r="Q159" s="17">
        <f t="shared" si="79"/>
        <v>0.38</v>
      </c>
      <c r="R159" s="9"/>
    </row>
    <row r="160" spans="1:18" s="1" customFormat="1">
      <c r="A160" s="6"/>
      <c r="B160" s="10">
        <f t="shared" si="0"/>
        <v>158</v>
      </c>
      <c r="C160" s="8" t="s">
        <v>609</v>
      </c>
      <c r="D160" s="12" t="s">
        <v>929</v>
      </c>
      <c r="E160" s="12" t="s">
        <v>930</v>
      </c>
      <c r="F160" s="12" t="s">
        <v>612</v>
      </c>
      <c r="G160" s="12" t="s">
        <v>931</v>
      </c>
      <c r="H160" s="12" t="s">
        <v>31</v>
      </c>
      <c r="I160" s="12" t="s">
        <v>23</v>
      </c>
      <c r="J160" s="12" t="s">
        <v>932</v>
      </c>
      <c r="K160" s="12" t="s">
        <v>727</v>
      </c>
      <c r="L160" s="12">
        <v>4</v>
      </c>
      <c r="M160" s="9">
        <f t="shared" si="66"/>
        <v>400</v>
      </c>
      <c r="N160" s="12" t="s">
        <v>1172</v>
      </c>
      <c r="O160" s="20" t="s">
        <v>26</v>
      </c>
      <c r="P160" s="19" t="s">
        <v>1255</v>
      </c>
      <c r="Q160" s="19">
        <f t="shared" ref="Q160:Q161" si="80">P160*N160</f>
        <v>6.36</v>
      </c>
      <c r="R160" s="12"/>
    </row>
    <row r="161" spans="1:18" s="1" customFormat="1">
      <c r="A161" s="6"/>
      <c r="B161" s="7">
        <f>ROW(B161)-ROW($B$2)</f>
        <v>159</v>
      </c>
      <c r="C161" s="8" t="s">
        <v>609</v>
      </c>
      <c r="D161" s="9" t="s">
        <v>933</v>
      </c>
      <c r="E161" s="9" t="s">
        <v>934</v>
      </c>
      <c r="F161" s="9" t="s">
        <v>612</v>
      </c>
      <c r="G161" s="9" t="s">
        <v>935</v>
      </c>
      <c r="H161" s="9" t="s">
        <v>31</v>
      </c>
      <c r="I161" s="12" t="s">
        <v>23</v>
      </c>
      <c r="J161" s="9" t="s">
        <v>936</v>
      </c>
      <c r="K161" s="9" t="s">
        <v>937</v>
      </c>
      <c r="L161" s="9">
        <v>1</v>
      </c>
      <c r="M161" s="9">
        <f t="shared" si="66"/>
        <v>100</v>
      </c>
      <c r="N161" s="9" t="s">
        <v>42</v>
      </c>
      <c r="O161" s="16" t="s">
        <v>26</v>
      </c>
      <c r="P161" s="17" t="s">
        <v>1256</v>
      </c>
      <c r="Q161" s="17">
        <f t="shared" si="80"/>
        <v>11.33</v>
      </c>
      <c r="R161" s="9"/>
    </row>
    <row r="162" spans="1:18" s="1" customFormat="1">
      <c r="A162" s="6"/>
      <c r="B162" s="10">
        <f t="shared" si="0"/>
        <v>160</v>
      </c>
      <c r="C162" s="8" t="s">
        <v>609</v>
      </c>
      <c r="D162" s="12" t="s">
        <v>938</v>
      </c>
      <c r="E162" s="12" t="s">
        <v>939</v>
      </c>
      <c r="F162" s="12" t="s">
        <v>674</v>
      </c>
      <c r="G162" s="12" t="s">
        <v>940</v>
      </c>
      <c r="H162" s="12" t="s">
        <v>31</v>
      </c>
      <c r="I162" s="12" t="s">
        <v>23</v>
      </c>
      <c r="J162" s="12" t="s">
        <v>941</v>
      </c>
      <c r="K162" s="12" t="s">
        <v>909</v>
      </c>
      <c r="L162" s="12">
        <v>1</v>
      </c>
      <c r="M162" s="9">
        <f t="shared" si="66"/>
        <v>100</v>
      </c>
      <c r="N162" s="12" t="s">
        <v>42</v>
      </c>
      <c r="O162" s="20" t="s">
        <v>26</v>
      </c>
      <c r="P162" s="19" t="s">
        <v>677</v>
      </c>
      <c r="Q162" s="19">
        <f t="shared" ref="Q162:Q163" si="81">P162*N162</f>
        <v>7.0000000000000007E-2</v>
      </c>
      <c r="R162" s="12"/>
    </row>
    <row r="163" spans="1:18" s="1" customFormat="1">
      <c r="A163" s="6"/>
      <c r="B163" s="7">
        <f>ROW(B163)-ROW($B$2)</f>
        <v>161</v>
      </c>
      <c r="C163" s="8" t="s">
        <v>609</v>
      </c>
      <c r="D163" s="9" t="s">
        <v>942</v>
      </c>
      <c r="E163" s="9" t="s">
        <v>943</v>
      </c>
      <c r="F163" s="9" t="s">
        <v>674</v>
      </c>
      <c r="G163" s="9" t="s">
        <v>944</v>
      </c>
      <c r="H163" s="9" t="s">
        <v>31</v>
      </c>
      <c r="I163" s="12" t="s">
        <v>23</v>
      </c>
      <c r="J163" s="9" t="s">
        <v>945</v>
      </c>
      <c r="K163" s="9" t="s">
        <v>946</v>
      </c>
      <c r="L163" s="9">
        <v>5</v>
      </c>
      <c r="M163" s="9">
        <f t="shared" si="66"/>
        <v>500</v>
      </c>
      <c r="N163" s="9" t="s">
        <v>1176</v>
      </c>
      <c r="O163" s="16" t="s">
        <v>26</v>
      </c>
      <c r="P163" s="17" t="s">
        <v>779</v>
      </c>
      <c r="Q163" s="17">
        <f t="shared" si="81"/>
        <v>0.3</v>
      </c>
      <c r="R163" s="9"/>
    </row>
    <row r="164" spans="1:18" s="1" customFormat="1">
      <c r="A164" s="6"/>
      <c r="B164" s="10">
        <f t="shared" si="0"/>
        <v>162</v>
      </c>
      <c r="C164" s="8" t="s">
        <v>609</v>
      </c>
      <c r="D164" s="12" t="s">
        <v>947</v>
      </c>
      <c r="E164" s="12" t="s">
        <v>948</v>
      </c>
      <c r="F164" s="12" t="s">
        <v>612</v>
      </c>
      <c r="G164" s="12" t="s">
        <v>949</v>
      </c>
      <c r="H164" s="12" t="s">
        <v>31</v>
      </c>
      <c r="I164" s="12" t="s">
        <v>23</v>
      </c>
      <c r="J164" s="12" t="s">
        <v>950</v>
      </c>
      <c r="K164" s="12" t="s">
        <v>937</v>
      </c>
      <c r="L164" s="12">
        <v>2</v>
      </c>
      <c r="M164" s="9">
        <f t="shared" si="66"/>
        <v>200</v>
      </c>
      <c r="N164" s="12" t="s">
        <v>1169</v>
      </c>
      <c r="O164" s="20" t="s">
        <v>26</v>
      </c>
      <c r="P164" s="19" t="s">
        <v>617</v>
      </c>
      <c r="Q164" s="19">
        <f t="shared" ref="Q164:Q165" si="82">P164*N164</f>
        <v>0.24</v>
      </c>
      <c r="R164" s="12"/>
    </row>
    <row r="165" spans="1:18" s="1" customFormat="1">
      <c r="A165" s="6"/>
      <c r="B165" s="7">
        <f>ROW(B165)-ROW($B$2)</f>
        <v>163</v>
      </c>
      <c r="C165" s="8" t="s">
        <v>609</v>
      </c>
      <c r="D165" s="9" t="s">
        <v>951</v>
      </c>
      <c r="E165" s="9" t="s">
        <v>952</v>
      </c>
      <c r="F165" s="9" t="s">
        <v>674</v>
      </c>
      <c r="G165" s="9" t="s">
        <v>953</v>
      </c>
      <c r="H165" s="9" t="s">
        <v>31</v>
      </c>
      <c r="I165" s="12" t="s">
        <v>23</v>
      </c>
      <c r="J165" s="9" t="s">
        <v>954</v>
      </c>
      <c r="K165" s="9" t="s">
        <v>955</v>
      </c>
      <c r="L165" s="9">
        <v>1</v>
      </c>
      <c r="M165" s="9">
        <f t="shared" si="66"/>
        <v>100</v>
      </c>
      <c r="N165" s="9" t="s">
        <v>42</v>
      </c>
      <c r="O165" s="16" t="s">
        <v>26</v>
      </c>
      <c r="P165" s="17" t="s">
        <v>132</v>
      </c>
      <c r="Q165" s="17">
        <f t="shared" si="82"/>
        <v>3.72</v>
      </c>
      <c r="R165" s="9"/>
    </row>
    <row r="166" spans="1:18" s="1" customFormat="1">
      <c r="A166" s="6"/>
      <c r="B166" s="10">
        <f t="shared" si="0"/>
        <v>164</v>
      </c>
      <c r="C166" s="8" t="s">
        <v>609</v>
      </c>
      <c r="D166" s="12" t="s">
        <v>956</v>
      </c>
      <c r="E166" s="12" t="s">
        <v>957</v>
      </c>
      <c r="F166" s="12" t="s">
        <v>674</v>
      </c>
      <c r="G166" s="12"/>
      <c r="H166" s="12"/>
      <c r="I166" s="12" t="s">
        <v>23</v>
      </c>
      <c r="J166" s="12" t="s">
        <v>958</v>
      </c>
      <c r="K166" s="12" t="s">
        <v>959</v>
      </c>
      <c r="L166" s="12">
        <v>1</v>
      </c>
      <c r="M166" s="9">
        <f t="shared" si="66"/>
        <v>100</v>
      </c>
      <c r="N166" s="12" t="s">
        <v>42</v>
      </c>
      <c r="O166" s="20" t="s">
        <v>26</v>
      </c>
      <c r="P166" s="19" t="s">
        <v>677</v>
      </c>
      <c r="Q166" s="19">
        <f t="shared" ref="Q166:Q167" si="83">P166*N166</f>
        <v>7.0000000000000007E-2</v>
      </c>
      <c r="R166" s="12"/>
    </row>
    <row r="167" spans="1:18" s="1" customFormat="1">
      <c r="A167" s="6"/>
      <c r="B167" s="7">
        <f>ROW(B167)-ROW($B$2)</f>
        <v>165</v>
      </c>
      <c r="C167" s="8" t="s">
        <v>960</v>
      </c>
      <c r="D167" s="9" t="s">
        <v>961</v>
      </c>
      <c r="E167" s="9" t="s">
        <v>962</v>
      </c>
      <c r="F167" s="9" t="s">
        <v>20</v>
      </c>
      <c r="G167" s="9" t="s">
        <v>963</v>
      </c>
      <c r="H167" s="9" t="s">
        <v>964</v>
      </c>
      <c r="I167" s="12" t="s">
        <v>23</v>
      </c>
      <c r="J167" s="12" t="s">
        <v>965</v>
      </c>
      <c r="K167" s="9" t="s">
        <v>23</v>
      </c>
      <c r="L167" s="9">
        <v>1</v>
      </c>
      <c r="M167" s="9">
        <f t="shared" si="66"/>
        <v>100</v>
      </c>
      <c r="N167" s="12" t="s">
        <v>42</v>
      </c>
      <c r="O167" s="18" t="s">
        <v>26</v>
      </c>
      <c r="P167" s="19" t="s">
        <v>1257</v>
      </c>
      <c r="Q167" s="17">
        <f t="shared" si="83"/>
        <v>51.96</v>
      </c>
      <c r="R167" s="9"/>
    </row>
    <row r="168" spans="1:18" s="1" customFormat="1" ht="48">
      <c r="A168" s="6"/>
      <c r="B168" s="10">
        <f t="shared" si="0"/>
        <v>166</v>
      </c>
      <c r="C168" s="11" t="s">
        <v>967</v>
      </c>
      <c r="D168" s="12" t="s">
        <v>968</v>
      </c>
      <c r="E168" s="12" t="s">
        <v>969</v>
      </c>
      <c r="F168" s="9" t="s">
        <v>20</v>
      </c>
      <c r="G168" s="12" t="s">
        <v>970</v>
      </c>
      <c r="H168" s="12" t="s">
        <v>971</v>
      </c>
      <c r="I168" s="12" t="s">
        <v>23</v>
      </c>
      <c r="J168" s="9" t="s">
        <v>972</v>
      </c>
      <c r="K168" s="9" t="s">
        <v>23</v>
      </c>
      <c r="L168" s="12">
        <v>1</v>
      </c>
      <c r="M168" s="9">
        <f t="shared" si="66"/>
        <v>100</v>
      </c>
      <c r="N168" s="9" t="s">
        <v>42</v>
      </c>
      <c r="O168" s="18" t="s">
        <v>26</v>
      </c>
      <c r="P168" s="17" t="s">
        <v>1258</v>
      </c>
      <c r="Q168" s="19">
        <f t="shared" ref="Q168:Q169" si="84">P168*N168</f>
        <v>7.48</v>
      </c>
      <c r="R168" s="12"/>
    </row>
    <row r="169" spans="1:18" s="1" customFormat="1" ht="36">
      <c r="A169" s="6"/>
      <c r="B169" s="7">
        <f>ROW(B169)-ROW($B$2)</f>
        <v>167</v>
      </c>
      <c r="C169" s="8" t="s">
        <v>974</v>
      </c>
      <c r="D169" s="9" t="s">
        <v>975</v>
      </c>
      <c r="E169" s="9" t="s">
        <v>976</v>
      </c>
      <c r="F169" s="9" t="s">
        <v>977</v>
      </c>
      <c r="G169" s="9" t="s">
        <v>978</v>
      </c>
      <c r="H169" s="9" t="s">
        <v>979</v>
      </c>
      <c r="I169" s="12" t="s">
        <v>23</v>
      </c>
      <c r="J169" s="12" t="s">
        <v>980</v>
      </c>
      <c r="K169" s="9" t="s">
        <v>23</v>
      </c>
      <c r="L169" s="9">
        <v>2</v>
      </c>
      <c r="M169" s="9">
        <f t="shared" si="66"/>
        <v>200</v>
      </c>
      <c r="N169" s="12" t="s">
        <v>1169</v>
      </c>
      <c r="O169" s="18" t="s">
        <v>26</v>
      </c>
      <c r="P169" s="19" t="s">
        <v>1259</v>
      </c>
      <c r="Q169" s="17">
        <f t="shared" si="84"/>
        <v>434.58</v>
      </c>
      <c r="R169" s="9"/>
    </row>
    <row r="170" spans="1:18" s="1" customFormat="1" ht="24">
      <c r="A170" s="6"/>
      <c r="B170" s="10">
        <f t="shared" si="0"/>
        <v>168</v>
      </c>
      <c r="C170" s="11" t="s">
        <v>982</v>
      </c>
      <c r="D170" s="12" t="s">
        <v>983</v>
      </c>
      <c r="E170" s="12" t="s">
        <v>984</v>
      </c>
      <c r="F170" s="12" t="s">
        <v>985</v>
      </c>
      <c r="G170" s="12" t="s">
        <v>986</v>
      </c>
      <c r="H170" s="12" t="s">
        <v>987</v>
      </c>
      <c r="I170" s="12" t="s">
        <v>23</v>
      </c>
      <c r="J170" s="9" t="s">
        <v>988</v>
      </c>
      <c r="K170" s="9" t="s">
        <v>23</v>
      </c>
      <c r="L170" s="12">
        <v>1</v>
      </c>
      <c r="M170" s="9">
        <f t="shared" si="66"/>
        <v>100</v>
      </c>
      <c r="N170" s="9" t="s">
        <v>42</v>
      </c>
      <c r="O170" s="18" t="s">
        <v>26</v>
      </c>
      <c r="P170" s="17" t="s">
        <v>1195</v>
      </c>
      <c r="Q170" s="19">
        <f t="shared" ref="Q170:Q171" si="85">P170*N170</f>
        <v>12.79</v>
      </c>
      <c r="R170" s="12"/>
    </row>
    <row r="171" spans="1:18" s="1" customFormat="1" ht="24">
      <c r="A171" s="6"/>
      <c r="B171" s="7">
        <f>ROW(B171)-ROW($B$2)</f>
        <v>169</v>
      </c>
      <c r="C171" s="8" t="s">
        <v>982</v>
      </c>
      <c r="D171" s="9" t="s">
        <v>990</v>
      </c>
      <c r="E171" s="9" t="s">
        <v>991</v>
      </c>
      <c r="F171" s="9" t="s">
        <v>992</v>
      </c>
      <c r="G171" s="9" t="s">
        <v>993</v>
      </c>
      <c r="H171" s="9" t="s">
        <v>987</v>
      </c>
      <c r="I171" s="12" t="s">
        <v>23</v>
      </c>
      <c r="J171" s="12" t="s">
        <v>994</v>
      </c>
      <c r="K171" s="9" t="s">
        <v>23</v>
      </c>
      <c r="L171" s="9">
        <v>1</v>
      </c>
      <c r="M171" s="9">
        <f t="shared" si="66"/>
        <v>100</v>
      </c>
      <c r="N171" s="12" t="s">
        <v>42</v>
      </c>
      <c r="O171" s="18" t="s">
        <v>26</v>
      </c>
      <c r="P171" s="19" t="s">
        <v>1260</v>
      </c>
      <c r="Q171" s="17">
        <f t="shared" si="85"/>
        <v>75.569999999999993</v>
      </c>
      <c r="R171" s="9"/>
    </row>
    <row r="172" spans="1:18" s="1" customFormat="1">
      <c r="A172" s="6"/>
      <c r="B172" s="10">
        <f t="shared" si="0"/>
        <v>170</v>
      </c>
      <c r="C172" s="11" t="s">
        <v>982</v>
      </c>
      <c r="D172" s="12" t="s">
        <v>996</v>
      </c>
      <c r="E172" s="12" t="s">
        <v>997</v>
      </c>
      <c r="F172" s="12" t="s">
        <v>998</v>
      </c>
      <c r="G172" s="12" t="s">
        <v>999</v>
      </c>
      <c r="H172" s="12" t="s">
        <v>1000</v>
      </c>
      <c r="I172" s="12" t="s">
        <v>23</v>
      </c>
      <c r="J172" s="9" t="s">
        <v>1001</v>
      </c>
      <c r="K172" s="9" t="s">
        <v>23</v>
      </c>
      <c r="L172" s="12">
        <v>1</v>
      </c>
      <c r="M172" s="9">
        <f t="shared" si="66"/>
        <v>100</v>
      </c>
      <c r="N172" s="9" t="s">
        <v>42</v>
      </c>
      <c r="O172" s="18" t="s">
        <v>26</v>
      </c>
      <c r="P172" s="17" t="s">
        <v>1261</v>
      </c>
      <c r="Q172" s="19">
        <f t="shared" ref="Q172:Q173" si="86">P172*N172</f>
        <v>682.93</v>
      </c>
      <c r="R172" s="12"/>
    </row>
    <row r="173" spans="1:18" s="1" customFormat="1" ht="24">
      <c r="A173" s="6"/>
      <c r="B173" s="7">
        <f>ROW(B173)-ROW($B$2)</f>
        <v>171</v>
      </c>
      <c r="C173" s="8" t="s">
        <v>982</v>
      </c>
      <c r="D173" s="9" t="s">
        <v>1003</v>
      </c>
      <c r="E173" s="9" t="s">
        <v>1004</v>
      </c>
      <c r="F173" s="9" t="s">
        <v>985</v>
      </c>
      <c r="G173" s="9" t="s">
        <v>1005</v>
      </c>
      <c r="H173" s="9" t="s">
        <v>562</v>
      </c>
      <c r="I173" s="12" t="s">
        <v>23</v>
      </c>
      <c r="J173" s="12" t="s">
        <v>1006</v>
      </c>
      <c r="K173" s="9" t="s">
        <v>23</v>
      </c>
      <c r="L173" s="9">
        <v>1</v>
      </c>
      <c r="M173" s="9">
        <f t="shared" si="66"/>
        <v>100</v>
      </c>
      <c r="N173" s="12" t="s">
        <v>42</v>
      </c>
      <c r="O173" s="18" t="s">
        <v>26</v>
      </c>
      <c r="P173" s="19" t="s">
        <v>1262</v>
      </c>
      <c r="Q173" s="17">
        <f t="shared" si="86"/>
        <v>72.73</v>
      </c>
      <c r="R173" s="9"/>
    </row>
    <row r="174" spans="1:18" s="1" customFormat="1" ht="36">
      <c r="A174" s="6"/>
      <c r="B174" s="10">
        <f t="shared" si="0"/>
        <v>172</v>
      </c>
      <c r="C174" s="11" t="s">
        <v>982</v>
      </c>
      <c r="D174" s="12" t="s">
        <v>1008</v>
      </c>
      <c r="E174" s="12" t="s">
        <v>1009</v>
      </c>
      <c r="F174" s="12" t="s">
        <v>1010</v>
      </c>
      <c r="G174" s="12" t="s">
        <v>1011</v>
      </c>
      <c r="H174" s="12" t="s">
        <v>1012</v>
      </c>
      <c r="I174" s="12" t="s">
        <v>23</v>
      </c>
      <c r="J174" s="9" t="s">
        <v>1013</v>
      </c>
      <c r="K174" s="9" t="s">
        <v>23</v>
      </c>
      <c r="L174" s="12">
        <v>1</v>
      </c>
      <c r="M174" s="9">
        <f t="shared" si="66"/>
        <v>100</v>
      </c>
      <c r="N174" s="9" t="s">
        <v>42</v>
      </c>
      <c r="O174" s="18" t="s">
        <v>26</v>
      </c>
      <c r="P174" s="17" t="s">
        <v>1263</v>
      </c>
      <c r="Q174" s="19">
        <f t="shared" ref="Q174:Q175" si="87">P174*N174</f>
        <v>348.81</v>
      </c>
      <c r="R174" s="12"/>
    </row>
    <row r="175" spans="1:18" s="1" customFormat="1" ht="24">
      <c r="A175" s="6"/>
      <c r="B175" s="7">
        <f>ROW(B175)-ROW($B$2)</f>
        <v>173</v>
      </c>
      <c r="C175" s="8" t="s">
        <v>982</v>
      </c>
      <c r="D175" s="9" t="s">
        <v>1015</v>
      </c>
      <c r="E175" s="9" t="s">
        <v>1016</v>
      </c>
      <c r="F175" s="9" t="s">
        <v>1017</v>
      </c>
      <c r="G175" s="9" t="s">
        <v>1018</v>
      </c>
      <c r="H175" s="9" t="s">
        <v>987</v>
      </c>
      <c r="I175" s="12" t="s">
        <v>23</v>
      </c>
      <c r="J175" s="12" t="s">
        <v>1019</v>
      </c>
      <c r="K175" s="9" t="s">
        <v>23</v>
      </c>
      <c r="L175" s="9">
        <v>3</v>
      </c>
      <c r="M175" s="9">
        <f t="shared" si="66"/>
        <v>300</v>
      </c>
      <c r="N175" s="12" t="s">
        <v>716</v>
      </c>
      <c r="O175" s="18" t="s">
        <v>26</v>
      </c>
      <c r="P175" s="19" t="s">
        <v>1264</v>
      </c>
      <c r="Q175" s="17">
        <f t="shared" si="87"/>
        <v>18</v>
      </c>
      <c r="R175" s="9"/>
    </row>
    <row r="176" spans="1:18" s="1" customFormat="1" ht="24">
      <c r="A176" s="6"/>
      <c r="B176" s="10">
        <f t="shared" si="0"/>
        <v>174</v>
      </c>
      <c r="C176" s="8" t="s">
        <v>982</v>
      </c>
      <c r="D176" s="12" t="s">
        <v>1021</v>
      </c>
      <c r="E176" s="12" t="s">
        <v>1022</v>
      </c>
      <c r="F176" s="12" t="s">
        <v>1023</v>
      </c>
      <c r="G176" s="12" t="s">
        <v>1024</v>
      </c>
      <c r="H176" s="12" t="s">
        <v>1025</v>
      </c>
      <c r="I176" s="12" t="s">
        <v>23</v>
      </c>
      <c r="J176" s="9" t="s">
        <v>1026</v>
      </c>
      <c r="K176" s="9" t="s">
        <v>23</v>
      </c>
      <c r="L176" s="12">
        <v>1</v>
      </c>
      <c r="M176" s="9">
        <f t="shared" si="66"/>
        <v>100</v>
      </c>
      <c r="N176" s="9" t="s">
        <v>42</v>
      </c>
      <c r="O176" s="18" t="s">
        <v>26</v>
      </c>
      <c r="P176" s="17" t="s">
        <v>1265</v>
      </c>
      <c r="Q176" s="19">
        <f t="shared" ref="Q176:Q177" si="88">P176*N176</f>
        <v>22.3</v>
      </c>
      <c r="R176" s="12"/>
    </row>
    <row r="177" spans="1:18" s="1" customFormat="1" ht="24">
      <c r="A177" s="6"/>
      <c r="B177" s="7">
        <f>ROW(B177)-ROW($B$2)</f>
        <v>175</v>
      </c>
      <c r="C177" s="8" t="s">
        <v>982</v>
      </c>
      <c r="D177" s="9" t="s">
        <v>1028</v>
      </c>
      <c r="E177" s="9" t="s">
        <v>1029</v>
      </c>
      <c r="F177" s="9" t="s">
        <v>1030</v>
      </c>
      <c r="G177" s="9" t="s">
        <v>1031</v>
      </c>
      <c r="H177" s="9" t="s">
        <v>987</v>
      </c>
      <c r="I177" s="12" t="s">
        <v>23</v>
      </c>
      <c r="J177" s="9" t="s">
        <v>1032</v>
      </c>
      <c r="K177" s="9" t="s">
        <v>23</v>
      </c>
      <c r="L177" s="9">
        <v>1</v>
      </c>
      <c r="M177" s="9">
        <f t="shared" si="66"/>
        <v>100</v>
      </c>
      <c r="N177" s="12" t="s">
        <v>42</v>
      </c>
      <c r="O177" s="18" t="s">
        <v>26</v>
      </c>
      <c r="P177" s="19" t="s">
        <v>1266</v>
      </c>
      <c r="Q177" s="17">
        <f t="shared" si="88"/>
        <v>125.44</v>
      </c>
      <c r="R177" s="9"/>
    </row>
    <row r="178" spans="1:18" s="1" customFormat="1" ht="24">
      <c r="A178" s="6"/>
      <c r="B178" s="10">
        <f t="shared" si="0"/>
        <v>176</v>
      </c>
      <c r="C178" s="11" t="s">
        <v>982</v>
      </c>
      <c r="D178" s="12" t="s">
        <v>1034</v>
      </c>
      <c r="E178" s="12" t="s">
        <v>1035</v>
      </c>
      <c r="F178" s="12" t="s">
        <v>1036</v>
      </c>
      <c r="G178" s="12" t="s">
        <v>1037</v>
      </c>
      <c r="H178" s="12" t="s">
        <v>987</v>
      </c>
      <c r="I178" s="12" t="s">
        <v>23</v>
      </c>
      <c r="J178" s="12" t="s">
        <v>1038</v>
      </c>
      <c r="K178" s="9" t="s">
        <v>23</v>
      </c>
      <c r="L178" s="12">
        <v>1</v>
      </c>
      <c r="M178" s="9">
        <f t="shared" si="66"/>
        <v>100</v>
      </c>
      <c r="N178" s="9" t="s">
        <v>42</v>
      </c>
      <c r="O178" s="18" t="s">
        <v>26</v>
      </c>
      <c r="P178" s="17" t="s">
        <v>1267</v>
      </c>
      <c r="Q178" s="19">
        <f t="shared" ref="Q178:Q179" si="89">P178*N178</f>
        <v>31.24</v>
      </c>
      <c r="R178" s="12"/>
    </row>
    <row r="179" spans="1:18" s="1" customFormat="1" ht="24">
      <c r="A179" s="6"/>
      <c r="B179" s="7">
        <f>ROW(B179)-ROW($B$2)</f>
        <v>177</v>
      </c>
      <c r="C179" s="8" t="s">
        <v>982</v>
      </c>
      <c r="D179" s="9" t="s">
        <v>1040</v>
      </c>
      <c r="E179" s="9" t="s">
        <v>1041</v>
      </c>
      <c r="F179" s="9" t="s">
        <v>1042</v>
      </c>
      <c r="G179" s="9" t="s">
        <v>1043</v>
      </c>
      <c r="H179" s="9" t="s">
        <v>1044</v>
      </c>
      <c r="I179" s="12" t="s">
        <v>23</v>
      </c>
      <c r="J179" s="9" t="s">
        <v>1045</v>
      </c>
      <c r="K179" s="9" t="s">
        <v>23</v>
      </c>
      <c r="L179" s="9">
        <v>1</v>
      </c>
      <c r="M179" s="9">
        <f t="shared" si="66"/>
        <v>100</v>
      </c>
      <c r="N179" s="12" t="s">
        <v>42</v>
      </c>
      <c r="O179" s="18" t="s">
        <v>26</v>
      </c>
      <c r="P179" s="19" t="s">
        <v>1268</v>
      </c>
      <c r="Q179" s="17">
        <f t="shared" si="89"/>
        <v>76.56</v>
      </c>
      <c r="R179" s="9"/>
    </row>
    <row r="180" spans="1:18" s="1" customFormat="1" ht="24">
      <c r="A180" s="6"/>
      <c r="B180" s="10">
        <f t="shared" si="0"/>
        <v>178</v>
      </c>
      <c r="C180" s="11" t="s">
        <v>982</v>
      </c>
      <c r="D180" s="12" t="s">
        <v>1047</v>
      </c>
      <c r="E180" s="12" t="s">
        <v>1048</v>
      </c>
      <c r="F180" s="12" t="s">
        <v>1017</v>
      </c>
      <c r="G180" s="12" t="s">
        <v>1049</v>
      </c>
      <c r="H180" s="12" t="s">
        <v>987</v>
      </c>
      <c r="I180" s="12" t="s">
        <v>23</v>
      </c>
      <c r="J180" s="12" t="s">
        <v>1050</v>
      </c>
      <c r="K180" s="9" t="s">
        <v>23</v>
      </c>
      <c r="L180" s="12">
        <v>2</v>
      </c>
      <c r="M180" s="9">
        <f t="shared" si="66"/>
        <v>200</v>
      </c>
      <c r="N180" s="9" t="s">
        <v>1169</v>
      </c>
      <c r="O180" s="18" t="s">
        <v>26</v>
      </c>
      <c r="P180" s="17" t="s">
        <v>1269</v>
      </c>
      <c r="Q180" s="19">
        <f t="shared" ref="Q180:Q181" si="90">P180*N180</f>
        <v>26.1</v>
      </c>
      <c r="R180" s="12"/>
    </row>
    <row r="181" spans="1:18" s="1" customFormat="1" ht="24">
      <c r="A181" s="6"/>
      <c r="B181" s="7">
        <f>ROW(B181)-ROW($B$2)</f>
        <v>179</v>
      </c>
      <c r="C181" s="8" t="s">
        <v>1052</v>
      </c>
      <c r="D181" s="9" t="s">
        <v>1053</v>
      </c>
      <c r="E181" s="9" t="s">
        <v>1054</v>
      </c>
      <c r="F181" s="9" t="s">
        <v>1055</v>
      </c>
      <c r="G181" s="9" t="s">
        <v>1055</v>
      </c>
      <c r="H181" s="9" t="s">
        <v>1056</v>
      </c>
      <c r="I181" s="12" t="s">
        <v>23</v>
      </c>
      <c r="J181" s="9" t="s">
        <v>1057</v>
      </c>
      <c r="K181" s="9" t="s">
        <v>23</v>
      </c>
      <c r="L181" s="9">
        <v>1</v>
      </c>
      <c r="M181" s="9">
        <f t="shared" si="66"/>
        <v>100</v>
      </c>
      <c r="N181" s="12" t="s">
        <v>42</v>
      </c>
      <c r="O181" s="18" t="s">
        <v>26</v>
      </c>
      <c r="P181" s="19" t="s">
        <v>1270</v>
      </c>
      <c r="Q181" s="17">
        <f t="shared" si="90"/>
        <v>55.88</v>
      </c>
      <c r="R181" s="9"/>
    </row>
    <row r="182" spans="1:18" s="1" customFormat="1" ht="36">
      <c r="A182" s="6"/>
      <c r="B182" s="10">
        <f t="shared" si="0"/>
        <v>180</v>
      </c>
      <c r="C182" s="8" t="s">
        <v>982</v>
      </c>
      <c r="D182" s="12" t="s">
        <v>1059</v>
      </c>
      <c r="E182" s="12" t="s">
        <v>1060</v>
      </c>
      <c r="F182" s="12" t="s">
        <v>1061</v>
      </c>
      <c r="G182" s="12" t="s">
        <v>1062</v>
      </c>
      <c r="H182" s="12" t="s">
        <v>1063</v>
      </c>
      <c r="I182" s="12" t="s">
        <v>23</v>
      </c>
      <c r="J182" s="9" t="s">
        <v>1064</v>
      </c>
      <c r="K182" s="9" t="s">
        <v>23</v>
      </c>
      <c r="L182" s="12">
        <v>1</v>
      </c>
      <c r="M182" s="9">
        <f t="shared" si="66"/>
        <v>100</v>
      </c>
      <c r="N182" s="9" t="s">
        <v>42</v>
      </c>
      <c r="O182" s="18" t="s">
        <v>26</v>
      </c>
      <c r="P182" s="17" t="s">
        <v>423</v>
      </c>
      <c r="Q182" s="19">
        <f t="shared" ref="Q182:Q183" si="91">P182*N182</f>
        <v>17.059999999999999</v>
      </c>
      <c r="R182" s="12"/>
    </row>
    <row r="183" spans="1:18" s="1" customFormat="1" ht="24">
      <c r="A183" s="6"/>
      <c r="B183" s="7">
        <f>ROW(B183)-ROW($B$2)</f>
        <v>181</v>
      </c>
      <c r="C183" s="8" t="s">
        <v>982</v>
      </c>
      <c r="D183" s="9" t="s">
        <v>1066</v>
      </c>
      <c r="E183" s="9" t="s">
        <v>1067</v>
      </c>
      <c r="F183" s="9" t="s">
        <v>1068</v>
      </c>
      <c r="G183" s="9" t="s">
        <v>1069</v>
      </c>
      <c r="H183" s="9" t="s">
        <v>987</v>
      </c>
      <c r="I183" s="12" t="s">
        <v>23</v>
      </c>
      <c r="J183" s="9" t="s">
        <v>23</v>
      </c>
      <c r="K183" s="9" t="s">
        <v>23</v>
      </c>
      <c r="L183" s="9">
        <v>2</v>
      </c>
      <c r="M183" s="9">
        <f t="shared" si="66"/>
        <v>200</v>
      </c>
      <c r="N183" s="9">
        <v>200</v>
      </c>
      <c r="O183" s="16" t="s">
        <v>67</v>
      </c>
      <c r="P183" s="17">
        <v>0.68100000000000005</v>
      </c>
      <c r="Q183" s="17">
        <f t="shared" si="91"/>
        <v>136.19999999999999</v>
      </c>
      <c r="R183" s="9"/>
    </row>
    <row r="184" spans="1:18" s="1" customFormat="1" ht="24">
      <c r="A184" s="6"/>
      <c r="B184" s="10">
        <f t="shared" si="0"/>
        <v>182</v>
      </c>
      <c r="C184" s="11" t="s">
        <v>982</v>
      </c>
      <c r="D184" s="12" t="s">
        <v>1070</v>
      </c>
      <c r="E184" s="12" t="s">
        <v>1071</v>
      </c>
      <c r="F184" s="12" t="s">
        <v>1072</v>
      </c>
      <c r="G184" s="12" t="s">
        <v>1073</v>
      </c>
      <c r="H184" s="12" t="s">
        <v>1074</v>
      </c>
      <c r="I184" s="12" t="s">
        <v>23</v>
      </c>
      <c r="J184" s="12" t="s">
        <v>1075</v>
      </c>
      <c r="K184" s="12" t="s">
        <v>23</v>
      </c>
      <c r="L184" s="12">
        <v>1</v>
      </c>
      <c r="M184" s="9">
        <f t="shared" si="66"/>
        <v>100</v>
      </c>
      <c r="N184" s="12">
        <v>100</v>
      </c>
      <c r="O184" s="20" t="s">
        <v>26</v>
      </c>
      <c r="P184" s="19" t="s">
        <v>1271</v>
      </c>
      <c r="Q184" s="19">
        <f t="shared" ref="Q184:Q185" si="92">P184*N184</f>
        <v>52.4</v>
      </c>
      <c r="R184" s="12"/>
    </row>
    <row r="185" spans="1:18" s="1" customFormat="1" ht="24">
      <c r="A185" s="6"/>
      <c r="B185" s="7">
        <f>ROW(B185)-ROW($B$2)</f>
        <v>183</v>
      </c>
      <c r="C185" s="8" t="s">
        <v>982</v>
      </c>
      <c r="D185" s="9" t="s">
        <v>1076</v>
      </c>
      <c r="E185" s="9" t="s">
        <v>1077</v>
      </c>
      <c r="F185" s="9" t="s">
        <v>1078</v>
      </c>
      <c r="G185" s="9" t="s">
        <v>1079</v>
      </c>
      <c r="H185" s="9" t="s">
        <v>1074</v>
      </c>
      <c r="I185" s="12" t="s">
        <v>23</v>
      </c>
      <c r="J185" s="9" t="s">
        <v>1080</v>
      </c>
      <c r="K185" s="9" t="s">
        <v>23</v>
      </c>
      <c r="L185" s="9">
        <v>1</v>
      </c>
      <c r="M185" s="9">
        <f t="shared" si="66"/>
        <v>100</v>
      </c>
      <c r="N185" s="12">
        <v>100</v>
      </c>
      <c r="O185" s="18" t="s">
        <v>26</v>
      </c>
      <c r="P185" s="19" t="s">
        <v>1272</v>
      </c>
      <c r="Q185" s="17">
        <f t="shared" si="92"/>
        <v>371.29</v>
      </c>
      <c r="R185" s="9"/>
    </row>
    <row r="186" spans="1:18" s="1" customFormat="1" ht="30">
      <c r="A186" s="6"/>
      <c r="B186" s="10">
        <f t="shared" si="0"/>
        <v>184</v>
      </c>
      <c r="C186" s="11" t="s">
        <v>1082</v>
      </c>
      <c r="D186" s="12" t="s">
        <v>1083</v>
      </c>
      <c r="E186" s="12" t="s">
        <v>1084</v>
      </c>
      <c r="F186" s="12" t="s">
        <v>1085</v>
      </c>
      <c r="G186" s="12" t="s">
        <v>1086</v>
      </c>
      <c r="H186" s="12"/>
      <c r="I186" s="12" t="s">
        <v>23</v>
      </c>
      <c r="J186" s="12" t="s">
        <v>23</v>
      </c>
      <c r="K186" s="12" t="s">
        <v>23</v>
      </c>
      <c r="L186" s="12">
        <v>1</v>
      </c>
      <c r="M186" s="9">
        <f t="shared" si="66"/>
        <v>100</v>
      </c>
      <c r="N186" s="9">
        <v>100</v>
      </c>
      <c r="O186" s="18" t="s">
        <v>1087</v>
      </c>
      <c r="P186" s="17">
        <v>5.0199999999999996</v>
      </c>
      <c r="Q186" s="19">
        <f t="shared" ref="Q186:Q187" si="93">P186*N186</f>
        <v>502</v>
      </c>
      <c r="R186" s="12"/>
    </row>
    <row r="187" spans="1:18" s="1" customFormat="1" ht="24">
      <c r="A187" s="6"/>
      <c r="B187" s="7">
        <f>ROW(B187)-ROW($B$2)</f>
        <v>185</v>
      </c>
      <c r="C187" s="8" t="s">
        <v>982</v>
      </c>
      <c r="D187" s="9" t="s">
        <v>1088</v>
      </c>
      <c r="E187" s="9" t="s">
        <v>1089</v>
      </c>
      <c r="F187" s="9" t="s">
        <v>1017</v>
      </c>
      <c r="G187" s="9" t="s">
        <v>1090</v>
      </c>
      <c r="H187" s="9" t="s">
        <v>1091</v>
      </c>
      <c r="I187" s="12" t="s">
        <v>23</v>
      </c>
      <c r="J187" s="9" t="s">
        <v>1092</v>
      </c>
      <c r="K187" s="9" t="s">
        <v>23</v>
      </c>
      <c r="L187" s="9">
        <v>1</v>
      </c>
      <c r="M187" s="9">
        <f t="shared" si="66"/>
        <v>100</v>
      </c>
      <c r="N187" s="12" t="s">
        <v>42</v>
      </c>
      <c r="O187" s="18" t="str">
        <f t="shared" ref="O187:O196" si="94">HYPERLINK(N187,"LCSC")</f>
        <v>LCSC</v>
      </c>
      <c r="P187" s="19" t="s">
        <v>1273</v>
      </c>
      <c r="Q187" s="17">
        <f t="shared" si="93"/>
        <v>6.91</v>
      </c>
      <c r="R187" s="9"/>
    </row>
    <row r="188" spans="1:18" s="1" customFormat="1">
      <c r="A188" s="6"/>
      <c r="B188" s="10">
        <f t="shared" si="0"/>
        <v>186</v>
      </c>
      <c r="C188" s="11" t="s">
        <v>982</v>
      </c>
      <c r="D188" s="12" t="s">
        <v>1094</v>
      </c>
      <c r="E188" s="12" t="s">
        <v>1095</v>
      </c>
      <c r="F188" s="12" t="s">
        <v>1096</v>
      </c>
      <c r="G188" s="12" t="s">
        <v>1097</v>
      </c>
      <c r="H188" s="12" t="s">
        <v>305</v>
      </c>
      <c r="I188" s="12" t="s">
        <v>23</v>
      </c>
      <c r="J188" s="12" t="s">
        <v>1098</v>
      </c>
      <c r="K188" s="12" t="s">
        <v>23</v>
      </c>
      <c r="L188" s="12">
        <v>1</v>
      </c>
      <c r="M188" s="9">
        <f t="shared" si="66"/>
        <v>100</v>
      </c>
      <c r="N188" s="9" t="s">
        <v>42</v>
      </c>
      <c r="O188" s="18" t="str">
        <f t="shared" si="94"/>
        <v>LCSC</v>
      </c>
      <c r="P188" s="17" t="s">
        <v>1274</v>
      </c>
      <c r="Q188" s="19">
        <f t="shared" ref="Q188:Q189" si="95">P188*N188</f>
        <v>21.21</v>
      </c>
      <c r="R188" s="12"/>
    </row>
    <row r="189" spans="1:18" s="1" customFormat="1">
      <c r="A189" s="6"/>
      <c r="B189" s="7">
        <f>ROW(B189)-ROW($B$2)</f>
        <v>187</v>
      </c>
      <c r="C189" s="8" t="s">
        <v>1099</v>
      </c>
      <c r="D189" s="9" t="s">
        <v>1100</v>
      </c>
      <c r="E189" s="9" t="s">
        <v>1101</v>
      </c>
      <c r="F189" s="9" t="s">
        <v>1017</v>
      </c>
      <c r="G189" s="9" t="s">
        <v>1102</v>
      </c>
      <c r="H189" s="9" t="s">
        <v>1103</v>
      </c>
      <c r="I189" s="12" t="s">
        <v>23</v>
      </c>
      <c r="J189" s="9" t="s">
        <v>1104</v>
      </c>
      <c r="K189" s="12" t="s">
        <v>23</v>
      </c>
      <c r="L189" s="9">
        <v>1</v>
      </c>
      <c r="M189" s="9">
        <f t="shared" si="66"/>
        <v>100</v>
      </c>
      <c r="N189" s="12" t="s">
        <v>42</v>
      </c>
      <c r="O189" s="18" t="str">
        <f t="shared" si="94"/>
        <v>LCSC</v>
      </c>
      <c r="P189" s="19" t="s">
        <v>1275</v>
      </c>
      <c r="Q189" s="17">
        <f t="shared" si="95"/>
        <v>76.040000000000006</v>
      </c>
      <c r="R189" s="9"/>
    </row>
    <row r="190" spans="1:18" s="1" customFormat="1" ht="36">
      <c r="A190" s="6"/>
      <c r="B190" s="10">
        <f t="shared" si="0"/>
        <v>188</v>
      </c>
      <c r="C190" s="11" t="s">
        <v>982</v>
      </c>
      <c r="D190" s="12" t="s">
        <v>1106</v>
      </c>
      <c r="E190" s="12" t="s">
        <v>1107</v>
      </c>
      <c r="F190" s="12" t="s">
        <v>1108</v>
      </c>
      <c r="G190" s="12" t="s">
        <v>1109</v>
      </c>
      <c r="H190" s="12" t="s">
        <v>1110</v>
      </c>
      <c r="I190" s="12" t="s">
        <v>23</v>
      </c>
      <c r="J190" s="12" t="s">
        <v>1111</v>
      </c>
      <c r="K190" s="12" t="s">
        <v>23</v>
      </c>
      <c r="L190" s="12">
        <v>1</v>
      </c>
      <c r="M190" s="9">
        <f t="shared" si="66"/>
        <v>100</v>
      </c>
      <c r="N190" s="9" t="s">
        <v>42</v>
      </c>
      <c r="O190" s="18" t="str">
        <f t="shared" si="94"/>
        <v>LCSC</v>
      </c>
      <c r="P190" s="17" t="s">
        <v>1276</v>
      </c>
      <c r="Q190" s="19">
        <f t="shared" ref="Q190:Q191" si="96">P190*N190</f>
        <v>239.24</v>
      </c>
      <c r="R190" s="12"/>
    </row>
    <row r="191" spans="1:18" s="1" customFormat="1">
      <c r="A191" s="6"/>
      <c r="B191" s="7">
        <f>ROW(B191)-ROW($B$2)</f>
        <v>189</v>
      </c>
      <c r="C191" s="8" t="s">
        <v>982</v>
      </c>
      <c r="D191" s="9" t="s">
        <v>1113</v>
      </c>
      <c r="E191" s="9" t="s">
        <v>1114</v>
      </c>
      <c r="F191" s="9" t="s">
        <v>977</v>
      </c>
      <c r="G191" s="9" t="s">
        <v>1115</v>
      </c>
      <c r="H191" s="9" t="s">
        <v>1116</v>
      </c>
      <c r="I191" s="12" t="s">
        <v>23</v>
      </c>
      <c r="J191" s="9" t="s">
        <v>1117</v>
      </c>
      <c r="K191" s="12" t="s">
        <v>23</v>
      </c>
      <c r="L191" s="9">
        <v>2</v>
      </c>
      <c r="M191" s="9">
        <f t="shared" si="66"/>
        <v>200</v>
      </c>
      <c r="N191" s="12" t="s">
        <v>1169</v>
      </c>
      <c r="O191" s="18" t="str">
        <f t="shared" si="94"/>
        <v>LCSC</v>
      </c>
      <c r="P191" s="19" t="s">
        <v>1277</v>
      </c>
      <c r="Q191" s="17">
        <f t="shared" si="96"/>
        <v>34.1</v>
      </c>
      <c r="R191" s="9"/>
    </row>
    <row r="192" spans="1:18" s="1" customFormat="1" ht="24">
      <c r="A192" s="6"/>
      <c r="B192" s="10">
        <f t="shared" si="0"/>
        <v>190</v>
      </c>
      <c r="C192" s="11" t="s">
        <v>982</v>
      </c>
      <c r="D192" s="12" t="s">
        <v>1119</v>
      </c>
      <c r="E192" s="12" t="s">
        <v>1120</v>
      </c>
      <c r="F192" s="12" t="s">
        <v>1121</v>
      </c>
      <c r="G192" s="12" t="s">
        <v>1122</v>
      </c>
      <c r="H192" s="12" t="s">
        <v>1123</v>
      </c>
      <c r="I192" s="12" t="s">
        <v>23</v>
      </c>
      <c r="J192" s="12" t="s">
        <v>1124</v>
      </c>
      <c r="K192" s="12" t="s">
        <v>23</v>
      </c>
      <c r="L192" s="12">
        <v>1</v>
      </c>
      <c r="M192" s="9">
        <f t="shared" si="66"/>
        <v>100</v>
      </c>
      <c r="N192" s="9" t="s">
        <v>42</v>
      </c>
      <c r="O192" s="18" t="str">
        <f t="shared" si="94"/>
        <v>LCSC</v>
      </c>
      <c r="P192" s="17" t="s">
        <v>1278</v>
      </c>
      <c r="Q192" s="19">
        <f t="shared" ref="Q192:Q193" si="97">P192*N192</f>
        <v>115.6</v>
      </c>
      <c r="R192" s="12"/>
    </row>
    <row r="193" spans="1:18" s="1" customFormat="1" ht="24">
      <c r="A193" s="6"/>
      <c r="B193" s="7">
        <f>ROW(B193)-ROW($B$2)</f>
        <v>191</v>
      </c>
      <c r="C193" s="8" t="s">
        <v>982</v>
      </c>
      <c r="D193" s="9" t="s">
        <v>1126</v>
      </c>
      <c r="E193" s="9" t="s">
        <v>1127</v>
      </c>
      <c r="F193" s="9" t="s">
        <v>1036</v>
      </c>
      <c r="G193" s="9" t="s">
        <v>1128</v>
      </c>
      <c r="H193" s="9" t="s">
        <v>1129</v>
      </c>
      <c r="I193" s="12" t="s">
        <v>23</v>
      </c>
      <c r="J193" s="9" t="s">
        <v>1130</v>
      </c>
      <c r="K193" s="12" t="s">
        <v>23</v>
      </c>
      <c r="L193" s="9">
        <v>1</v>
      </c>
      <c r="M193" s="9">
        <f t="shared" si="66"/>
        <v>100</v>
      </c>
      <c r="N193" s="12" t="s">
        <v>42</v>
      </c>
      <c r="O193" s="18" t="str">
        <f t="shared" si="94"/>
        <v>LCSC</v>
      </c>
      <c r="P193" s="19" t="s">
        <v>1279</v>
      </c>
      <c r="Q193" s="17">
        <f t="shared" si="97"/>
        <v>5.53</v>
      </c>
      <c r="R193" s="9"/>
    </row>
    <row r="194" spans="1:18" s="1" customFormat="1">
      <c r="A194" s="6"/>
      <c r="B194" s="10">
        <f t="shared" si="0"/>
        <v>192</v>
      </c>
      <c r="C194" s="11" t="s">
        <v>1132</v>
      </c>
      <c r="D194" s="12" t="s">
        <v>1133</v>
      </c>
      <c r="E194" s="12" t="s">
        <v>1134</v>
      </c>
      <c r="F194" s="9" t="s">
        <v>20</v>
      </c>
      <c r="G194" s="12" t="s">
        <v>1135</v>
      </c>
      <c r="H194" s="12" t="s">
        <v>1136</v>
      </c>
      <c r="I194" s="12" t="s">
        <v>23</v>
      </c>
      <c r="J194" s="12" t="s">
        <v>1137</v>
      </c>
      <c r="K194" s="12" t="s">
        <v>1138</v>
      </c>
      <c r="L194" s="12">
        <v>1</v>
      </c>
      <c r="M194" s="9">
        <f t="shared" si="66"/>
        <v>100</v>
      </c>
      <c r="N194" s="9" t="s">
        <v>42</v>
      </c>
      <c r="O194" s="18" t="str">
        <f t="shared" si="94"/>
        <v>LCSC</v>
      </c>
      <c r="P194" s="17" t="s">
        <v>1280</v>
      </c>
      <c r="Q194" s="19">
        <f t="shared" ref="Q194:Q195" si="98">P194*N194</f>
        <v>27.06</v>
      </c>
      <c r="R194" s="12"/>
    </row>
    <row r="195" spans="1:18" s="1" customFormat="1" ht="36">
      <c r="A195" s="6"/>
      <c r="B195" s="7">
        <f>ROW(B195)-ROW($B$2)</f>
        <v>193</v>
      </c>
      <c r="C195" s="8" t="s">
        <v>1132</v>
      </c>
      <c r="D195" s="9" t="s">
        <v>1140</v>
      </c>
      <c r="E195" s="9" t="s">
        <v>1141</v>
      </c>
      <c r="F195" s="9" t="s">
        <v>1142</v>
      </c>
      <c r="G195" s="9" t="s">
        <v>1143</v>
      </c>
      <c r="H195" s="9" t="s">
        <v>1144</v>
      </c>
      <c r="I195" s="12" t="s">
        <v>23</v>
      </c>
      <c r="J195" s="9" t="s">
        <v>1145</v>
      </c>
      <c r="K195" s="9" t="s">
        <v>1146</v>
      </c>
      <c r="L195" s="9">
        <v>1</v>
      </c>
      <c r="M195" s="9">
        <f t="shared" si="66"/>
        <v>100</v>
      </c>
      <c r="N195" s="12" t="s">
        <v>42</v>
      </c>
      <c r="O195" s="18" t="str">
        <f t="shared" si="94"/>
        <v>LCSC</v>
      </c>
      <c r="P195" s="19" t="s">
        <v>1281</v>
      </c>
      <c r="Q195" s="17">
        <f t="shared" si="98"/>
        <v>6.8</v>
      </c>
      <c r="R195" s="9"/>
    </row>
    <row r="196" spans="1:18" s="1" customFormat="1" ht="24">
      <c r="A196" s="6"/>
      <c r="B196" s="10">
        <f t="shared" si="0"/>
        <v>194</v>
      </c>
      <c r="C196" s="8" t="s">
        <v>1132</v>
      </c>
      <c r="D196" s="12" t="s">
        <v>1148</v>
      </c>
      <c r="E196" s="12" t="s">
        <v>1149</v>
      </c>
      <c r="F196" s="9" t="s">
        <v>20</v>
      </c>
      <c r="G196" s="12" t="s">
        <v>1150</v>
      </c>
      <c r="H196" s="12" t="s">
        <v>1151</v>
      </c>
      <c r="I196" s="12" t="s">
        <v>23</v>
      </c>
      <c r="J196" s="12" t="s">
        <v>1152</v>
      </c>
      <c r="K196" s="12" t="s">
        <v>1153</v>
      </c>
      <c r="L196" s="12">
        <v>1</v>
      </c>
      <c r="M196" s="9">
        <f t="shared" ref="M196" si="99">L196*100</f>
        <v>100</v>
      </c>
      <c r="N196" s="9" t="s">
        <v>42</v>
      </c>
      <c r="O196" s="18" t="str">
        <f t="shared" si="94"/>
        <v>LCSC</v>
      </c>
      <c r="P196" s="17" t="s">
        <v>1282</v>
      </c>
      <c r="Q196" s="19">
        <f t="shared" ref="Q196" si="100">P196*N196</f>
        <v>19.59</v>
      </c>
      <c r="R196" s="12"/>
    </row>
    <row r="197" spans="1:18" ht="18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4" t="s">
        <v>1155</v>
      </c>
      <c r="O197" s="35"/>
      <c r="P197" s="35"/>
      <c r="Q197" s="28">
        <f>SUM(Q3:Q196)</f>
        <v>6519.17</v>
      </c>
      <c r="R197" s="2"/>
    </row>
    <row r="198" spans="1:18" ht="18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4" t="s">
        <v>1156</v>
      </c>
      <c r="O198" s="35"/>
      <c r="P198" s="35"/>
      <c r="Q198" s="29">
        <f>Q197/100</f>
        <v>65.191699999999997</v>
      </c>
      <c r="R198" s="2"/>
    </row>
  </sheetData>
  <mergeCells count="3">
    <mergeCell ref="K1:R1"/>
    <mergeCell ref="N197:P197"/>
    <mergeCell ref="N198:P198"/>
  </mergeCells>
  <hyperlinks>
    <hyperlink ref="O4" r:id="rId1"/>
    <hyperlink ref="O5" r:id="rId2"/>
    <hyperlink ref="O6" r:id="rId3"/>
    <hyperlink ref="O7" r:id="rId4"/>
    <hyperlink ref="O8" r:id="rId5"/>
    <hyperlink ref="O9" r:id="rId6"/>
    <hyperlink ref="O10" r:id="rId7"/>
    <hyperlink ref="O11" r:id="rId8"/>
    <hyperlink ref="O12" r:id="rId9"/>
    <hyperlink ref="O13" r:id="rId10"/>
    <hyperlink ref="O14" r:id="rId11"/>
    <hyperlink ref="O15" r:id="rId12"/>
    <hyperlink ref="O16" r:id="rId13"/>
    <hyperlink ref="O17" r:id="rId14"/>
    <hyperlink ref="O18" r:id="rId15"/>
    <hyperlink ref="O19" r:id="rId16"/>
    <hyperlink ref="O20" r:id="rId17"/>
    <hyperlink ref="O21" r:id="rId18"/>
    <hyperlink ref="O22" r:id="rId19"/>
    <hyperlink ref="O23" r:id="rId20"/>
    <hyperlink ref="O24" r:id="rId21"/>
    <hyperlink ref="O25" r:id="rId22"/>
    <hyperlink ref="O26" r:id="rId23"/>
    <hyperlink ref="O27" r:id="rId24"/>
    <hyperlink ref="O28" r:id="rId25"/>
    <hyperlink ref="O3" r:id="rId26"/>
    <hyperlink ref="O29" r:id="rId27"/>
    <hyperlink ref="O31" r:id="rId28"/>
    <hyperlink ref="O32" r:id="rId29"/>
    <hyperlink ref="O33" r:id="rId30"/>
    <hyperlink ref="O34" r:id="rId31"/>
    <hyperlink ref="O35" r:id="rId32"/>
    <hyperlink ref="O36" r:id="rId33"/>
    <hyperlink ref="O37" r:id="rId34"/>
    <hyperlink ref="O38" r:id="rId35"/>
    <hyperlink ref="O39" r:id="rId36"/>
    <hyperlink ref="O40" r:id="rId37"/>
    <hyperlink ref="O41" r:id="rId38"/>
    <hyperlink ref="O42" r:id="rId39"/>
    <hyperlink ref="O43" r:id="rId40"/>
    <hyperlink ref="O44" r:id="rId41"/>
    <hyperlink ref="O45" r:id="rId42"/>
    <hyperlink ref="O46" r:id="rId43"/>
    <hyperlink ref="O47" r:id="rId44"/>
    <hyperlink ref="O48" r:id="rId45"/>
    <hyperlink ref="O49" r:id="rId46"/>
    <hyperlink ref="O50" r:id="rId47"/>
    <hyperlink ref="O51" r:id="rId48"/>
    <hyperlink ref="O52" r:id="rId49"/>
    <hyperlink ref="O53" r:id="rId50"/>
    <hyperlink ref="O54" r:id="rId51"/>
    <hyperlink ref="O55" r:id="rId52"/>
    <hyperlink ref="O56" r:id="rId53"/>
    <hyperlink ref="O57" r:id="rId54"/>
    <hyperlink ref="O58" r:id="rId55"/>
    <hyperlink ref="O60" r:id="rId56"/>
    <hyperlink ref="O30" r:id="rId57"/>
    <hyperlink ref="O59" r:id="rId58"/>
    <hyperlink ref="O61" r:id="rId59"/>
    <hyperlink ref="O63" r:id="rId60"/>
    <hyperlink ref="O62" r:id="rId61"/>
    <hyperlink ref="O64" r:id="rId62"/>
    <hyperlink ref="O65" r:id="rId63"/>
    <hyperlink ref="O66" r:id="rId64"/>
    <hyperlink ref="O67" r:id="rId65"/>
    <hyperlink ref="O68" r:id="rId66"/>
    <hyperlink ref="O69" r:id="rId67"/>
    <hyperlink ref="O70" r:id="rId68"/>
    <hyperlink ref="O71" r:id="rId69"/>
    <hyperlink ref="O72" r:id="rId70"/>
    <hyperlink ref="O73" r:id="rId71"/>
    <hyperlink ref="O74" r:id="rId72"/>
    <hyperlink ref="O75" r:id="rId73"/>
    <hyperlink ref="O76" r:id="rId74"/>
    <hyperlink ref="O77" r:id="rId75"/>
    <hyperlink ref="O78" r:id="rId76"/>
    <hyperlink ref="O79" r:id="rId77"/>
    <hyperlink ref="O80" r:id="rId78"/>
    <hyperlink ref="O81" r:id="rId79"/>
    <hyperlink ref="O82" r:id="rId80"/>
    <hyperlink ref="O83" r:id="rId81"/>
    <hyperlink ref="O84" r:id="rId82"/>
    <hyperlink ref="O86" r:id="rId83"/>
    <hyperlink ref="O85" r:id="rId84"/>
    <hyperlink ref="O88" r:id="rId85"/>
    <hyperlink ref="O89" r:id="rId86"/>
    <hyperlink ref="O90" r:id="rId87"/>
    <hyperlink ref="O91" r:id="rId88"/>
    <hyperlink ref="O92" r:id="rId89"/>
    <hyperlink ref="O93" r:id="rId90"/>
    <hyperlink ref="O95" r:id="rId91"/>
    <hyperlink ref="O96" r:id="rId92"/>
    <hyperlink ref="O97" r:id="rId93"/>
    <hyperlink ref="O98" r:id="rId94"/>
    <hyperlink ref="O99" r:id="rId95"/>
    <hyperlink ref="O100" r:id="rId96"/>
    <hyperlink ref="O101" r:id="rId97"/>
    <hyperlink ref="O102" r:id="rId98"/>
    <hyperlink ref="O103" r:id="rId99"/>
    <hyperlink ref="O104" r:id="rId100"/>
    <hyperlink ref="O105" r:id="rId101"/>
    <hyperlink ref="O106" r:id="rId102"/>
    <hyperlink ref="O107" r:id="rId103"/>
    <hyperlink ref="O108" r:id="rId104"/>
    <hyperlink ref="O109" r:id="rId105"/>
    <hyperlink ref="O94" r:id="rId106"/>
    <hyperlink ref="O110" r:id="rId107"/>
    <hyperlink ref="O111" r:id="rId108"/>
    <hyperlink ref="O112" r:id="rId109"/>
    <hyperlink ref="O113" r:id="rId110"/>
    <hyperlink ref="O114" r:id="rId111"/>
    <hyperlink ref="O115" r:id="rId112"/>
    <hyperlink ref="O116" r:id="rId113"/>
    <hyperlink ref="O117" r:id="rId114"/>
    <hyperlink ref="O118" r:id="rId115"/>
    <hyperlink ref="O119" r:id="rId116"/>
    <hyperlink ref="O120" r:id="rId117"/>
    <hyperlink ref="O121" r:id="rId118"/>
    <hyperlink ref="O122" r:id="rId119"/>
    <hyperlink ref="O123" r:id="rId120"/>
    <hyperlink ref="O124" r:id="rId121"/>
    <hyperlink ref="O125" r:id="rId122"/>
    <hyperlink ref="O126" r:id="rId123"/>
    <hyperlink ref="O127" r:id="rId124"/>
    <hyperlink ref="O128" r:id="rId125"/>
    <hyperlink ref="O129" r:id="rId126"/>
    <hyperlink ref="O130" r:id="rId127"/>
    <hyperlink ref="O131" r:id="rId128"/>
    <hyperlink ref="O132" r:id="rId129"/>
    <hyperlink ref="O133" r:id="rId130"/>
    <hyperlink ref="O134" r:id="rId131"/>
    <hyperlink ref="O135" r:id="rId132"/>
    <hyperlink ref="O136" r:id="rId133"/>
    <hyperlink ref="O137" r:id="rId134"/>
    <hyperlink ref="O138" r:id="rId135"/>
    <hyperlink ref="O139" r:id="rId136"/>
    <hyperlink ref="O140" r:id="rId137"/>
    <hyperlink ref="O141" r:id="rId138"/>
    <hyperlink ref="O142" r:id="rId139"/>
    <hyperlink ref="O143" r:id="rId140"/>
    <hyperlink ref="O144" r:id="rId141"/>
    <hyperlink ref="O145" r:id="rId142"/>
    <hyperlink ref="O146" r:id="rId143"/>
    <hyperlink ref="O147" r:id="rId144"/>
    <hyperlink ref="O153" r:id="rId145"/>
    <hyperlink ref="O167" r:id="rId146"/>
    <hyperlink ref="O168" r:id="rId147"/>
    <hyperlink ref="O169" r:id="rId148"/>
    <hyperlink ref="O170" r:id="rId149"/>
    <hyperlink ref="O171" r:id="rId150"/>
    <hyperlink ref="O172" r:id="rId151"/>
    <hyperlink ref="O173" r:id="rId152"/>
    <hyperlink ref="O174" r:id="rId153"/>
    <hyperlink ref="O175" r:id="rId154"/>
    <hyperlink ref="O176" r:id="rId155"/>
    <hyperlink ref="O177" r:id="rId156"/>
    <hyperlink ref="O178" r:id="rId157"/>
    <hyperlink ref="O179" r:id="rId158"/>
    <hyperlink ref="O180" r:id="rId159"/>
    <hyperlink ref="O181" r:id="rId160"/>
    <hyperlink ref="O182" r:id="rId161"/>
    <hyperlink ref="O185" r:id="rId162"/>
    <hyperlink ref="O186" r:id="rId163"/>
    <hyperlink ref="O148" r:id="rId164"/>
    <hyperlink ref="O149" r:id="rId165"/>
    <hyperlink ref="O150" r:id="rId166"/>
    <hyperlink ref="O152" r:id="rId167"/>
    <hyperlink ref="O154" r:id="rId168"/>
    <hyperlink ref="O155" r:id="rId169"/>
    <hyperlink ref="O156" r:id="rId170"/>
    <hyperlink ref="O157" r:id="rId171"/>
    <hyperlink ref="O158" r:id="rId172"/>
    <hyperlink ref="O159" r:id="rId173"/>
    <hyperlink ref="O160" r:id="rId174"/>
    <hyperlink ref="O161" r:id="rId175"/>
    <hyperlink ref="O162" r:id="rId176"/>
    <hyperlink ref="O163" r:id="rId177"/>
    <hyperlink ref="O164" r:id="rId178"/>
    <hyperlink ref="O165" r:id="rId179"/>
    <hyperlink ref="O166" r:id="rId180"/>
    <hyperlink ref="O183" r:id="rId181"/>
    <hyperlink ref="O184" r:id="rId18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opLeftCell="L184" workbookViewId="0">
      <selection activeCell="W196" sqref="W196"/>
    </sheetView>
  </sheetViews>
  <sheetFormatPr defaultRowHeight="15"/>
  <cols>
    <col min="2" max="2" width="4" bestFit="1" customWidth="1"/>
    <col min="3" max="3" width="16.42578125" customWidth="1"/>
    <col min="4" max="4" width="25.42578125" customWidth="1"/>
    <col min="5" max="5" width="29.140625" customWidth="1"/>
    <col min="6" max="6" width="15.140625" customWidth="1"/>
    <col min="7" max="7" width="25.28515625" bestFit="1" customWidth="1"/>
    <col min="8" max="8" width="18.140625" customWidth="1"/>
    <col min="9" max="9" width="21.5703125" bestFit="1" customWidth="1"/>
    <col min="10" max="10" width="17" bestFit="1" customWidth="1"/>
    <col min="11" max="11" width="9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10.140625" customWidth="1"/>
    <col min="16" max="16" width="20.7109375" bestFit="1" customWidth="1"/>
    <col min="17" max="17" width="21.42578125" bestFit="1" customWidth="1"/>
    <col min="18" max="18" width="9" bestFit="1" customWidth="1"/>
  </cols>
  <sheetData>
    <row r="1" spans="1:18" ht="15.75" thickBot="1">
      <c r="A1" s="2"/>
      <c r="B1" s="3"/>
      <c r="C1" s="3"/>
      <c r="D1" s="4"/>
      <c r="E1" s="4"/>
      <c r="F1" s="4"/>
      <c r="G1" s="4"/>
      <c r="H1" s="4"/>
      <c r="I1" s="4"/>
      <c r="J1" s="4"/>
      <c r="K1" s="33"/>
      <c r="L1" s="33"/>
      <c r="M1" s="33"/>
      <c r="N1" s="33"/>
      <c r="O1" s="33"/>
      <c r="P1" s="33"/>
      <c r="Q1" s="33"/>
      <c r="R1" s="33"/>
    </row>
    <row r="2" spans="1:18" ht="15.75" thickBot="1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1283</v>
      </c>
      <c r="N2" s="5" t="s">
        <v>1284</v>
      </c>
      <c r="O2" s="5" t="s">
        <v>13</v>
      </c>
      <c r="P2" s="5" t="s">
        <v>1285</v>
      </c>
      <c r="Q2" s="5" t="s">
        <v>1286</v>
      </c>
      <c r="R2" s="5" t="s">
        <v>16</v>
      </c>
    </row>
    <row r="3" spans="1:18" s="1" customFormat="1" ht="24">
      <c r="A3" s="6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>
        <v>14</v>
      </c>
      <c r="M3" s="9">
        <f>L3*200</f>
        <v>2800</v>
      </c>
      <c r="N3" s="9">
        <v>2800</v>
      </c>
      <c r="O3" s="16" t="s">
        <v>26</v>
      </c>
      <c r="P3" s="17">
        <v>1.15E-2</v>
      </c>
      <c r="Q3" s="17">
        <f>P3*N3</f>
        <v>32.200000000000003</v>
      </c>
      <c r="R3" s="9"/>
    </row>
    <row r="4" spans="1:18" s="1" customFormat="1">
      <c r="A4" s="6"/>
      <c r="B4" s="10">
        <f t="shared" ref="B4:B196" si="0"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12" t="s">
        <v>33</v>
      </c>
      <c r="L4" s="12">
        <v>1</v>
      </c>
      <c r="M4" s="9">
        <f t="shared" ref="M4:M67" si="1">L4*200</f>
        <v>200</v>
      </c>
      <c r="N4" s="12">
        <v>200</v>
      </c>
      <c r="O4" s="18" t="s">
        <v>26</v>
      </c>
      <c r="P4" s="19" t="s">
        <v>35</v>
      </c>
      <c r="Q4" s="19">
        <f t="shared" ref="Q4:Q67" si="2">P4*N4</f>
        <v>2.58</v>
      </c>
      <c r="R4" s="12"/>
    </row>
    <row r="5" spans="1:18" s="1" customFormat="1">
      <c r="A5" s="6"/>
      <c r="B5" s="7">
        <f>ROW(B5)-ROW($B$2)</f>
        <v>3</v>
      </c>
      <c r="C5" s="8" t="s">
        <v>17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31</v>
      </c>
      <c r="I5" s="9" t="s">
        <v>23</v>
      </c>
      <c r="J5" s="9" t="s">
        <v>40</v>
      </c>
      <c r="K5" s="9" t="s">
        <v>41</v>
      </c>
      <c r="L5" s="9">
        <v>6</v>
      </c>
      <c r="M5" s="9">
        <f t="shared" si="1"/>
        <v>1200</v>
      </c>
      <c r="N5" s="9">
        <v>1200</v>
      </c>
      <c r="O5" s="18" t="s">
        <v>26</v>
      </c>
      <c r="P5" s="17" t="s">
        <v>43</v>
      </c>
      <c r="Q5" s="17">
        <f t="shared" si="2"/>
        <v>6.48</v>
      </c>
      <c r="R5" s="9"/>
    </row>
    <row r="6" spans="1:18" s="1" customFormat="1">
      <c r="A6" s="6"/>
      <c r="B6" s="10">
        <f t="shared" si="0"/>
        <v>4</v>
      </c>
      <c r="C6" s="11" t="s">
        <v>17</v>
      </c>
      <c r="D6" s="12" t="s">
        <v>44</v>
      </c>
      <c r="E6" s="12" t="s">
        <v>45</v>
      </c>
      <c r="F6" s="12" t="s">
        <v>46</v>
      </c>
      <c r="G6" s="12" t="s">
        <v>47</v>
      </c>
      <c r="H6" s="12" t="s">
        <v>31</v>
      </c>
      <c r="I6" s="9" t="s">
        <v>23</v>
      </c>
      <c r="J6" s="12" t="s">
        <v>48</v>
      </c>
      <c r="K6" s="12" t="s">
        <v>49</v>
      </c>
      <c r="L6" s="12">
        <v>2</v>
      </c>
      <c r="M6" s="9">
        <f t="shared" si="1"/>
        <v>400</v>
      </c>
      <c r="N6" s="12">
        <v>400</v>
      </c>
      <c r="O6" s="18" t="s">
        <v>26</v>
      </c>
      <c r="P6" s="19" t="s">
        <v>50</v>
      </c>
      <c r="Q6" s="19">
        <f t="shared" si="2"/>
        <v>0.88</v>
      </c>
      <c r="R6" s="12"/>
    </row>
    <row r="7" spans="1:18" s="1" customFormat="1" ht="36">
      <c r="A7" s="6"/>
      <c r="B7" s="7">
        <f>ROW(B7)-ROW($B$2)</f>
        <v>5</v>
      </c>
      <c r="C7" s="8" t="s">
        <v>17</v>
      </c>
      <c r="D7" s="9" t="s">
        <v>51</v>
      </c>
      <c r="E7" s="9" t="s">
        <v>52</v>
      </c>
      <c r="F7" s="9" t="s">
        <v>38</v>
      </c>
      <c r="G7" s="9" t="s">
        <v>53</v>
      </c>
      <c r="H7" s="9" t="s">
        <v>31</v>
      </c>
      <c r="I7" s="9" t="s">
        <v>23</v>
      </c>
      <c r="J7" s="9" t="s">
        <v>54</v>
      </c>
      <c r="K7" s="9" t="s">
        <v>33</v>
      </c>
      <c r="L7" s="9">
        <v>21</v>
      </c>
      <c r="M7" s="9">
        <f t="shared" si="1"/>
        <v>4200</v>
      </c>
      <c r="N7" s="9">
        <v>4200</v>
      </c>
      <c r="O7" s="18" t="s">
        <v>26</v>
      </c>
      <c r="P7" s="17">
        <v>2.0999999999999999E-3</v>
      </c>
      <c r="Q7" s="17">
        <f t="shared" si="2"/>
        <v>8.82</v>
      </c>
      <c r="R7" s="9"/>
    </row>
    <row r="8" spans="1:18" s="1" customFormat="1">
      <c r="A8" s="6"/>
      <c r="B8" s="10">
        <f t="shared" si="0"/>
        <v>6</v>
      </c>
      <c r="C8" s="11" t="s">
        <v>17</v>
      </c>
      <c r="D8" s="12" t="s">
        <v>56</v>
      </c>
      <c r="E8" s="12" t="s">
        <v>57</v>
      </c>
      <c r="F8" s="12" t="s">
        <v>46</v>
      </c>
      <c r="G8" s="12" t="s">
        <v>58</v>
      </c>
      <c r="H8" s="12" t="s">
        <v>31</v>
      </c>
      <c r="I8" s="9" t="s">
        <v>23</v>
      </c>
      <c r="J8" s="12" t="s">
        <v>59</v>
      </c>
      <c r="K8" s="12" t="s">
        <v>41</v>
      </c>
      <c r="L8" s="12">
        <v>4</v>
      </c>
      <c r="M8" s="9">
        <f t="shared" si="1"/>
        <v>800</v>
      </c>
      <c r="N8" s="12">
        <v>800</v>
      </c>
      <c r="O8" s="18" t="s">
        <v>26</v>
      </c>
      <c r="P8" s="19" t="s">
        <v>60</v>
      </c>
      <c r="Q8" s="19">
        <f t="shared" si="2"/>
        <v>3.2800000000000002</v>
      </c>
      <c r="R8" s="12"/>
    </row>
    <row r="9" spans="1:18" s="1" customFormat="1">
      <c r="A9" s="6"/>
      <c r="B9" s="7">
        <f>ROW(B9)-ROW($B$2)</f>
        <v>7</v>
      </c>
      <c r="C9" s="8" t="s">
        <v>17</v>
      </c>
      <c r="D9" s="9" t="s">
        <v>61</v>
      </c>
      <c r="E9" s="9" t="s">
        <v>62</v>
      </c>
      <c r="F9" s="9" t="s">
        <v>20</v>
      </c>
      <c r="G9" s="13" t="s">
        <v>63</v>
      </c>
      <c r="H9" s="9" t="s">
        <v>64</v>
      </c>
      <c r="I9" s="9" t="s">
        <v>1287</v>
      </c>
      <c r="J9" s="9" t="s">
        <v>23</v>
      </c>
      <c r="K9" s="9" t="s">
        <v>66</v>
      </c>
      <c r="L9" s="9">
        <v>1</v>
      </c>
      <c r="M9" s="9">
        <f t="shared" si="1"/>
        <v>200</v>
      </c>
      <c r="N9" s="9">
        <v>200</v>
      </c>
      <c r="O9" s="18" t="s">
        <v>1288</v>
      </c>
      <c r="P9" s="17">
        <v>0.35680000000000001</v>
      </c>
      <c r="Q9" s="17">
        <f t="shared" si="2"/>
        <v>71.36</v>
      </c>
      <c r="R9" s="9"/>
    </row>
    <row r="10" spans="1:18" s="1" customFormat="1">
      <c r="A10" s="6"/>
      <c r="B10" s="10">
        <f t="shared" si="0"/>
        <v>8</v>
      </c>
      <c r="C10" s="11" t="s">
        <v>17</v>
      </c>
      <c r="D10" s="12" t="s">
        <v>68</v>
      </c>
      <c r="E10" s="12" t="s">
        <v>69</v>
      </c>
      <c r="F10" s="12" t="s">
        <v>46</v>
      </c>
      <c r="G10" s="12" t="s">
        <v>70</v>
      </c>
      <c r="H10" s="12" t="s">
        <v>71</v>
      </c>
      <c r="I10" s="12" t="s">
        <v>23</v>
      </c>
      <c r="J10" s="12" t="s">
        <v>72</v>
      </c>
      <c r="K10" s="12" t="s">
        <v>73</v>
      </c>
      <c r="L10" s="12">
        <v>2</v>
      </c>
      <c r="M10" s="9">
        <f t="shared" si="1"/>
        <v>400</v>
      </c>
      <c r="N10" s="12">
        <v>400</v>
      </c>
      <c r="O10" s="18" t="s">
        <v>26</v>
      </c>
      <c r="P10" s="19" t="s">
        <v>74</v>
      </c>
      <c r="Q10" s="19">
        <f t="shared" si="2"/>
        <v>3.6799999999999997</v>
      </c>
      <c r="R10" s="12"/>
    </row>
    <row r="11" spans="1:18" s="1" customFormat="1" ht="36">
      <c r="A11" s="6"/>
      <c r="B11" s="7">
        <f>ROW(B11)-ROW($B$2)</f>
        <v>9</v>
      </c>
      <c r="C11" s="11" t="s">
        <v>17</v>
      </c>
      <c r="D11" s="9" t="s">
        <v>75</v>
      </c>
      <c r="E11" s="9" t="s">
        <v>76</v>
      </c>
      <c r="F11" s="9" t="s">
        <v>46</v>
      </c>
      <c r="G11" s="9" t="s">
        <v>77</v>
      </c>
      <c r="H11" s="9" t="s">
        <v>71</v>
      </c>
      <c r="I11" s="12" t="s">
        <v>23</v>
      </c>
      <c r="J11" s="9" t="s">
        <v>78</v>
      </c>
      <c r="K11" s="9" t="s">
        <v>33</v>
      </c>
      <c r="L11" s="9">
        <v>15</v>
      </c>
      <c r="M11" s="9">
        <f t="shared" si="1"/>
        <v>3000</v>
      </c>
      <c r="N11" s="9">
        <v>3000</v>
      </c>
      <c r="O11" s="18" t="s">
        <v>26</v>
      </c>
      <c r="P11" s="17">
        <v>5.4699999999999999E-2</v>
      </c>
      <c r="Q11" s="17">
        <f t="shared" si="2"/>
        <v>164.1</v>
      </c>
      <c r="R11" s="9"/>
    </row>
    <row r="12" spans="1:18" s="1" customFormat="1" ht="36">
      <c r="A12" s="6"/>
      <c r="B12" s="10">
        <f t="shared" si="0"/>
        <v>10</v>
      </c>
      <c r="C12" s="11" t="s">
        <v>17</v>
      </c>
      <c r="D12" s="12" t="s">
        <v>81</v>
      </c>
      <c r="E12" s="12" t="s">
        <v>82</v>
      </c>
      <c r="F12" s="9" t="s">
        <v>20</v>
      </c>
      <c r="G12" s="12" t="s">
        <v>83</v>
      </c>
      <c r="H12" s="12" t="s">
        <v>84</v>
      </c>
      <c r="I12" s="12" t="s">
        <v>23</v>
      </c>
      <c r="J12" s="12" t="s">
        <v>85</v>
      </c>
      <c r="K12" s="12" t="s">
        <v>86</v>
      </c>
      <c r="L12" s="12">
        <v>1</v>
      </c>
      <c r="M12" s="9">
        <f t="shared" si="1"/>
        <v>200</v>
      </c>
      <c r="N12" s="12">
        <v>200</v>
      </c>
      <c r="O12" s="18" t="s">
        <v>26</v>
      </c>
      <c r="P12" s="19" t="s">
        <v>1175</v>
      </c>
      <c r="Q12" s="19">
        <f t="shared" si="2"/>
        <v>52.400000000000006</v>
      </c>
      <c r="R12" s="12"/>
    </row>
    <row r="13" spans="1:18" s="1" customFormat="1" ht="24">
      <c r="A13" s="6"/>
      <c r="B13" s="7">
        <f>ROW(B13)-ROW($B$2)</f>
        <v>11</v>
      </c>
      <c r="C13" s="11" t="s">
        <v>17</v>
      </c>
      <c r="D13" s="9" t="s">
        <v>89</v>
      </c>
      <c r="E13" s="9" t="s">
        <v>90</v>
      </c>
      <c r="F13" s="9" t="s">
        <v>38</v>
      </c>
      <c r="G13" s="9" t="s">
        <v>91</v>
      </c>
      <c r="H13" s="9" t="s">
        <v>31</v>
      </c>
      <c r="I13" s="12" t="s">
        <v>23</v>
      </c>
      <c r="J13" s="9" t="s">
        <v>92</v>
      </c>
      <c r="K13" s="9" t="s">
        <v>93</v>
      </c>
      <c r="L13" s="9">
        <v>1</v>
      </c>
      <c r="M13" s="9">
        <f t="shared" si="1"/>
        <v>200</v>
      </c>
      <c r="N13" s="9">
        <v>200</v>
      </c>
      <c r="O13" s="18" t="s">
        <v>26</v>
      </c>
      <c r="P13" s="17" t="s">
        <v>94</v>
      </c>
      <c r="Q13" s="17">
        <f t="shared" si="2"/>
        <v>0.52</v>
      </c>
      <c r="R13" s="9"/>
    </row>
    <row r="14" spans="1:18" s="1" customFormat="1">
      <c r="A14" s="6"/>
      <c r="B14" s="10">
        <f t="shared" si="0"/>
        <v>12</v>
      </c>
      <c r="C14" s="11" t="s">
        <v>17</v>
      </c>
      <c r="D14" s="12" t="s">
        <v>95</v>
      </c>
      <c r="E14" s="12" t="s">
        <v>96</v>
      </c>
      <c r="F14" s="12" t="s">
        <v>97</v>
      </c>
      <c r="G14" s="12" t="s">
        <v>98</v>
      </c>
      <c r="H14" s="12" t="s">
        <v>31</v>
      </c>
      <c r="I14" s="12" t="s">
        <v>23</v>
      </c>
      <c r="J14" s="12" t="s">
        <v>99</v>
      </c>
      <c r="K14" s="12" t="s">
        <v>100</v>
      </c>
      <c r="L14" s="12">
        <v>4</v>
      </c>
      <c r="M14" s="9">
        <f t="shared" si="1"/>
        <v>800</v>
      </c>
      <c r="N14" s="12">
        <v>800</v>
      </c>
      <c r="O14" s="18" t="s">
        <v>26</v>
      </c>
      <c r="P14" s="19" t="s">
        <v>101</v>
      </c>
      <c r="Q14" s="19">
        <f t="shared" si="2"/>
        <v>0.8</v>
      </c>
      <c r="R14" s="12"/>
    </row>
    <row r="15" spans="1:18" s="1" customFormat="1">
      <c r="A15" s="6"/>
      <c r="B15" s="7">
        <f>ROW(B15)-ROW($B$2)</f>
        <v>13</v>
      </c>
      <c r="C15" s="11" t="s">
        <v>17</v>
      </c>
      <c r="D15" s="9" t="s">
        <v>102</v>
      </c>
      <c r="E15" s="9" t="s">
        <v>103</v>
      </c>
      <c r="F15" s="9" t="s">
        <v>38</v>
      </c>
      <c r="G15" s="9" t="s">
        <v>104</v>
      </c>
      <c r="H15" s="9" t="s">
        <v>31</v>
      </c>
      <c r="I15" s="12" t="s">
        <v>23</v>
      </c>
      <c r="J15" s="9" t="s">
        <v>105</v>
      </c>
      <c r="K15" s="9" t="s">
        <v>41</v>
      </c>
      <c r="L15" s="9">
        <v>5</v>
      </c>
      <c r="M15" s="9">
        <f t="shared" si="1"/>
        <v>1000</v>
      </c>
      <c r="N15" s="9">
        <v>1000</v>
      </c>
      <c r="O15" s="18" t="s">
        <v>26</v>
      </c>
      <c r="P15" s="17">
        <v>1.4800000000000001E-2</v>
      </c>
      <c r="Q15" s="17">
        <f t="shared" si="2"/>
        <v>14.8</v>
      </c>
      <c r="R15" s="9"/>
    </row>
    <row r="16" spans="1:18" s="1" customFormat="1">
      <c r="A16" s="6"/>
      <c r="B16" s="10">
        <f t="shared" si="0"/>
        <v>14</v>
      </c>
      <c r="C16" s="11" t="s">
        <v>17</v>
      </c>
      <c r="D16" s="12" t="s">
        <v>108</v>
      </c>
      <c r="E16" s="12" t="s">
        <v>109</v>
      </c>
      <c r="F16" s="12" t="s">
        <v>29</v>
      </c>
      <c r="G16" s="12" t="s">
        <v>110</v>
      </c>
      <c r="H16" s="12" t="s">
        <v>31</v>
      </c>
      <c r="I16" s="12" t="s">
        <v>23</v>
      </c>
      <c r="J16" s="12" t="s">
        <v>111</v>
      </c>
      <c r="K16" s="12" t="s">
        <v>112</v>
      </c>
      <c r="L16" s="12">
        <v>1</v>
      </c>
      <c r="M16" s="9">
        <f t="shared" si="1"/>
        <v>200</v>
      </c>
      <c r="N16" s="12">
        <v>200</v>
      </c>
      <c r="O16" s="18" t="s">
        <v>26</v>
      </c>
      <c r="P16" s="19" t="s">
        <v>1178</v>
      </c>
      <c r="Q16" s="19">
        <f t="shared" si="2"/>
        <v>5.6000000000000005</v>
      </c>
      <c r="R16" s="12"/>
    </row>
    <row r="17" spans="1:18" s="1" customFormat="1">
      <c r="A17" s="6"/>
      <c r="B17" s="7">
        <f>ROW(B17)-ROW($B$2)</f>
        <v>15</v>
      </c>
      <c r="C17" s="11" t="s">
        <v>17</v>
      </c>
      <c r="D17" s="9" t="s">
        <v>115</v>
      </c>
      <c r="E17" s="9" t="s">
        <v>116</v>
      </c>
      <c r="F17" s="9" t="s">
        <v>46</v>
      </c>
      <c r="G17" s="9" t="s">
        <v>117</v>
      </c>
      <c r="H17" s="9" t="s">
        <v>31</v>
      </c>
      <c r="I17" s="12" t="s">
        <v>23</v>
      </c>
      <c r="J17" s="9" t="s">
        <v>118</v>
      </c>
      <c r="K17" s="9" t="s">
        <v>119</v>
      </c>
      <c r="L17" s="9">
        <v>2</v>
      </c>
      <c r="M17" s="9">
        <f t="shared" si="1"/>
        <v>400</v>
      </c>
      <c r="N17" s="9">
        <v>400</v>
      </c>
      <c r="O17" s="18" t="s">
        <v>26</v>
      </c>
      <c r="P17" s="17" t="s">
        <v>120</v>
      </c>
      <c r="Q17" s="17">
        <f t="shared" si="2"/>
        <v>0.44</v>
      </c>
      <c r="R17" s="9"/>
    </row>
    <row r="18" spans="1:18" s="1" customFormat="1">
      <c r="A18" s="6"/>
      <c r="B18" s="10">
        <f t="shared" si="0"/>
        <v>16</v>
      </c>
      <c r="C18" s="11" t="s">
        <v>17</v>
      </c>
      <c r="D18" s="12" t="s">
        <v>121</v>
      </c>
      <c r="E18" s="12" t="s">
        <v>122</v>
      </c>
      <c r="F18" s="12" t="s">
        <v>46</v>
      </c>
      <c r="G18" s="12" t="s">
        <v>123</v>
      </c>
      <c r="H18" s="12" t="s">
        <v>31</v>
      </c>
      <c r="I18" s="12" t="s">
        <v>23</v>
      </c>
      <c r="J18" s="12" t="s">
        <v>124</v>
      </c>
      <c r="K18" s="12" t="s">
        <v>33</v>
      </c>
      <c r="L18" s="12">
        <v>6</v>
      </c>
      <c r="M18" s="9">
        <f t="shared" si="1"/>
        <v>1200</v>
      </c>
      <c r="N18" s="12">
        <v>1200</v>
      </c>
      <c r="O18" s="18" t="s">
        <v>26</v>
      </c>
      <c r="P18" s="19">
        <v>1.2999999999999999E-3</v>
      </c>
      <c r="Q18" s="19">
        <f t="shared" si="2"/>
        <v>1.5599999999999998</v>
      </c>
      <c r="R18" s="12"/>
    </row>
    <row r="19" spans="1:18" s="1" customFormat="1">
      <c r="A19" s="6"/>
      <c r="B19" s="7">
        <f>ROW(B19)-ROW($B$2)</f>
        <v>17</v>
      </c>
      <c r="C19" s="11" t="s">
        <v>17</v>
      </c>
      <c r="D19" s="9" t="s">
        <v>126</v>
      </c>
      <c r="E19" s="9" t="s">
        <v>127</v>
      </c>
      <c r="F19" s="9" t="s">
        <v>38</v>
      </c>
      <c r="G19" s="9" t="s">
        <v>128</v>
      </c>
      <c r="H19" s="9" t="s">
        <v>129</v>
      </c>
      <c r="I19" s="12" t="s">
        <v>23</v>
      </c>
      <c r="J19" s="9" t="s">
        <v>130</v>
      </c>
      <c r="K19" s="9" t="s">
        <v>25</v>
      </c>
      <c r="L19" s="9">
        <v>1</v>
      </c>
      <c r="M19" s="9">
        <f t="shared" si="1"/>
        <v>200</v>
      </c>
      <c r="N19" s="9">
        <v>200</v>
      </c>
      <c r="O19" s="18" t="s">
        <v>26</v>
      </c>
      <c r="P19" s="17">
        <v>3.0300000000000001E-2</v>
      </c>
      <c r="Q19" s="17">
        <f t="shared" si="2"/>
        <v>6.0600000000000005</v>
      </c>
      <c r="R19" s="9"/>
    </row>
    <row r="20" spans="1:18" s="1" customFormat="1">
      <c r="A20" s="6"/>
      <c r="B20" s="10">
        <f t="shared" si="0"/>
        <v>18</v>
      </c>
      <c r="C20" s="11" t="s">
        <v>17</v>
      </c>
      <c r="D20" s="12" t="s">
        <v>133</v>
      </c>
      <c r="E20" s="12" t="s">
        <v>134</v>
      </c>
      <c r="F20" s="12" t="s">
        <v>135</v>
      </c>
      <c r="G20" s="12" t="s">
        <v>136</v>
      </c>
      <c r="H20" s="12" t="s">
        <v>137</v>
      </c>
      <c r="I20" s="12" t="s">
        <v>23</v>
      </c>
      <c r="J20" s="12" t="s">
        <v>138</v>
      </c>
      <c r="K20" s="12" t="s">
        <v>139</v>
      </c>
      <c r="L20" s="12">
        <v>5</v>
      </c>
      <c r="M20" s="9">
        <f t="shared" si="1"/>
        <v>1000</v>
      </c>
      <c r="N20" s="12">
        <v>1000</v>
      </c>
      <c r="O20" s="18" t="s">
        <v>26</v>
      </c>
      <c r="P20" s="19">
        <v>7.6100000000000001E-2</v>
      </c>
      <c r="Q20" s="19">
        <f t="shared" si="2"/>
        <v>76.099999999999994</v>
      </c>
      <c r="R20" s="12"/>
    </row>
    <row r="21" spans="1:18" s="1" customFormat="1">
      <c r="A21" s="6"/>
      <c r="B21" s="7">
        <f>ROW(B21)-ROW($B$2)</f>
        <v>19</v>
      </c>
      <c r="C21" s="11" t="s">
        <v>17</v>
      </c>
      <c r="D21" s="9" t="s">
        <v>142</v>
      </c>
      <c r="E21" s="9" t="s">
        <v>143</v>
      </c>
      <c r="F21" s="9" t="s">
        <v>20</v>
      </c>
      <c r="G21" s="9" t="s">
        <v>144</v>
      </c>
      <c r="H21" s="9" t="s">
        <v>64</v>
      </c>
      <c r="I21" s="12" t="s">
        <v>23</v>
      </c>
      <c r="J21" s="9" t="s">
        <v>145</v>
      </c>
      <c r="K21" s="9" t="s">
        <v>146</v>
      </c>
      <c r="L21" s="9">
        <v>1</v>
      </c>
      <c r="M21" s="9">
        <f t="shared" si="1"/>
        <v>200</v>
      </c>
      <c r="N21" s="9">
        <v>200</v>
      </c>
      <c r="O21" s="18" t="s">
        <v>26</v>
      </c>
      <c r="P21" s="17" t="s">
        <v>1182</v>
      </c>
      <c r="Q21" s="17">
        <f t="shared" si="2"/>
        <v>48.980000000000004</v>
      </c>
      <c r="R21" s="9"/>
    </row>
    <row r="22" spans="1:18" s="1" customFormat="1">
      <c r="A22" s="6"/>
      <c r="B22" s="10">
        <f t="shared" si="0"/>
        <v>20</v>
      </c>
      <c r="C22" s="11" t="s">
        <v>17</v>
      </c>
      <c r="D22" s="12" t="s">
        <v>148</v>
      </c>
      <c r="E22" s="12" t="s">
        <v>149</v>
      </c>
      <c r="F22" s="12" t="s">
        <v>38</v>
      </c>
      <c r="G22" s="12" t="s">
        <v>150</v>
      </c>
      <c r="H22" s="12" t="s">
        <v>31</v>
      </c>
      <c r="I22" s="12" t="s">
        <v>23</v>
      </c>
      <c r="J22" s="12" t="s">
        <v>151</v>
      </c>
      <c r="K22" s="12" t="s">
        <v>25</v>
      </c>
      <c r="L22" s="12">
        <v>1</v>
      </c>
      <c r="M22" s="9">
        <f t="shared" si="1"/>
        <v>200</v>
      </c>
      <c r="N22" s="12">
        <v>200</v>
      </c>
      <c r="O22" s="18" t="s">
        <v>26</v>
      </c>
      <c r="P22" s="19" t="s">
        <v>1183</v>
      </c>
      <c r="Q22" s="19">
        <f t="shared" si="2"/>
        <v>23.28</v>
      </c>
      <c r="R22" s="12"/>
    </row>
    <row r="23" spans="1:18" s="1" customFormat="1">
      <c r="A23" s="6"/>
      <c r="B23" s="7">
        <f>ROW(B23)-ROW($B$2)</f>
        <v>21</v>
      </c>
      <c r="C23" s="11" t="s">
        <v>17</v>
      </c>
      <c r="D23" s="9" t="s">
        <v>153</v>
      </c>
      <c r="E23" s="9" t="s">
        <v>154</v>
      </c>
      <c r="F23" s="9" t="s">
        <v>46</v>
      </c>
      <c r="G23" s="9" t="s">
        <v>155</v>
      </c>
      <c r="H23" s="9" t="s">
        <v>156</v>
      </c>
      <c r="I23" s="12" t="s">
        <v>23</v>
      </c>
      <c r="J23" s="9" t="s">
        <v>157</v>
      </c>
      <c r="K23" s="9" t="s">
        <v>33</v>
      </c>
      <c r="L23" s="9">
        <v>1</v>
      </c>
      <c r="M23" s="9">
        <f t="shared" si="1"/>
        <v>200</v>
      </c>
      <c r="N23" s="9">
        <v>200</v>
      </c>
      <c r="O23" s="18" t="s">
        <v>26</v>
      </c>
      <c r="P23" s="17" t="s">
        <v>158</v>
      </c>
      <c r="Q23" s="17">
        <f t="shared" si="2"/>
        <v>0.91999999999999993</v>
      </c>
      <c r="R23" s="9"/>
    </row>
    <row r="24" spans="1:18" s="1" customFormat="1">
      <c r="A24" s="6"/>
      <c r="B24" s="10">
        <f t="shared" si="0"/>
        <v>22</v>
      </c>
      <c r="C24" s="11" t="s">
        <v>17</v>
      </c>
      <c r="D24" s="12" t="s">
        <v>159</v>
      </c>
      <c r="E24" s="12" t="s">
        <v>160</v>
      </c>
      <c r="F24" s="12" t="s">
        <v>38</v>
      </c>
      <c r="G24" s="12" t="s">
        <v>161</v>
      </c>
      <c r="H24" s="12" t="s">
        <v>71</v>
      </c>
      <c r="I24" s="12" t="s">
        <v>23</v>
      </c>
      <c r="J24" s="12" t="s">
        <v>162</v>
      </c>
      <c r="K24" s="12" t="s">
        <v>25</v>
      </c>
      <c r="L24" s="12">
        <v>1</v>
      </c>
      <c r="M24" s="9">
        <f t="shared" si="1"/>
        <v>200</v>
      </c>
      <c r="N24" s="12">
        <v>200</v>
      </c>
      <c r="O24" s="18" t="s">
        <v>26</v>
      </c>
      <c r="P24" s="19" t="s">
        <v>1184</v>
      </c>
      <c r="Q24" s="19">
        <f t="shared" si="2"/>
        <v>160.54</v>
      </c>
      <c r="R24" s="12"/>
    </row>
    <row r="25" spans="1:18" s="1" customFormat="1">
      <c r="A25" s="6"/>
      <c r="B25" s="7">
        <f>ROW(B25)-ROW($B$2)</f>
        <v>23</v>
      </c>
      <c r="C25" s="11" t="s">
        <v>17</v>
      </c>
      <c r="D25" s="9" t="s">
        <v>164</v>
      </c>
      <c r="E25" s="9" t="s">
        <v>165</v>
      </c>
      <c r="F25" s="9" t="s">
        <v>46</v>
      </c>
      <c r="G25" s="9" t="s">
        <v>166</v>
      </c>
      <c r="H25" s="9" t="s">
        <v>129</v>
      </c>
      <c r="I25" s="12" t="s">
        <v>23</v>
      </c>
      <c r="J25" s="9" t="s">
        <v>167</v>
      </c>
      <c r="K25" s="9" t="s">
        <v>33</v>
      </c>
      <c r="L25" s="9">
        <v>2</v>
      </c>
      <c r="M25" s="9">
        <f t="shared" si="1"/>
        <v>400</v>
      </c>
      <c r="N25" s="9">
        <v>400</v>
      </c>
      <c r="O25" s="18" t="s">
        <v>26</v>
      </c>
      <c r="P25" s="17" t="s">
        <v>168</v>
      </c>
      <c r="Q25" s="17">
        <f t="shared" si="2"/>
        <v>3.84</v>
      </c>
      <c r="R25" s="9"/>
    </row>
    <row r="26" spans="1:18" s="1" customFormat="1">
      <c r="A26" s="6"/>
      <c r="B26" s="10">
        <f t="shared" si="0"/>
        <v>24</v>
      </c>
      <c r="C26" s="11" t="s">
        <v>17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173</v>
      </c>
      <c r="I26" s="12" t="s">
        <v>23</v>
      </c>
      <c r="J26" s="12" t="s">
        <v>174</v>
      </c>
      <c r="K26" s="12" t="s">
        <v>175</v>
      </c>
      <c r="L26" s="12">
        <v>1</v>
      </c>
      <c r="M26" s="9">
        <f t="shared" si="1"/>
        <v>200</v>
      </c>
      <c r="N26" s="12">
        <v>200</v>
      </c>
      <c r="O26" s="18" t="s">
        <v>26</v>
      </c>
      <c r="P26" s="19" t="s">
        <v>1185</v>
      </c>
      <c r="Q26" s="19">
        <f t="shared" si="2"/>
        <v>222.76</v>
      </c>
      <c r="R26" s="12"/>
    </row>
    <row r="27" spans="1:18" s="1" customFormat="1">
      <c r="A27" s="6"/>
      <c r="B27" s="7">
        <f>ROW(B27)-ROW($B$2)</f>
        <v>25</v>
      </c>
      <c r="C27" s="11" t="s">
        <v>17</v>
      </c>
      <c r="D27" s="9" t="s">
        <v>177</v>
      </c>
      <c r="E27" s="9" t="s">
        <v>178</v>
      </c>
      <c r="F27" s="9" t="s">
        <v>179</v>
      </c>
      <c r="G27" s="9" t="s">
        <v>180</v>
      </c>
      <c r="H27" s="9" t="s">
        <v>173</v>
      </c>
      <c r="I27" s="12" t="s">
        <v>23</v>
      </c>
      <c r="J27" s="9" t="s">
        <v>181</v>
      </c>
      <c r="K27" s="9" t="s">
        <v>66</v>
      </c>
      <c r="L27" s="9">
        <v>1</v>
      </c>
      <c r="M27" s="9">
        <f t="shared" si="1"/>
        <v>200</v>
      </c>
      <c r="N27" s="9">
        <v>200</v>
      </c>
      <c r="O27" s="18" t="s">
        <v>26</v>
      </c>
      <c r="P27" s="17" t="s">
        <v>1186</v>
      </c>
      <c r="Q27" s="17">
        <f t="shared" si="2"/>
        <v>30.5</v>
      </c>
      <c r="R27" s="9"/>
    </row>
    <row r="28" spans="1:18" s="1" customFormat="1">
      <c r="A28" s="6"/>
      <c r="B28" s="10">
        <f t="shared" si="0"/>
        <v>26</v>
      </c>
      <c r="C28" s="11" t="s">
        <v>17</v>
      </c>
      <c r="D28" s="12" t="s">
        <v>183</v>
      </c>
      <c r="E28" s="12" t="s">
        <v>184</v>
      </c>
      <c r="F28" s="12" t="s">
        <v>46</v>
      </c>
      <c r="G28" s="12" t="s">
        <v>185</v>
      </c>
      <c r="H28" s="12" t="s">
        <v>31</v>
      </c>
      <c r="I28" s="12" t="s">
        <v>23</v>
      </c>
      <c r="J28" s="12" t="s">
        <v>186</v>
      </c>
      <c r="K28" s="12" t="s">
        <v>25</v>
      </c>
      <c r="L28" s="12">
        <v>2</v>
      </c>
      <c r="M28" s="9">
        <f t="shared" si="1"/>
        <v>400</v>
      </c>
      <c r="N28" s="12">
        <v>400</v>
      </c>
      <c r="O28" s="18" t="s">
        <v>26</v>
      </c>
      <c r="P28" s="19" t="s">
        <v>721</v>
      </c>
      <c r="Q28" s="19">
        <f t="shared" si="2"/>
        <v>8.1199999999999992</v>
      </c>
      <c r="R28" s="12"/>
    </row>
    <row r="29" spans="1:18" s="1" customFormat="1">
      <c r="A29" s="6"/>
      <c r="B29" s="7">
        <f>ROW(B29)-ROW($B$2)</f>
        <v>27</v>
      </c>
      <c r="C29" s="11" t="s">
        <v>17</v>
      </c>
      <c r="D29" s="9" t="s">
        <v>188</v>
      </c>
      <c r="E29" s="9" t="s">
        <v>189</v>
      </c>
      <c r="F29" s="9" t="s">
        <v>190</v>
      </c>
      <c r="G29" s="9" t="s">
        <v>191</v>
      </c>
      <c r="H29" s="9" t="s">
        <v>129</v>
      </c>
      <c r="I29" s="12" t="s">
        <v>23</v>
      </c>
      <c r="J29" s="9" t="s">
        <v>192</v>
      </c>
      <c r="K29" s="9" t="s">
        <v>33</v>
      </c>
      <c r="L29" s="9">
        <v>1</v>
      </c>
      <c r="M29" s="9">
        <f t="shared" si="1"/>
        <v>200</v>
      </c>
      <c r="N29" s="9">
        <v>200</v>
      </c>
      <c r="O29" s="18" t="s">
        <v>26</v>
      </c>
      <c r="P29" s="17" t="s">
        <v>193</v>
      </c>
      <c r="Q29" s="17">
        <f t="shared" si="2"/>
        <v>1.78</v>
      </c>
      <c r="R29" s="9"/>
    </row>
    <row r="30" spans="1:18" s="1" customFormat="1">
      <c r="A30" s="6"/>
      <c r="B30" s="10">
        <f t="shared" si="0"/>
        <v>28</v>
      </c>
      <c r="C30" s="11" t="s">
        <v>194</v>
      </c>
      <c r="D30" s="12" t="s">
        <v>195</v>
      </c>
      <c r="E30" s="12" t="s">
        <v>196</v>
      </c>
      <c r="F30" s="9" t="s">
        <v>20</v>
      </c>
      <c r="G30" s="12" t="s">
        <v>197</v>
      </c>
      <c r="H30" s="12" t="s">
        <v>173</v>
      </c>
      <c r="I30" s="12" t="s">
        <v>23</v>
      </c>
      <c r="J30" s="12" t="s">
        <v>23</v>
      </c>
      <c r="K30" s="12" t="s">
        <v>198</v>
      </c>
      <c r="L30" s="12">
        <v>1</v>
      </c>
      <c r="M30" s="9">
        <f t="shared" si="1"/>
        <v>200</v>
      </c>
      <c r="N30" s="12">
        <v>200</v>
      </c>
      <c r="O30" s="20" t="s">
        <v>67</v>
      </c>
      <c r="P30" s="19">
        <v>1.24935</v>
      </c>
      <c r="Q30" s="19">
        <f t="shared" si="2"/>
        <v>249.87</v>
      </c>
      <c r="R30" s="12"/>
    </row>
    <row r="31" spans="1:18" s="1" customFormat="1">
      <c r="A31" s="6"/>
      <c r="B31" s="7">
        <f>ROW(B31)-ROW($B$2)</f>
        <v>29</v>
      </c>
      <c r="C31" s="11" t="s">
        <v>17</v>
      </c>
      <c r="D31" s="9" t="s">
        <v>199</v>
      </c>
      <c r="E31" s="9" t="s">
        <v>200</v>
      </c>
      <c r="F31" s="9" t="s">
        <v>29</v>
      </c>
      <c r="G31" s="9" t="s">
        <v>201</v>
      </c>
      <c r="H31" s="9" t="s">
        <v>71</v>
      </c>
      <c r="I31" s="12" t="s">
        <v>23</v>
      </c>
      <c r="J31" s="9" t="s">
        <v>202</v>
      </c>
      <c r="K31" s="9" t="s">
        <v>203</v>
      </c>
      <c r="L31" s="9">
        <v>2</v>
      </c>
      <c r="M31" s="9">
        <f t="shared" si="1"/>
        <v>400</v>
      </c>
      <c r="N31" s="9">
        <v>400</v>
      </c>
      <c r="O31" s="18" t="s">
        <v>26</v>
      </c>
      <c r="P31" s="17" t="s">
        <v>1187</v>
      </c>
      <c r="Q31" s="17">
        <f t="shared" si="2"/>
        <v>632.48</v>
      </c>
      <c r="R31" s="9"/>
    </row>
    <row r="32" spans="1:18" s="1" customFormat="1">
      <c r="A32" s="6"/>
      <c r="B32" s="10">
        <f t="shared" si="0"/>
        <v>30</v>
      </c>
      <c r="C32" s="11" t="s">
        <v>17</v>
      </c>
      <c r="D32" s="12" t="s">
        <v>205</v>
      </c>
      <c r="E32" s="12" t="s">
        <v>206</v>
      </c>
      <c r="F32" s="12" t="s">
        <v>38</v>
      </c>
      <c r="G32" s="12" t="s">
        <v>207</v>
      </c>
      <c r="H32" s="12" t="s">
        <v>31</v>
      </c>
      <c r="I32" s="12" t="s">
        <v>23</v>
      </c>
      <c r="J32" s="12" t="s">
        <v>208</v>
      </c>
      <c r="K32" s="12" t="s">
        <v>209</v>
      </c>
      <c r="L32" s="12">
        <v>1</v>
      </c>
      <c r="M32" s="9">
        <f t="shared" si="1"/>
        <v>200</v>
      </c>
      <c r="N32" s="12">
        <v>200</v>
      </c>
      <c r="O32" s="18" t="s">
        <v>26</v>
      </c>
      <c r="P32" s="19" t="s">
        <v>74</v>
      </c>
      <c r="Q32" s="19">
        <f t="shared" si="2"/>
        <v>1.8399999999999999</v>
      </c>
      <c r="R32" s="12"/>
    </row>
    <row r="33" spans="1:18" s="1" customFormat="1">
      <c r="A33" s="6"/>
      <c r="B33" s="7">
        <f>ROW(B33)-ROW($B$2)</f>
        <v>31</v>
      </c>
      <c r="C33" s="8" t="s">
        <v>17</v>
      </c>
      <c r="D33" s="9" t="s">
        <v>210</v>
      </c>
      <c r="E33" s="9" t="s">
        <v>211</v>
      </c>
      <c r="F33" s="9" t="s">
        <v>38</v>
      </c>
      <c r="G33" s="9" t="s">
        <v>212</v>
      </c>
      <c r="H33" s="9" t="s">
        <v>31</v>
      </c>
      <c r="I33" s="12" t="s">
        <v>23</v>
      </c>
      <c r="J33" s="9" t="s">
        <v>213</v>
      </c>
      <c r="K33" s="9" t="s">
        <v>214</v>
      </c>
      <c r="L33" s="9">
        <v>1</v>
      </c>
      <c r="M33" s="9">
        <f t="shared" si="1"/>
        <v>200</v>
      </c>
      <c r="N33" s="9">
        <v>200</v>
      </c>
      <c r="O33" s="18" t="s">
        <v>26</v>
      </c>
      <c r="P33" s="17" t="s">
        <v>94</v>
      </c>
      <c r="Q33" s="17">
        <f t="shared" si="2"/>
        <v>0.52</v>
      </c>
      <c r="R33" s="9"/>
    </row>
    <row r="34" spans="1:18" s="1" customFormat="1">
      <c r="A34" s="6"/>
      <c r="B34" s="10">
        <f t="shared" si="0"/>
        <v>32</v>
      </c>
      <c r="C34" s="11" t="s">
        <v>17</v>
      </c>
      <c r="D34" s="12" t="s">
        <v>215</v>
      </c>
      <c r="E34" s="12" t="s">
        <v>216</v>
      </c>
      <c r="F34" s="12" t="s">
        <v>38</v>
      </c>
      <c r="G34" s="12" t="s">
        <v>217</v>
      </c>
      <c r="H34" s="12" t="s">
        <v>31</v>
      </c>
      <c r="I34" s="12" t="s">
        <v>23</v>
      </c>
      <c r="J34" s="12" t="s">
        <v>218</v>
      </c>
      <c r="K34" s="12" t="s">
        <v>139</v>
      </c>
      <c r="L34" s="12">
        <v>2</v>
      </c>
      <c r="M34" s="9">
        <f t="shared" si="1"/>
        <v>400</v>
      </c>
      <c r="N34" s="12">
        <v>400</v>
      </c>
      <c r="O34" s="18" t="s">
        <v>26</v>
      </c>
      <c r="P34" s="19" t="s">
        <v>1188</v>
      </c>
      <c r="Q34" s="19">
        <f t="shared" si="2"/>
        <v>12.6</v>
      </c>
      <c r="R34" s="12"/>
    </row>
    <row r="35" spans="1:18" s="1" customFormat="1">
      <c r="A35" s="6"/>
      <c r="B35" s="7">
        <f>ROW(B35)-ROW($B$2)</f>
        <v>33</v>
      </c>
      <c r="C35" s="8" t="s">
        <v>17</v>
      </c>
      <c r="D35" s="9" t="s">
        <v>220</v>
      </c>
      <c r="E35" s="9" t="s">
        <v>221</v>
      </c>
      <c r="F35" s="9" t="s">
        <v>46</v>
      </c>
      <c r="G35" s="9" t="s">
        <v>222</v>
      </c>
      <c r="H35" s="9" t="s">
        <v>129</v>
      </c>
      <c r="I35" s="12" t="s">
        <v>23</v>
      </c>
      <c r="J35" s="9" t="s">
        <v>223</v>
      </c>
      <c r="K35" s="9" t="s">
        <v>224</v>
      </c>
      <c r="L35" s="9">
        <v>2</v>
      </c>
      <c r="M35" s="9">
        <f t="shared" si="1"/>
        <v>400</v>
      </c>
      <c r="N35" s="9">
        <v>400</v>
      </c>
      <c r="O35" s="18" t="s">
        <v>26</v>
      </c>
      <c r="P35" s="17" t="s">
        <v>225</v>
      </c>
      <c r="Q35" s="17">
        <f t="shared" si="2"/>
        <v>7.16</v>
      </c>
      <c r="R35" s="9"/>
    </row>
    <row r="36" spans="1:18" s="1" customFormat="1">
      <c r="A36" s="6"/>
      <c r="B36" s="10">
        <f t="shared" si="0"/>
        <v>34</v>
      </c>
      <c r="C36" s="11" t="s">
        <v>17</v>
      </c>
      <c r="D36" s="12" t="s">
        <v>226</v>
      </c>
      <c r="E36" s="12" t="s">
        <v>227</v>
      </c>
      <c r="F36" s="12" t="s">
        <v>38</v>
      </c>
      <c r="G36" s="12" t="s">
        <v>228</v>
      </c>
      <c r="H36" s="12" t="s">
        <v>31</v>
      </c>
      <c r="I36" s="12" t="s">
        <v>23</v>
      </c>
      <c r="J36" s="12" t="s">
        <v>229</v>
      </c>
      <c r="K36" s="12" t="s">
        <v>119</v>
      </c>
      <c r="L36" s="12">
        <v>1</v>
      </c>
      <c r="M36" s="9">
        <f t="shared" si="1"/>
        <v>200</v>
      </c>
      <c r="N36" s="12">
        <v>200</v>
      </c>
      <c r="O36" s="18" t="s">
        <v>26</v>
      </c>
      <c r="P36" s="19" t="s">
        <v>230</v>
      </c>
      <c r="Q36" s="19">
        <f t="shared" si="2"/>
        <v>0.67999999999999994</v>
      </c>
      <c r="R36" s="12"/>
    </row>
    <row r="37" spans="1:18" s="1" customFormat="1">
      <c r="A37" s="6"/>
      <c r="B37" s="7">
        <f>ROW(B37)-ROW($B$2)</f>
        <v>35</v>
      </c>
      <c r="C37" s="11" t="s">
        <v>17</v>
      </c>
      <c r="D37" s="9" t="s">
        <v>231</v>
      </c>
      <c r="E37" s="9" t="s">
        <v>232</v>
      </c>
      <c r="F37" s="9" t="s">
        <v>46</v>
      </c>
      <c r="G37" s="9" t="s">
        <v>233</v>
      </c>
      <c r="H37" s="9" t="s">
        <v>31</v>
      </c>
      <c r="I37" s="12" t="s">
        <v>23</v>
      </c>
      <c r="J37" s="9" t="s">
        <v>234</v>
      </c>
      <c r="K37" s="9" t="s">
        <v>33</v>
      </c>
      <c r="L37" s="9">
        <v>3</v>
      </c>
      <c r="M37" s="9">
        <f t="shared" si="1"/>
        <v>600</v>
      </c>
      <c r="N37" s="9">
        <v>600</v>
      </c>
      <c r="O37" s="18" t="s">
        <v>26</v>
      </c>
      <c r="P37" s="17" t="s">
        <v>235</v>
      </c>
      <c r="Q37" s="17">
        <f t="shared" si="2"/>
        <v>0.9</v>
      </c>
      <c r="R37" s="9"/>
    </row>
    <row r="38" spans="1:18" s="1" customFormat="1">
      <c r="A38" s="6"/>
      <c r="B38" s="10">
        <f t="shared" si="0"/>
        <v>36</v>
      </c>
      <c r="C38" s="11" t="s">
        <v>17</v>
      </c>
      <c r="D38" s="12" t="s">
        <v>236</v>
      </c>
      <c r="E38" s="12" t="s">
        <v>237</v>
      </c>
      <c r="F38" s="12" t="s">
        <v>135</v>
      </c>
      <c r="G38" s="12" t="s">
        <v>238</v>
      </c>
      <c r="H38" s="12" t="s">
        <v>239</v>
      </c>
      <c r="I38" s="12" t="s">
        <v>23</v>
      </c>
      <c r="J38" s="12" t="s">
        <v>240</v>
      </c>
      <c r="K38" s="12" t="s">
        <v>25</v>
      </c>
      <c r="L38" s="12">
        <v>1</v>
      </c>
      <c r="M38" s="9">
        <f t="shared" si="1"/>
        <v>200</v>
      </c>
      <c r="N38" s="12">
        <v>200</v>
      </c>
      <c r="O38" s="18" t="s">
        <v>26</v>
      </c>
      <c r="P38" s="19" t="s">
        <v>1189</v>
      </c>
      <c r="Q38" s="19">
        <f t="shared" si="2"/>
        <v>9.120000000000001</v>
      </c>
      <c r="R38" s="12"/>
    </row>
    <row r="39" spans="1:18" s="1" customFormat="1">
      <c r="A39" s="6"/>
      <c r="B39" s="7">
        <f>ROW(B39)-ROW($B$2)</f>
        <v>37</v>
      </c>
      <c r="C39" s="11" t="s">
        <v>17</v>
      </c>
      <c r="D39" s="9" t="s">
        <v>242</v>
      </c>
      <c r="E39" s="9" t="s">
        <v>243</v>
      </c>
      <c r="F39" s="9" t="s">
        <v>46</v>
      </c>
      <c r="G39" s="9" t="s">
        <v>244</v>
      </c>
      <c r="H39" s="9" t="s">
        <v>31</v>
      </c>
      <c r="I39" s="12" t="s">
        <v>23</v>
      </c>
      <c r="J39" s="9" t="s">
        <v>245</v>
      </c>
      <c r="K39" s="9" t="s">
        <v>41</v>
      </c>
      <c r="L39" s="9">
        <v>1</v>
      </c>
      <c r="M39" s="9">
        <f t="shared" si="1"/>
        <v>200</v>
      </c>
      <c r="N39" s="9">
        <v>200</v>
      </c>
      <c r="O39" s="18" t="s">
        <v>26</v>
      </c>
      <c r="P39" s="17" t="s">
        <v>246</v>
      </c>
      <c r="Q39" s="17">
        <f t="shared" si="2"/>
        <v>1.48</v>
      </c>
      <c r="R39" s="9"/>
    </row>
    <row r="40" spans="1:18" s="1" customFormat="1">
      <c r="A40" s="6"/>
      <c r="B40" s="10">
        <f t="shared" si="0"/>
        <v>38</v>
      </c>
      <c r="C40" s="11" t="s">
        <v>17</v>
      </c>
      <c r="D40" s="12" t="s">
        <v>247</v>
      </c>
      <c r="E40" s="12" t="s">
        <v>248</v>
      </c>
      <c r="F40" s="12" t="s">
        <v>135</v>
      </c>
      <c r="G40" s="12" t="s">
        <v>249</v>
      </c>
      <c r="H40" s="12" t="s">
        <v>31</v>
      </c>
      <c r="I40" s="12" t="s">
        <v>23</v>
      </c>
      <c r="J40" s="12" t="s">
        <v>250</v>
      </c>
      <c r="K40" s="12" t="s">
        <v>25</v>
      </c>
      <c r="L40" s="12">
        <v>1</v>
      </c>
      <c r="M40" s="9">
        <f t="shared" si="1"/>
        <v>200</v>
      </c>
      <c r="N40" s="12">
        <v>200</v>
      </c>
      <c r="O40" s="18" t="s">
        <v>26</v>
      </c>
      <c r="P40" s="19" t="s">
        <v>251</v>
      </c>
      <c r="Q40" s="19">
        <f t="shared" si="2"/>
        <v>5.92</v>
      </c>
      <c r="R40" s="12"/>
    </row>
    <row r="41" spans="1:18" s="1" customFormat="1" ht="24">
      <c r="A41" s="6"/>
      <c r="B41" s="7">
        <f>ROW(B41)-ROW($B$2)</f>
        <v>39</v>
      </c>
      <c r="C41" s="8" t="s">
        <v>252</v>
      </c>
      <c r="D41" s="9" t="s">
        <v>253</v>
      </c>
      <c r="E41" s="9" t="s">
        <v>254</v>
      </c>
      <c r="F41" s="9" t="s">
        <v>255</v>
      </c>
      <c r="G41" s="9" t="s">
        <v>256</v>
      </c>
      <c r="H41" s="9" t="s">
        <v>257</v>
      </c>
      <c r="I41" s="12" t="s">
        <v>23</v>
      </c>
      <c r="J41" s="9" t="s">
        <v>258</v>
      </c>
      <c r="K41" s="9" t="s">
        <v>23</v>
      </c>
      <c r="L41" s="9">
        <v>1</v>
      </c>
      <c r="M41" s="9">
        <f t="shared" si="1"/>
        <v>200</v>
      </c>
      <c r="N41" s="9">
        <v>200</v>
      </c>
      <c r="O41" s="18" t="s">
        <v>26</v>
      </c>
      <c r="P41" s="17" t="s">
        <v>259</v>
      </c>
      <c r="Q41" s="17">
        <f t="shared" si="2"/>
        <v>4.2</v>
      </c>
      <c r="R41" s="9"/>
    </row>
    <row r="42" spans="1:18" s="1" customFormat="1">
      <c r="A42" s="6"/>
      <c r="B42" s="10">
        <f t="shared" si="0"/>
        <v>40</v>
      </c>
      <c r="C42" s="11" t="s">
        <v>260</v>
      </c>
      <c r="D42" s="12" t="s">
        <v>261</v>
      </c>
      <c r="E42" s="12" t="s">
        <v>262</v>
      </c>
      <c r="F42" s="12" t="s">
        <v>255</v>
      </c>
      <c r="G42" s="12" t="s">
        <v>263</v>
      </c>
      <c r="H42" s="12" t="s">
        <v>264</v>
      </c>
      <c r="I42" s="12" t="s">
        <v>23</v>
      </c>
      <c r="J42" s="12" t="s">
        <v>265</v>
      </c>
      <c r="K42" s="9" t="s">
        <v>23</v>
      </c>
      <c r="L42" s="12">
        <v>1</v>
      </c>
      <c r="M42" s="9">
        <f t="shared" si="1"/>
        <v>200</v>
      </c>
      <c r="N42" s="12">
        <v>200</v>
      </c>
      <c r="O42" s="18" t="s">
        <v>26</v>
      </c>
      <c r="P42" s="19" t="s">
        <v>1190</v>
      </c>
      <c r="Q42" s="19">
        <f t="shared" si="2"/>
        <v>27.1</v>
      </c>
      <c r="R42" s="12"/>
    </row>
    <row r="43" spans="1:18" s="1" customFormat="1" ht="24">
      <c r="A43" s="6"/>
      <c r="B43" s="7">
        <f>ROW(B43)-ROW($B$2)</f>
        <v>41</v>
      </c>
      <c r="C43" s="8" t="s">
        <v>252</v>
      </c>
      <c r="D43" s="9" t="s">
        <v>267</v>
      </c>
      <c r="E43" s="9" t="s">
        <v>268</v>
      </c>
      <c r="F43" s="9" t="s">
        <v>269</v>
      </c>
      <c r="G43" s="9" t="s">
        <v>270</v>
      </c>
      <c r="H43" s="9" t="s">
        <v>271</v>
      </c>
      <c r="I43" s="12" t="s">
        <v>23</v>
      </c>
      <c r="J43" s="9" t="s">
        <v>272</v>
      </c>
      <c r="K43" s="9" t="s">
        <v>23</v>
      </c>
      <c r="L43" s="9">
        <v>2</v>
      </c>
      <c r="M43" s="9">
        <f t="shared" si="1"/>
        <v>400</v>
      </c>
      <c r="N43" s="9">
        <v>400</v>
      </c>
      <c r="O43" s="18" t="s">
        <v>26</v>
      </c>
      <c r="P43" s="17" t="s">
        <v>1191</v>
      </c>
      <c r="Q43" s="17">
        <f t="shared" si="2"/>
        <v>12.479999999999999</v>
      </c>
      <c r="R43" s="9"/>
    </row>
    <row r="44" spans="1:18" s="1" customFormat="1" ht="24">
      <c r="A44" s="6"/>
      <c r="B44" s="10">
        <f t="shared" si="0"/>
        <v>42</v>
      </c>
      <c r="C44" s="11" t="s">
        <v>252</v>
      </c>
      <c r="D44" s="12" t="s">
        <v>274</v>
      </c>
      <c r="E44" s="12" t="s">
        <v>275</v>
      </c>
      <c r="F44" s="12" t="s">
        <v>276</v>
      </c>
      <c r="G44" s="12" t="s">
        <v>277</v>
      </c>
      <c r="H44" s="12" t="s">
        <v>278</v>
      </c>
      <c r="I44" s="12" t="s">
        <v>23</v>
      </c>
      <c r="J44" s="12" t="s">
        <v>279</v>
      </c>
      <c r="K44" s="9" t="s">
        <v>23</v>
      </c>
      <c r="L44" s="12">
        <v>1</v>
      </c>
      <c r="M44" s="9">
        <f t="shared" si="1"/>
        <v>200</v>
      </c>
      <c r="N44" s="12">
        <v>200</v>
      </c>
      <c r="O44" s="18" t="s">
        <v>26</v>
      </c>
      <c r="P44" s="19" t="s">
        <v>1192</v>
      </c>
      <c r="Q44" s="19">
        <f t="shared" si="2"/>
        <v>13.459999999999999</v>
      </c>
      <c r="R44" s="12"/>
    </row>
    <row r="45" spans="1:18" s="1" customFormat="1" ht="24">
      <c r="A45" s="6"/>
      <c r="B45" s="7">
        <f>ROW(B45)-ROW($B$2)</f>
        <v>43</v>
      </c>
      <c r="C45" s="8" t="s">
        <v>252</v>
      </c>
      <c r="D45" s="9" t="s">
        <v>281</v>
      </c>
      <c r="E45" s="9" t="s">
        <v>282</v>
      </c>
      <c r="F45" s="9" t="s">
        <v>283</v>
      </c>
      <c r="G45" s="9" t="s">
        <v>284</v>
      </c>
      <c r="H45" s="9" t="s">
        <v>285</v>
      </c>
      <c r="I45" s="12" t="s">
        <v>23</v>
      </c>
      <c r="J45" s="9" t="s">
        <v>286</v>
      </c>
      <c r="K45" s="9" t="s">
        <v>23</v>
      </c>
      <c r="L45" s="9">
        <v>2</v>
      </c>
      <c r="M45" s="9">
        <f t="shared" si="1"/>
        <v>400</v>
      </c>
      <c r="N45" s="9">
        <v>400</v>
      </c>
      <c r="O45" s="18" t="s">
        <v>26</v>
      </c>
      <c r="P45" s="17" t="s">
        <v>1193</v>
      </c>
      <c r="Q45" s="17">
        <f t="shared" si="2"/>
        <v>14.16</v>
      </c>
      <c r="R45" s="9"/>
    </row>
    <row r="46" spans="1:18" s="1" customFormat="1" ht="36">
      <c r="A46" s="6"/>
      <c r="B46" s="10">
        <f t="shared" si="0"/>
        <v>44</v>
      </c>
      <c r="C46" s="11" t="s">
        <v>252</v>
      </c>
      <c r="D46" s="12" t="s">
        <v>288</v>
      </c>
      <c r="E46" s="12" t="s">
        <v>289</v>
      </c>
      <c r="F46" s="12" t="s">
        <v>290</v>
      </c>
      <c r="G46" s="12" t="s">
        <v>291</v>
      </c>
      <c r="H46" s="12" t="s">
        <v>292</v>
      </c>
      <c r="I46" s="12" t="s">
        <v>23</v>
      </c>
      <c r="J46" s="12" t="s">
        <v>293</v>
      </c>
      <c r="K46" s="9" t="s">
        <v>23</v>
      </c>
      <c r="L46" s="12">
        <v>1</v>
      </c>
      <c r="M46" s="9">
        <f t="shared" si="1"/>
        <v>200</v>
      </c>
      <c r="N46" s="12">
        <v>200</v>
      </c>
      <c r="O46" s="18" t="s">
        <v>26</v>
      </c>
      <c r="P46" s="19" t="s">
        <v>1194</v>
      </c>
      <c r="Q46" s="19">
        <f t="shared" si="2"/>
        <v>9.34</v>
      </c>
      <c r="R46" s="12"/>
    </row>
    <row r="47" spans="1:18" s="1" customFormat="1">
      <c r="A47" s="6"/>
      <c r="B47" s="7">
        <f>ROW(B47)-ROW($B$2)</f>
        <v>45</v>
      </c>
      <c r="C47" s="8" t="s">
        <v>252</v>
      </c>
      <c r="D47" s="9" t="s">
        <v>295</v>
      </c>
      <c r="E47" s="9" t="s">
        <v>296</v>
      </c>
      <c r="F47" s="9" t="s">
        <v>290</v>
      </c>
      <c r="G47" s="9" t="s">
        <v>297</v>
      </c>
      <c r="H47" s="9" t="s">
        <v>298</v>
      </c>
      <c r="I47" s="12" t="s">
        <v>23</v>
      </c>
      <c r="J47" s="9" t="s">
        <v>299</v>
      </c>
      <c r="K47" s="9" t="s">
        <v>23</v>
      </c>
      <c r="L47" s="9">
        <v>1</v>
      </c>
      <c r="M47" s="9">
        <f t="shared" si="1"/>
        <v>200</v>
      </c>
      <c r="N47" s="9">
        <v>200</v>
      </c>
      <c r="O47" s="18" t="s">
        <v>26</v>
      </c>
      <c r="P47" s="17" t="s">
        <v>114</v>
      </c>
      <c r="Q47" s="17">
        <f t="shared" si="2"/>
        <v>5.6800000000000006</v>
      </c>
      <c r="R47" s="9"/>
    </row>
    <row r="48" spans="1:18" s="1" customFormat="1" ht="24">
      <c r="A48" s="6"/>
      <c r="B48" s="10">
        <f t="shared" si="0"/>
        <v>46</v>
      </c>
      <c r="C48" s="11" t="s">
        <v>252</v>
      </c>
      <c r="D48" s="12" t="s">
        <v>301</v>
      </c>
      <c r="E48" s="12" t="s">
        <v>302</v>
      </c>
      <c r="F48" s="12" t="s">
        <v>303</v>
      </c>
      <c r="G48" s="12" t="s">
        <v>304</v>
      </c>
      <c r="H48" s="12" t="s">
        <v>305</v>
      </c>
      <c r="I48" s="12" t="s">
        <v>23</v>
      </c>
      <c r="J48" s="12" t="s">
        <v>306</v>
      </c>
      <c r="K48" s="9" t="s">
        <v>23</v>
      </c>
      <c r="L48" s="12">
        <v>2</v>
      </c>
      <c r="M48" s="9">
        <f t="shared" si="1"/>
        <v>400</v>
      </c>
      <c r="N48" s="12">
        <v>400</v>
      </c>
      <c r="O48" s="18" t="s">
        <v>26</v>
      </c>
      <c r="P48" s="19" t="s">
        <v>307</v>
      </c>
      <c r="Q48" s="19">
        <f t="shared" si="2"/>
        <v>6.4399999999999995</v>
      </c>
      <c r="R48" s="12"/>
    </row>
    <row r="49" spans="1:18" s="1" customFormat="1" ht="36">
      <c r="A49" s="6"/>
      <c r="B49" s="7">
        <f>ROW(B49)-ROW($B$2)</f>
        <v>47</v>
      </c>
      <c r="C49" s="8" t="s">
        <v>252</v>
      </c>
      <c r="D49" s="9" t="s">
        <v>308</v>
      </c>
      <c r="E49" s="9" t="s">
        <v>309</v>
      </c>
      <c r="F49" s="9" t="s">
        <v>310</v>
      </c>
      <c r="G49" s="9" t="s">
        <v>311</v>
      </c>
      <c r="H49" s="9" t="s">
        <v>298</v>
      </c>
      <c r="I49" s="12" t="s">
        <v>23</v>
      </c>
      <c r="J49" s="9" t="s">
        <v>312</v>
      </c>
      <c r="K49" s="9" t="s">
        <v>23</v>
      </c>
      <c r="L49" s="9">
        <v>1</v>
      </c>
      <c r="M49" s="9">
        <f t="shared" si="1"/>
        <v>200</v>
      </c>
      <c r="N49" s="9">
        <v>200</v>
      </c>
      <c r="O49" s="18" t="s">
        <v>26</v>
      </c>
      <c r="P49" s="17" t="s">
        <v>1195</v>
      </c>
      <c r="Q49" s="17">
        <f t="shared" si="2"/>
        <v>25.580000000000002</v>
      </c>
      <c r="R49" s="9"/>
    </row>
    <row r="50" spans="1:18" s="1" customFormat="1" ht="24">
      <c r="A50" s="6"/>
      <c r="B50" s="10">
        <f t="shared" si="0"/>
        <v>48</v>
      </c>
      <c r="C50" s="11" t="s">
        <v>305</v>
      </c>
      <c r="D50" s="12" t="s">
        <v>314</v>
      </c>
      <c r="E50" s="12" t="s">
        <v>315</v>
      </c>
      <c r="F50" s="12" t="s">
        <v>316</v>
      </c>
      <c r="G50" s="12" t="s">
        <v>317</v>
      </c>
      <c r="H50" s="12" t="s">
        <v>285</v>
      </c>
      <c r="I50" s="12" t="s">
        <v>23</v>
      </c>
      <c r="J50" s="12" t="s">
        <v>318</v>
      </c>
      <c r="K50" s="9" t="s">
        <v>23</v>
      </c>
      <c r="L50" s="12">
        <v>2</v>
      </c>
      <c r="M50" s="9">
        <f t="shared" si="1"/>
        <v>400</v>
      </c>
      <c r="N50" s="12">
        <v>400</v>
      </c>
      <c r="O50" s="18" t="s">
        <v>26</v>
      </c>
      <c r="P50" s="19" t="s">
        <v>1196</v>
      </c>
      <c r="Q50" s="19">
        <f t="shared" si="2"/>
        <v>274.71999999999997</v>
      </c>
      <c r="R50" s="12"/>
    </row>
    <row r="51" spans="1:18" s="1" customFormat="1">
      <c r="A51" s="6"/>
      <c r="B51" s="7">
        <f>ROW(B51)-ROW($B$2)</f>
        <v>49</v>
      </c>
      <c r="C51" s="8" t="s">
        <v>252</v>
      </c>
      <c r="D51" s="9" t="s">
        <v>320</v>
      </c>
      <c r="E51" s="9" t="s">
        <v>321</v>
      </c>
      <c r="F51" s="9" t="s">
        <v>322</v>
      </c>
      <c r="G51" s="9" t="s">
        <v>323</v>
      </c>
      <c r="H51" s="9" t="s">
        <v>324</v>
      </c>
      <c r="I51" s="12" t="s">
        <v>23</v>
      </c>
      <c r="J51" s="9" t="s">
        <v>325</v>
      </c>
      <c r="K51" s="9" t="s">
        <v>23</v>
      </c>
      <c r="L51" s="9">
        <v>1</v>
      </c>
      <c r="M51" s="9">
        <f t="shared" si="1"/>
        <v>200</v>
      </c>
      <c r="N51" s="9">
        <v>200</v>
      </c>
      <c r="O51" s="18" t="s">
        <v>26</v>
      </c>
      <c r="P51" s="17" t="s">
        <v>1197</v>
      </c>
      <c r="Q51" s="17">
        <f t="shared" si="2"/>
        <v>13.3</v>
      </c>
      <c r="R51" s="9"/>
    </row>
    <row r="52" spans="1:18" s="1" customFormat="1" ht="84">
      <c r="A52" s="6"/>
      <c r="B52" s="10">
        <f t="shared" si="0"/>
        <v>50</v>
      </c>
      <c r="C52" s="11" t="s">
        <v>327</v>
      </c>
      <c r="D52" s="12" t="s">
        <v>328</v>
      </c>
      <c r="E52" s="12" t="s">
        <v>329</v>
      </c>
      <c r="F52" s="12" t="s">
        <v>330</v>
      </c>
      <c r="G52" s="12" t="s">
        <v>331</v>
      </c>
      <c r="H52" s="12" t="s">
        <v>332</v>
      </c>
      <c r="I52" s="12" t="s">
        <v>23</v>
      </c>
      <c r="J52" s="12" t="s">
        <v>333</v>
      </c>
      <c r="K52" s="9" t="s">
        <v>23</v>
      </c>
      <c r="L52" s="12">
        <v>42</v>
      </c>
      <c r="M52" s="9">
        <f t="shared" si="1"/>
        <v>8400</v>
      </c>
      <c r="N52" s="12">
        <v>8400</v>
      </c>
      <c r="O52" s="18" t="s">
        <v>26</v>
      </c>
      <c r="P52" s="19">
        <v>5.5999999999999999E-3</v>
      </c>
      <c r="Q52" s="19">
        <f t="shared" si="2"/>
        <v>47.04</v>
      </c>
      <c r="R52" s="12"/>
    </row>
    <row r="53" spans="1:18" s="1" customFormat="1" ht="36">
      <c r="A53" s="6"/>
      <c r="B53" s="7">
        <f>ROW(B53)-ROW($B$2)</f>
        <v>51</v>
      </c>
      <c r="C53" s="8" t="s">
        <v>252</v>
      </c>
      <c r="D53" s="9" t="s">
        <v>336</v>
      </c>
      <c r="E53" s="9" t="s">
        <v>337</v>
      </c>
      <c r="F53" s="9" t="s">
        <v>338</v>
      </c>
      <c r="G53" s="9" t="s">
        <v>339</v>
      </c>
      <c r="H53" s="9" t="s">
        <v>340</v>
      </c>
      <c r="I53" s="12" t="s">
        <v>23</v>
      </c>
      <c r="J53" s="9" t="s">
        <v>341</v>
      </c>
      <c r="K53" s="9" t="s">
        <v>23</v>
      </c>
      <c r="L53" s="9">
        <v>1</v>
      </c>
      <c r="M53" s="9">
        <f t="shared" si="1"/>
        <v>200</v>
      </c>
      <c r="N53" s="9">
        <v>200</v>
      </c>
      <c r="O53" s="18" t="s">
        <v>26</v>
      </c>
      <c r="P53" s="17" t="s">
        <v>1200</v>
      </c>
      <c r="Q53" s="17">
        <f t="shared" si="2"/>
        <v>1.72</v>
      </c>
      <c r="R53" s="9"/>
    </row>
    <row r="54" spans="1:18" s="1" customFormat="1">
      <c r="A54" s="6"/>
      <c r="B54" s="10">
        <f t="shared" si="0"/>
        <v>52</v>
      </c>
      <c r="C54" s="11" t="s">
        <v>252</v>
      </c>
      <c r="D54" s="12" t="s">
        <v>343</v>
      </c>
      <c r="E54" s="12" t="s">
        <v>344</v>
      </c>
      <c r="F54" s="12" t="s">
        <v>345</v>
      </c>
      <c r="G54" s="12" t="s">
        <v>346</v>
      </c>
      <c r="H54" s="12" t="s">
        <v>347</v>
      </c>
      <c r="I54" s="12" t="s">
        <v>23</v>
      </c>
      <c r="J54" s="12" t="s">
        <v>348</v>
      </c>
      <c r="K54" s="9" t="s">
        <v>23</v>
      </c>
      <c r="L54" s="12">
        <v>2</v>
      </c>
      <c r="M54" s="9">
        <f t="shared" si="1"/>
        <v>400</v>
      </c>
      <c r="N54" s="12">
        <v>400</v>
      </c>
      <c r="O54" s="18" t="s">
        <v>26</v>
      </c>
      <c r="P54" s="19">
        <v>2.64E-2</v>
      </c>
      <c r="Q54" s="19">
        <f t="shared" si="2"/>
        <v>10.56</v>
      </c>
      <c r="R54" s="12"/>
    </row>
    <row r="55" spans="1:18" s="1" customFormat="1">
      <c r="A55" s="6"/>
      <c r="B55" s="7">
        <f>ROW(B55)-ROW($B$2)</f>
        <v>53</v>
      </c>
      <c r="C55" s="8" t="s">
        <v>350</v>
      </c>
      <c r="D55" s="9" t="s">
        <v>351</v>
      </c>
      <c r="E55" s="9" t="s">
        <v>352</v>
      </c>
      <c r="F55" s="9" t="s">
        <v>290</v>
      </c>
      <c r="G55" s="9" t="s">
        <v>353</v>
      </c>
      <c r="H55" s="9" t="s">
        <v>354</v>
      </c>
      <c r="I55" s="12" t="s">
        <v>23</v>
      </c>
      <c r="J55" s="9" t="s">
        <v>355</v>
      </c>
      <c r="K55" s="9" t="s">
        <v>23</v>
      </c>
      <c r="L55" s="9">
        <v>1</v>
      </c>
      <c r="M55" s="9">
        <f t="shared" si="1"/>
        <v>200</v>
      </c>
      <c r="N55" s="9">
        <v>200</v>
      </c>
      <c r="O55" s="18" t="s">
        <v>26</v>
      </c>
      <c r="P55" s="17" t="s">
        <v>1201</v>
      </c>
      <c r="Q55" s="17">
        <f t="shared" si="2"/>
        <v>14.82</v>
      </c>
      <c r="R55" s="9"/>
    </row>
    <row r="56" spans="1:18" s="1" customFormat="1">
      <c r="A56" s="6"/>
      <c r="B56" s="10">
        <f t="shared" si="0"/>
        <v>54</v>
      </c>
      <c r="C56" s="11" t="s">
        <v>252</v>
      </c>
      <c r="D56" s="12" t="s">
        <v>357</v>
      </c>
      <c r="E56" s="12" t="s">
        <v>358</v>
      </c>
      <c r="F56" s="12" t="s">
        <v>303</v>
      </c>
      <c r="G56" s="12" t="s">
        <v>359</v>
      </c>
      <c r="H56" s="12" t="s">
        <v>305</v>
      </c>
      <c r="I56" s="12" t="s">
        <v>23</v>
      </c>
      <c r="J56" s="12" t="s">
        <v>360</v>
      </c>
      <c r="K56" s="9" t="s">
        <v>23</v>
      </c>
      <c r="L56" s="12">
        <v>1</v>
      </c>
      <c r="M56" s="9">
        <f t="shared" si="1"/>
        <v>200</v>
      </c>
      <c r="N56" s="12">
        <v>200</v>
      </c>
      <c r="O56" s="18" t="s">
        <v>26</v>
      </c>
      <c r="P56" s="19" t="s">
        <v>361</v>
      </c>
      <c r="Q56" s="19">
        <f t="shared" si="2"/>
        <v>5.4</v>
      </c>
      <c r="R56" s="12"/>
    </row>
    <row r="57" spans="1:18" s="1" customFormat="1" ht="36">
      <c r="A57" s="6"/>
      <c r="B57" s="7">
        <f>ROW(B57)-ROW($B$2)</f>
        <v>55</v>
      </c>
      <c r="C57" s="8" t="s">
        <v>362</v>
      </c>
      <c r="D57" s="9" t="s">
        <v>363</v>
      </c>
      <c r="E57" s="9" t="s">
        <v>364</v>
      </c>
      <c r="F57" s="9" t="s">
        <v>365</v>
      </c>
      <c r="G57" s="9" t="s">
        <v>366</v>
      </c>
      <c r="H57" s="9" t="s">
        <v>367</v>
      </c>
      <c r="I57" s="12" t="s">
        <v>23</v>
      </c>
      <c r="J57" s="9" t="s">
        <v>368</v>
      </c>
      <c r="K57" s="9" t="s">
        <v>23</v>
      </c>
      <c r="L57" s="9">
        <v>3</v>
      </c>
      <c r="M57" s="9">
        <f t="shared" si="1"/>
        <v>600</v>
      </c>
      <c r="N57" s="9">
        <v>600</v>
      </c>
      <c r="O57" s="18" t="s">
        <v>26</v>
      </c>
      <c r="P57" s="17">
        <v>1.78E-2</v>
      </c>
      <c r="Q57" s="17">
        <f t="shared" si="2"/>
        <v>10.68</v>
      </c>
      <c r="R57" s="9"/>
    </row>
    <row r="58" spans="1:18" s="1" customFormat="1">
      <c r="A58" s="6"/>
      <c r="B58" s="10">
        <f t="shared" si="0"/>
        <v>56</v>
      </c>
      <c r="C58" s="11" t="s">
        <v>305</v>
      </c>
      <c r="D58" s="12" t="s">
        <v>370</v>
      </c>
      <c r="E58" s="12" t="s">
        <v>371</v>
      </c>
      <c r="F58" s="12" t="s">
        <v>372</v>
      </c>
      <c r="G58" s="12" t="s">
        <v>373</v>
      </c>
      <c r="H58" s="12" t="s">
        <v>305</v>
      </c>
      <c r="I58" s="12" t="s">
        <v>23</v>
      </c>
      <c r="J58" s="12" t="s">
        <v>374</v>
      </c>
      <c r="K58" s="9" t="s">
        <v>23</v>
      </c>
      <c r="L58" s="12">
        <v>1</v>
      </c>
      <c r="M58" s="9">
        <f t="shared" si="1"/>
        <v>200</v>
      </c>
      <c r="N58" s="12">
        <v>200</v>
      </c>
      <c r="O58" s="18" t="s">
        <v>26</v>
      </c>
      <c r="P58" s="19">
        <v>2.9600000000000001E-2</v>
      </c>
      <c r="Q58" s="19">
        <f t="shared" si="2"/>
        <v>5.92</v>
      </c>
      <c r="R58" s="12"/>
    </row>
    <row r="59" spans="1:18" s="1" customFormat="1">
      <c r="A59" s="6"/>
      <c r="B59" s="7">
        <f>ROW(B59)-ROW($B$2)</f>
        <v>57</v>
      </c>
      <c r="C59" s="8" t="s">
        <v>376</v>
      </c>
      <c r="D59" s="9" t="s">
        <v>377</v>
      </c>
      <c r="E59" s="9" t="s">
        <v>378</v>
      </c>
      <c r="F59" s="9" t="s">
        <v>20</v>
      </c>
      <c r="G59" s="9" t="s">
        <v>379</v>
      </c>
      <c r="H59" s="9" t="s">
        <v>380</v>
      </c>
      <c r="I59" s="12" t="s">
        <v>23</v>
      </c>
      <c r="J59" s="9" t="s">
        <v>381</v>
      </c>
      <c r="K59" s="9" t="s">
        <v>23</v>
      </c>
      <c r="L59" s="9">
        <v>1</v>
      </c>
      <c r="M59" s="9">
        <f t="shared" si="1"/>
        <v>200</v>
      </c>
      <c r="N59" s="9">
        <v>200</v>
      </c>
      <c r="O59" s="18" t="s">
        <v>26</v>
      </c>
      <c r="P59" s="17">
        <v>0.33800000000000002</v>
      </c>
      <c r="Q59" s="17">
        <f t="shared" si="2"/>
        <v>67.600000000000009</v>
      </c>
      <c r="R59" s="9"/>
    </row>
    <row r="60" spans="1:18" s="1" customFormat="1" ht="48">
      <c r="A60" s="6"/>
      <c r="B60" s="10">
        <f t="shared" si="0"/>
        <v>58</v>
      </c>
      <c r="C60" s="11" t="s">
        <v>383</v>
      </c>
      <c r="D60" s="12" t="s">
        <v>384</v>
      </c>
      <c r="E60" s="12" t="s">
        <v>385</v>
      </c>
      <c r="F60" s="9" t="s">
        <v>20</v>
      </c>
      <c r="G60" s="12" t="s">
        <v>386</v>
      </c>
      <c r="H60" s="12" t="s">
        <v>387</v>
      </c>
      <c r="I60" s="12" t="s">
        <v>23</v>
      </c>
      <c r="J60" s="12" t="s">
        <v>388</v>
      </c>
      <c r="K60" s="9" t="s">
        <v>23</v>
      </c>
      <c r="L60" s="12">
        <v>1</v>
      </c>
      <c r="M60" s="9">
        <f t="shared" si="1"/>
        <v>200</v>
      </c>
      <c r="N60" s="12">
        <v>200</v>
      </c>
      <c r="O60" s="18" t="s">
        <v>26</v>
      </c>
      <c r="P60" s="19">
        <v>0.40589999999999998</v>
      </c>
      <c r="Q60" s="19">
        <f t="shared" si="2"/>
        <v>81.179999999999993</v>
      </c>
      <c r="R60" s="12"/>
    </row>
    <row r="61" spans="1:18" s="1" customFormat="1">
      <c r="A61" s="6"/>
      <c r="B61" s="7">
        <f>ROW(B61)-ROW($B$2)</f>
        <v>59</v>
      </c>
      <c r="C61" s="8" t="s">
        <v>390</v>
      </c>
      <c r="D61" s="9" t="s">
        <v>391</v>
      </c>
      <c r="E61" s="9" t="s">
        <v>392</v>
      </c>
      <c r="F61" s="9" t="s">
        <v>20</v>
      </c>
      <c r="G61" s="9" t="s">
        <v>393</v>
      </c>
      <c r="H61" s="9" t="s">
        <v>394</v>
      </c>
      <c r="I61" s="12" t="s">
        <v>23</v>
      </c>
      <c r="J61" s="9" t="s">
        <v>23</v>
      </c>
      <c r="K61" s="9" t="s">
        <v>23</v>
      </c>
      <c r="L61" s="9">
        <v>9</v>
      </c>
      <c r="M61" s="9">
        <f t="shared" si="1"/>
        <v>1800</v>
      </c>
      <c r="N61" s="9">
        <v>1800</v>
      </c>
      <c r="O61" s="21" t="s">
        <v>395</v>
      </c>
      <c r="P61" s="22">
        <v>0.24099999999999999</v>
      </c>
      <c r="Q61" s="17">
        <f t="shared" si="2"/>
        <v>433.8</v>
      </c>
      <c r="R61" s="9"/>
    </row>
    <row r="62" spans="1:18" s="1" customFormat="1" ht="24">
      <c r="A62" s="6"/>
      <c r="B62" s="10">
        <f t="shared" si="0"/>
        <v>60</v>
      </c>
      <c r="C62" s="11" t="s">
        <v>396</v>
      </c>
      <c r="D62" s="12" t="s">
        <v>397</v>
      </c>
      <c r="E62" s="12" t="s">
        <v>398</v>
      </c>
      <c r="F62" s="9" t="s">
        <v>20</v>
      </c>
      <c r="G62" s="12" t="s">
        <v>399</v>
      </c>
      <c r="H62" s="12" t="s">
        <v>380</v>
      </c>
      <c r="I62" s="12" t="s">
        <v>23</v>
      </c>
      <c r="J62" s="12" t="s">
        <v>400</v>
      </c>
      <c r="K62" s="12" t="s">
        <v>23</v>
      </c>
      <c r="L62" s="12">
        <v>1</v>
      </c>
      <c r="M62" s="9">
        <f t="shared" si="1"/>
        <v>200</v>
      </c>
      <c r="N62" s="12">
        <v>200</v>
      </c>
      <c r="O62" s="18" t="s">
        <v>26</v>
      </c>
      <c r="P62" s="22">
        <v>0.15110000000000001</v>
      </c>
      <c r="Q62" s="19">
        <f t="shared" si="2"/>
        <v>30.220000000000002</v>
      </c>
      <c r="R62" s="12"/>
    </row>
    <row r="63" spans="1:18" s="1" customFormat="1">
      <c r="A63" s="6"/>
      <c r="B63" s="7">
        <f>ROW(B63)-ROW($B$2)</f>
        <v>61</v>
      </c>
      <c r="C63" s="8" t="s">
        <v>390</v>
      </c>
      <c r="D63" s="9" t="s">
        <v>402</v>
      </c>
      <c r="E63" s="9" t="s">
        <v>403</v>
      </c>
      <c r="F63" s="9" t="s">
        <v>20</v>
      </c>
      <c r="G63" s="9" t="s">
        <v>404</v>
      </c>
      <c r="H63" s="9" t="s">
        <v>405</v>
      </c>
      <c r="I63" s="12" t="s">
        <v>23</v>
      </c>
      <c r="J63" s="9" t="s">
        <v>23</v>
      </c>
      <c r="K63" s="9" t="s">
        <v>23</v>
      </c>
      <c r="L63" s="9">
        <v>1</v>
      </c>
      <c r="M63" s="9">
        <f t="shared" si="1"/>
        <v>200</v>
      </c>
      <c r="N63" s="9">
        <v>200</v>
      </c>
      <c r="O63" s="21" t="s">
        <v>395</v>
      </c>
      <c r="P63" s="22">
        <v>0.19700000000000001</v>
      </c>
      <c r="Q63" s="17">
        <f t="shared" si="2"/>
        <v>39.4</v>
      </c>
      <c r="R63" s="9"/>
    </row>
    <row r="64" spans="1:18" s="1" customFormat="1">
      <c r="A64" s="6"/>
      <c r="B64" s="10">
        <f t="shared" si="0"/>
        <v>62</v>
      </c>
      <c r="C64" s="11" t="s">
        <v>406</v>
      </c>
      <c r="D64" s="12" t="s">
        <v>407</v>
      </c>
      <c r="E64" s="12" t="s">
        <v>408</v>
      </c>
      <c r="F64" s="9" t="s">
        <v>20</v>
      </c>
      <c r="G64" s="12">
        <v>22112032</v>
      </c>
      <c r="H64" s="12" t="s">
        <v>409</v>
      </c>
      <c r="I64" s="12" t="s">
        <v>23</v>
      </c>
      <c r="J64" s="12" t="s">
        <v>410</v>
      </c>
      <c r="K64" s="12" t="s">
        <v>23</v>
      </c>
      <c r="L64" s="12">
        <v>1</v>
      </c>
      <c r="M64" s="9">
        <f t="shared" si="1"/>
        <v>200</v>
      </c>
      <c r="N64" s="12">
        <v>200</v>
      </c>
      <c r="O64" s="18" t="s">
        <v>26</v>
      </c>
      <c r="P64" s="19">
        <v>0.2334</v>
      </c>
      <c r="Q64" s="19">
        <f t="shared" si="2"/>
        <v>46.68</v>
      </c>
      <c r="R64" s="12"/>
    </row>
    <row r="65" spans="1:18" s="1" customFormat="1">
      <c r="A65" s="6"/>
      <c r="B65" s="7">
        <f>ROW(B65)-ROW($B$2)</f>
        <v>63</v>
      </c>
      <c r="C65" s="8" t="s">
        <v>406</v>
      </c>
      <c r="D65" s="9" t="s">
        <v>412</v>
      </c>
      <c r="E65" s="9" t="s">
        <v>413</v>
      </c>
      <c r="F65" s="9" t="s">
        <v>20</v>
      </c>
      <c r="G65" s="9">
        <v>22112022</v>
      </c>
      <c r="H65" s="9" t="s">
        <v>409</v>
      </c>
      <c r="I65" s="12" t="s">
        <v>23</v>
      </c>
      <c r="J65" s="9" t="s">
        <v>414</v>
      </c>
      <c r="K65" s="12" t="s">
        <v>23</v>
      </c>
      <c r="L65" s="9">
        <v>1</v>
      </c>
      <c r="M65" s="9">
        <f t="shared" si="1"/>
        <v>200</v>
      </c>
      <c r="N65" s="9">
        <v>200</v>
      </c>
      <c r="O65" s="18" t="s">
        <v>26</v>
      </c>
      <c r="P65" s="17">
        <v>0.17030000000000001</v>
      </c>
      <c r="Q65" s="17">
        <f t="shared" si="2"/>
        <v>34.06</v>
      </c>
      <c r="R65" s="9"/>
    </row>
    <row r="66" spans="1:18" s="1" customFormat="1" ht="60">
      <c r="A66" s="6"/>
      <c r="B66" s="10">
        <f t="shared" si="0"/>
        <v>64</v>
      </c>
      <c r="C66" s="11" t="s">
        <v>416</v>
      </c>
      <c r="D66" s="12" t="s">
        <v>417</v>
      </c>
      <c r="E66" s="12" t="s">
        <v>418</v>
      </c>
      <c r="F66" s="9" t="s">
        <v>20</v>
      </c>
      <c r="G66" s="12" t="s">
        <v>419</v>
      </c>
      <c r="H66" s="12" t="s">
        <v>420</v>
      </c>
      <c r="I66" s="12" t="s">
        <v>23</v>
      </c>
      <c r="J66" s="12" t="s">
        <v>421</v>
      </c>
      <c r="K66" s="12" t="s">
        <v>23</v>
      </c>
      <c r="L66" s="12">
        <v>3</v>
      </c>
      <c r="M66" s="9">
        <f t="shared" si="1"/>
        <v>600</v>
      </c>
      <c r="N66" s="12">
        <v>600</v>
      </c>
      <c r="O66" s="18" t="s">
        <v>26</v>
      </c>
      <c r="P66" s="19">
        <v>0.1386</v>
      </c>
      <c r="Q66" s="19">
        <f t="shared" si="2"/>
        <v>83.16</v>
      </c>
      <c r="R66" s="12"/>
    </row>
    <row r="67" spans="1:18" s="1" customFormat="1" ht="48">
      <c r="A67" s="6"/>
      <c r="B67" s="7">
        <f>ROW(B67)-ROW($B$2)</f>
        <v>65</v>
      </c>
      <c r="C67" s="8" t="s">
        <v>424</v>
      </c>
      <c r="D67" s="9" t="s">
        <v>425</v>
      </c>
      <c r="E67" s="9" t="s">
        <v>426</v>
      </c>
      <c r="F67" s="9" t="s">
        <v>427</v>
      </c>
      <c r="G67" s="9" t="s">
        <v>428</v>
      </c>
      <c r="H67" s="9" t="s">
        <v>429</v>
      </c>
      <c r="I67" s="12" t="s">
        <v>23</v>
      </c>
      <c r="J67" s="9" t="s">
        <v>430</v>
      </c>
      <c r="K67" s="12" t="s">
        <v>23</v>
      </c>
      <c r="L67" s="9">
        <v>2</v>
      </c>
      <c r="M67" s="9">
        <f t="shared" si="1"/>
        <v>400</v>
      </c>
      <c r="N67" s="9">
        <v>400</v>
      </c>
      <c r="O67" s="18" t="s">
        <v>26</v>
      </c>
      <c r="P67" s="17" t="s">
        <v>431</v>
      </c>
      <c r="Q67" s="17">
        <f t="shared" si="2"/>
        <v>6.68</v>
      </c>
      <c r="R67" s="9"/>
    </row>
    <row r="68" spans="1:18" s="1" customFormat="1" ht="48">
      <c r="A68" s="6"/>
      <c r="B68" s="10">
        <f t="shared" si="0"/>
        <v>66</v>
      </c>
      <c r="C68" s="11" t="s">
        <v>255</v>
      </c>
      <c r="D68" s="12" t="s">
        <v>432</v>
      </c>
      <c r="E68" s="12" t="s">
        <v>433</v>
      </c>
      <c r="F68" s="9" t="s">
        <v>20</v>
      </c>
      <c r="G68" s="12" t="s">
        <v>434</v>
      </c>
      <c r="H68" s="12" t="s">
        <v>435</v>
      </c>
      <c r="I68" s="12" t="s">
        <v>23</v>
      </c>
      <c r="J68" s="12" t="s">
        <v>436</v>
      </c>
      <c r="K68" s="12" t="s">
        <v>23</v>
      </c>
      <c r="L68" s="12">
        <v>1</v>
      </c>
      <c r="M68" s="9">
        <f t="shared" ref="M68:M131" si="3">L68*200</f>
        <v>200</v>
      </c>
      <c r="N68" s="12">
        <v>200</v>
      </c>
      <c r="O68" s="18" t="s">
        <v>26</v>
      </c>
      <c r="P68" s="19" t="s">
        <v>1207</v>
      </c>
      <c r="Q68" s="19">
        <f t="shared" ref="Q68:Q86" si="4">P68*N68</f>
        <v>120.68</v>
      </c>
      <c r="R68" s="12"/>
    </row>
    <row r="69" spans="1:18" s="1" customFormat="1">
      <c r="A69" s="6"/>
      <c r="B69" s="7">
        <f>ROW(B69)-ROW($B$2)</f>
        <v>67</v>
      </c>
      <c r="C69" s="8" t="s">
        <v>390</v>
      </c>
      <c r="D69" s="9" t="s">
        <v>438</v>
      </c>
      <c r="E69" s="9" t="s">
        <v>392</v>
      </c>
      <c r="F69" s="9" t="s">
        <v>20</v>
      </c>
      <c r="G69" s="9" t="s">
        <v>439</v>
      </c>
      <c r="H69" s="9" t="s">
        <v>394</v>
      </c>
      <c r="I69" s="12" t="s">
        <v>23</v>
      </c>
      <c r="J69" s="9" t="s">
        <v>23</v>
      </c>
      <c r="K69" s="9" t="s">
        <v>23</v>
      </c>
      <c r="L69" s="9">
        <v>1</v>
      </c>
      <c r="M69" s="9">
        <f t="shared" si="3"/>
        <v>200</v>
      </c>
      <c r="N69" s="9">
        <v>200</v>
      </c>
      <c r="O69" s="18" t="s">
        <v>395</v>
      </c>
      <c r="P69" s="17">
        <v>0.44</v>
      </c>
      <c r="Q69" s="17">
        <f t="shared" si="4"/>
        <v>88</v>
      </c>
      <c r="R69" s="9"/>
    </row>
    <row r="70" spans="1:18" s="1" customFormat="1" ht="60">
      <c r="A70" s="6"/>
      <c r="B70" s="10">
        <f t="shared" si="0"/>
        <v>68</v>
      </c>
      <c r="C70" s="11" t="s">
        <v>440</v>
      </c>
      <c r="D70" s="12" t="s">
        <v>441</v>
      </c>
      <c r="E70" s="12" t="s">
        <v>442</v>
      </c>
      <c r="F70" s="9" t="s">
        <v>20</v>
      </c>
      <c r="G70" s="12" t="s">
        <v>443</v>
      </c>
      <c r="H70" s="12" t="s">
        <v>420</v>
      </c>
      <c r="I70" s="12" t="s">
        <v>23</v>
      </c>
      <c r="J70" s="12" t="s">
        <v>444</v>
      </c>
      <c r="K70" s="9" t="s">
        <v>23</v>
      </c>
      <c r="L70" s="12">
        <v>2</v>
      </c>
      <c r="M70" s="9">
        <f t="shared" si="3"/>
        <v>400</v>
      </c>
      <c r="N70" s="12">
        <v>400</v>
      </c>
      <c r="O70" s="18" t="s">
        <v>26</v>
      </c>
      <c r="P70" s="19">
        <v>7.7499999999999999E-2</v>
      </c>
      <c r="Q70" s="19">
        <f t="shared" si="4"/>
        <v>31</v>
      </c>
      <c r="R70" s="12"/>
    </row>
    <row r="71" spans="1:18" s="1" customFormat="1" ht="60">
      <c r="A71" s="6"/>
      <c r="B71" s="7">
        <f>ROW(B71)-ROW($B$2)</f>
        <v>69</v>
      </c>
      <c r="C71" s="8" t="s">
        <v>416</v>
      </c>
      <c r="D71" s="9" t="s">
        <v>446</v>
      </c>
      <c r="E71" s="9" t="s">
        <v>447</v>
      </c>
      <c r="F71" s="9" t="s">
        <v>20</v>
      </c>
      <c r="G71" s="9" t="s">
        <v>448</v>
      </c>
      <c r="H71" s="9" t="s">
        <v>420</v>
      </c>
      <c r="I71" s="12" t="s">
        <v>23</v>
      </c>
      <c r="J71" s="9" t="s">
        <v>449</v>
      </c>
      <c r="K71" s="9" t="s">
        <v>23</v>
      </c>
      <c r="L71" s="9">
        <v>1</v>
      </c>
      <c r="M71" s="9">
        <f t="shared" si="3"/>
        <v>200</v>
      </c>
      <c r="N71" s="9">
        <v>200</v>
      </c>
      <c r="O71" s="18" t="s">
        <v>26</v>
      </c>
      <c r="P71" s="17">
        <v>0.1391</v>
      </c>
      <c r="Q71" s="17">
        <f t="shared" si="4"/>
        <v>27.82</v>
      </c>
      <c r="R71" s="9"/>
    </row>
    <row r="72" spans="1:18" s="1" customFormat="1" ht="24">
      <c r="A72" s="6"/>
      <c r="B72" s="10">
        <f t="shared" si="0"/>
        <v>70</v>
      </c>
      <c r="C72" s="11" t="s">
        <v>451</v>
      </c>
      <c r="D72" s="12" t="s">
        <v>452</v>
      </c>
      <c r="E72" s="12" t="s">
        <v>453</v>
      </c>
      <c r="F72" s="9" t="s">
        <v>20</v>
      </c>
      <c r="G72" s="12" t="s">
        <v>454</v>
      </c>
      <c r="H72" s="12" t="s">
        <v>455</v>
      </c>
      <c r="I72" s="12" t="s">
        <v>23</v>
      </c>
      <c r="J72" s="12" t="s">
        <v>456</v>
      </c>
      <c r="K72" s="9" t="s">
        <v>23</v>
      </c>
      <c r="L72" s="12">
        <v>1</v>
      </c>
      <c r="M72" s="9">
        <f t="shared" si="3"/>
        <v>200</v>
      </c>
      <c r="N72" s="12">
        <v>200</v>
      </c>
      <c r="O72" s="18" t="s">
        <v>26</v>
      </c>
      <c r="P72" s="19">
        <v>1.2966</v>
      </c>
      <c r="Q72" s="19">
        <f t="shared" si="4"/>
        <v>259.32</v>
      </c>
      <c r="R72" s="12"/>
    </row>
    <row r="73" spans="1:18" s="1" customFormat="1">
      <c r="A73" s="6"/>
      <c r="B73" s="7">
        <f>ROW(B73)-ROW($B$2)</f>
        <v>71</v>
      </c>
      <c r="C73" s="8" t="s">
        <v>390</v>
      </c>
      <c r="D73" s="9" t="s">
        <v>458</v>
      </c>
      <c r="E73" s="9" t="s">
        <v>392</v>
      </c>
      <c r="F73" s="9" t="s">
        <v>20</v>
      </c>
      <c r="G73" s="9" t="s">
        <v>459</v>
      </c>
      <c r="H73" s="9" t="s">
        <v>394</v>
      </c>
      <c r="I73" s="12" t="s">
        <v>23</v>
      </c>
      <c r="J73" s="9" t="s">
        <v>23</v>
      </c>
      <c r="K73" s="9" t="s">
        <v>23</v>
      </c>
      <c r="L73" s="9">
        <v>2</v>
      </c>
      <c r="M73" s="9">
        <f t="shared" si="3"/>
        <v>400</v>
      </c>
      <c r="N73" s="9">
        <v>400</v>
      </c>
      <c r="O73" s="18" t="s">
        <v>395</v>
      </c>
      <c r="P73" s="17">
        <v>0.52200000000000002</v>
      </c>
      <c r="Q73" s="17">
        <f t="shared" si="4"/>
        <v>208.8</v>
      </c>
      <c r="R73" s="9"/>
    </row>
    <row r="74" spans="1:18" s="1" customFormat="1" ht="60">
      <c r="A74" s="6"/>
      <c r="B74" s="10">
        <f t="shared" si="0"/>
        <v>72</v>
      </c>
      <c r="C74" s="11" t="s">
        <v>460</v>
      </c>
      <c r="D74" s="12" t="s">
        <v>461</v>
      </c>
      <c r="E74" s="12" t="s">
        <v>462</v>
      </c>
      <c r="F74" s="12" t="s">
        <v>463</v>
      </c>
      <c r="G74" s="12" t="s">
        <v>464</v>
      </c>
      <c r="H74" s="12" t="s">
        <v>465</v>
      </c>
      <c r="I74" s="12" t="s">
        <v>23</v>
      </c>
      <c r="J74" s="12" t="s">
        <v>466</v>
      </c>
      <c r="K74" s="9" t="s">
        <v>23</v>
      </c>
      <c r="L74" s="12">
        <v>2</v>
      </c>
      <c r="M74" s="9">
        <f t="shared" si="3"/>
        <v>400</v>
      </c>
      <c r="N74" s="9">
        <v>400</v>
      </c>
      <c r="O74" s="18" t="s">
        <v>26</v>
      </c>
      <c r="P74" s="17">
        <v>2.5700000000000001E-2</v>
      </c>
      <c r="Q74" s="19">
        <f t="shared" si="4"/>
        <v>10.280000000000001</v>
      </c>
      <c r="R74" s="12"/>
    </row>
    <row r="75" spans="1:18" s="1" customFormat="1">
      <c r="A75" s="6"/>
      <c r="B75" s="7">
        <f>ROW(B75)-ROW($B$2)</f>
        <v>73</v>
      </c>
      <c r="C75" s="8" t="s">
        <v>468</v>
      </c>
      <c r="D75" s="9" t="s">
        <v>469</v>
      </c>
      <c r="E75" s="9" t="s">
        <v>470</v>
      </c>
      <c r="F75" s="9" t="s">
        <v>471</v>
      </c>
      <c r="G75" s="9" t="s">
        <v>472</v>
      </c>
      <c r="H75" s="9" t="s">
        <v>473</v>
      </c>
      <c r="I75" s="12" t="s">
        <v>23</v>
      </c>
      <c r="J75" s="9" t="s">
        <v>474</v>
      </c>
      <c r="K75" s="9" t="s">
        <v>475</v>
      </c>
      <c r="L75" s="9">
        <v>1</v>
      </c>
      <c r="M75" s="9">
        <f t="shared" si="3"/>
        <v>200</v>
      </c>
      <c r="N75" s="12">
        <v>200</v>
      </c>
      <c r="O75" s="18" t="s">
        <v>26</v>
      </c>
      <c r="P75" s="19">
        <v>3.2099999999999997E-2</v>
      </c>
      <c r="Q75" s="17">
        <f t="shared" si="4"/>
        <v>6.419999999999999</v>
      </c>
      <c r="R75" s="9"/>
    </row>
    <row r="76" spans="1:18" s="1" customFormat="1" ht="36">
      <c r="A76" s="6"/>
      <c r="B76" s="10">
        <f t="shared" si="0"/>
        <v>74</v>
      </c>
      <c r="C76" s="11" t="s">
        <v>468</v>
      </c>
      <c r="D76" s="12" t="s">
        <v>477</v>
      </c>
      <c r="E76" s="12" t="s">
        <v>478</v>
      </c>
      <c r="F76" s="9" t="s">
        <v>20</v>
      </c>
      <c r="G76" s="12" t="s">
        <v>479</v>
      </c>
      <c r="H76" s="12" t="s">
        <v>71</v>
      </c>
      <c r="I76" s="12" t="s">
        <v>23</v>
      </c>
      <c r="J76" s="12" t="s">
        <v>480</v>
      </c>
      <c r="K76" s="12" t="s">
        <v>481</v>
      </c>
      <c r="L76" s="12">
        <v>1</v>
      </c>
      <c r="M76" s="9">
        <f t="shared" si="3"/>
        <v>200</v>
      </c>
      <c r="N76" s="9">
        <v>200</v>
      </c>
      <c r="O76" s="18" t="s">
        <v>26</v>
      </c>
      <c r="P76" s="17">
        <v>0.248</v>
      </c>
      <c r="Q76" s="19">
        <f t="shared" si="4"/>
        <v>49.6</v>
      </c>
      <c r="R76" s="12"/>
    </row>
    <row r="77" spans="1:18" s="1" customFormat="1" ht="24">
      <c r="A77" s="6"/>
      <c r="B77" s="7">
        <f>ROW(B77)-ROW($B$2)</f>
        <v>75</v>
      </c>
      <c r="C77" s="8" t="s">
        <v>468</v>
      </c>
      <c r="D77" s="9" t="s">
        <v>483</v>
      </c>
      <c r="E77" s="9" t="s">
        <v>484</v>
      </c>
      <c r="F77" s="9" t="s">
        <v>20</v>
      </c>
      <c r="G77" s="9" t="s">
        <v>485</v>
      </c>
      <c r="H77" s="9" t="s">
        <v>486</v>
      </c>
      <c r="I77" s="12" t="s">
        <v>23</v>
      </c>
      <c r="J77" s="9" t="s">
        <v>487</v>
      </c>
      <c r="K77" s="9" t="s">
        <v>488</v>
      </c>
      <c r="L77" s="9">
        <v>1</v>
      </c>
      <c r="M77" s="9">
        <f t="shared" si="3"/>
        <v>200</v>
      </c>
      <c r="N77" s="12">
        <v>200</v>
      </c>
      <c r="O77" s="18" t="s">
        <v>26</v>
      </c>
      <c r="P77" s="19">
        <v>0.16789999999999999</v>
      </c>
      <c r="Q77" s="17">
        <f t="shared" si="4"/>
        <v>33.58</v>
      </c>
      <c r="R77" s="9"/>
    </row>
    <row r="78" spans="1:18" s="1" customFormat="1" ht="24">
      <c r="A78" s="6"/>
      <c r="B78" s="10">
        <f t="shared" si="0"/>
        <v>76</v>
      </c>
      <c r="C78" s="11" t="s">
        <v>468</v>
      </c>
      <c r="D78" s="12" t="s">
        <v>490</v>
      </c>
      <c r="E78" s="12" t="s">
        <v>491</v>
      </c>
      <c r="F78" s="9" t="s">
        <v>20</v>
      </c>
      <c r="G78" s="12" t="s">
        <v>492</v>
      </c>
      <c r="H78" s="12" t="s">
        <v>486</v>
      </c>
      <c r="I78" s="12" t="s">
        <v>23</v>
      </c>
      <c r="J78" s="12" t="s">
        <v>493</v>
      </c>
      <c r="K78" s="12" t="s">
        <v>494</v>
      </c>
      <c r="L78" s="12">
        <v>1</v>
      </c>
      <c r="M78" s="9">
        <f t="shared" si="3"/>
        <v>200</v>
      </c>
      <c r="N78" s="9">
        <v>200</v>
      </c>
      <c r="O78" s="18" t="s">
        <v>26</v>
      </c>
      <c r="P78" s="17">
        <v>4.8399999999999999E-2</v>
      </c>
      <c r="Q78" s="19">
        <f t="shared" si="4"/>
        <v>9.68</v>
      </c>
      <c r="R78" s="12"/>
    </row>
    <row r="79" spans="1:18" s="1" customFormat="1">
      <c r="A79" s="6"/>
      <c r="B79" s="7">
        <f>ROW(B79)-ROW($B$2)</f>
        <v>77</v>
      </c>
      <c r="C79" s="8" t="s">
        <v>468</v>
      </c>
      <c r="D79" s="9" t="s">
        <v>496</v>
      </c>
      <c r="E79" s="9" t="s">
        <v>497</v>
      </c>
      <c r="F79" s="9" t="s">
        <v>20</v>
      </c>
      <c r="G79" s="9" t="s">
        <v>498</v>
      </c>
      <c r="H79" s="9" t="s">
        <v>499</v>
      </c>
      <c r="I79" s="12" t="s">
        <v>23</v>
      </c>
      <c r="J79" s="9" t="s">
        <v>23</v>
      </c>
      <c r="K79" s="9" t="s">
        <v>500</v>
      </c>
      <c r="L79" s="9">
        <v>1</v>
      </c>
      <c r="M79" s="9">
        <f t="shared" si="3"/>
        <v>200</v>
      </c>
      <c r="N79" s="12">
        <v>200</v>
      </c>
      <c r="O79" s="18" t="s">
        <v>26</v>
      </c>
      <c r="P79" s="19">
        <v>0.13400000000000001</v>
      </c>
      <c r="Q79" s="17">
        <f t="shared" si="4"/>
        <v>26.8</v>
      </c>
      <c r="R79" s="9"/>
    </row>
    <row r="80" spans="1:18" s="1" customFormat="1">
      <c r="A80" s="6"/>
      <c r="B80" s="10">
        <f t="shared" si="0"/>
        <v>78</v>
      </c>
      <c r="C80" s="11" t="s">
        <v>468</v>
      </c>
      <c r="D80" s="12" t="s">
        <v>502</v>
      </c>
      <c r="E80" s="12" t="s">
        <v>503</v>
      </c>
      <c r="F80" s="12" t="s">
        <v>504</v>
      </c>
      <c r="G80" s="12" t="s">
        <v>505</v>
      </c>
      <c r="H80" s="12" t="s">
        <v>129</v>
      </c>
      <c r="I80" s="12" t="s">
        <v>23</v>
      </c>
      <c r="J80" s="9" t="s">
        <v>506</v>
      </c>
      <c r="K80" s="12" t="s">
        <v>507</v>
      </c>
      <c r="L80" s="12">
        <v>1</v>
      </c>
      <c r="M80" s="9">
        <f t="shared" si="3"/>
        <v>200</v>
      </c>
      <c r="N80" s="9">
        <v>200</v>
      </c>
      <c r="O80" s="18" t="s">
        <v>26</v>
      </c>
      <c r="P80" s="17">
        <v>9.2700000000000005E-2</v>
      </c>
      <c r="Q80" s="19">
        <f t="shared" si="4"/>
        <v>18.54</v>
      </c>
      <c r="R80" s="12"/>
    </row>
    <row r="81" spans="1:18" s="1" customFormat="1">
      <c r="A81" s="6"/>
      <c r="B81" s="7">
        <f>ROW(B81)-ROW($B$2)</f>
        <v>79</v>
      </c>
      <c r="C81" s="8" t="s">
        <v>509</v>
      </c>
      <c r="D81" s="9" t="s">
        <v>510</v>
      </c>
      <c r="E81" s="9" t="s">
        <v>511</v>
      </c>
      <c r="F81" s="9" t="s">
        <v>512</v>
      </c>
      <c r="G81" s="9" t="s">
        <v>513</v>
      </c>
      <c r="H81" s="9" t="s">
        <v>514</v>
      </c>
      <c r="I81" s="12" t="s">
        <v>23</v>
      </c>
      <c r="J81" s="9" t="s">
        <v>23</v>
      </c>
      <c r="K81" s="9" t="s">
        <v>23</v>
      </c>
      <c r="L81" s="9">
        <v>3</v>
      </c>
      <c r="M81" s="9">
        <f t="shared" si="3"/>
        <v>600</v>
      </c>
      <c r="N81" s="9">
        <v>600</v>
      </c>
      <c r="O81" s="18" t="s">
        <v>67</v>
      </c>
      <c r="P81" s="17">
        <v>8.3979999999999999E-2</v>
      </c>
      <c r="Q81" s="17">
        <f t="shared" si="4"/>
        <v>50.387999999999998</v>
      </c>
      <c r="R81" s="9"/>
    </row>
    <row r="82" spans="1:18" s="1" customFormat="1">
      <c r="A82" s="6"/>
      <c r="B82" s="10">
        <f t="shared" si="0"/>
        <v>80</v>
      </c>
      <c r="C82" s="11" t="s">
        <v>515</v>
      </c>
      <c r="D82" s="12" t="s">
        <v>516</v>
      </c>
      <c r="E82" s="12" t="s">
        <v>517</v>
      </c>
      <c r="F82" s="9" t="s">
        <v>20</v>
      </c>
      <c r="G82" s="12" t="s">
        <v>518</v>
      </c>
      <c r="H82" s="12" t="s">
        <v>519</v>
      </c>
      <c r="I82" s="12" t="s">
        <v>23</v>
      </c>
      <c r="J82" s="12" t="s">
        <v>520</v>
      </c>
      <c r="K82" s="12" t="s">
        <v>23</v>
      </c>
      <c r="L82" s="12">
        <v>1</v>
      </c>
      <c r="M82" s="9">
        <f t="shared" si="3"/>
        <v>200</v>
      </c>
      <c r="N82" s="9">
        <v>200</v>
      </c>
      <c r="O82" s="18" t="s">
        <v>26</v>
      </c>
      <c r="P82" s="17">
        <v>7.2700000000000001E-2</v>
      </c>
      <c r="Q82" s="19">
        <f t="shared" si="4"/>
        <v>14.540000000000001</v>
      </c>
      <c r="R82" s="12"/>
    </row>
    <row r="83" spans="1:18" s="1" customFormat="1" ht="24">
      <c r="A83" s="6"/>
      <c r="B83" s="7">
        <f>ROW(B83)-ROW($B$2)</f>
        <v>81</v>
      </c>
      <c r="C83" s="8" t="s">
        <v>509</v>
      </c>
      <c r="D83" s="9" t="s">
        <v>522</v>
      </c>
      <c r="E83" s="9" t="s">
        <v>523</v>
      </c>
      <c r="F83" s="9" t="s">
        <v>524</v>
      </c>
      <c r="G83" s="9" t="s">
        <v>525</v>
      </c>
      <c r="H83" s="9" t="s">
        <v>526</v>
      </c>
      <c r="I83" s="12" t="s">
        <v>23</v>
      </c>
      <c r="J83" s="9" t="s">
        <v>527</v>
      </c>
      <c r="K83" s="12" t="s">
        <v>23</v>
      </c>
      <c r="L83" s="9">
        <v>1</v>
      </c>
      <c r="M83" s="9">
        <f t="shared" si="3"/>
        <v>200</v>
      </c>
      <c r="N83" s="12">
        <v>200</v>
      </c>
      <c r="O83" s="18" t="s">
        <v>26</v>
      </c>
      <c r="P83" s="19">
        <v>2.1000000000000001E-2</v>
      </c>
      <c r="Q83" s="17">
        <f t="shared" si="4"/>
        <v>4.2</v>
      </c>
      <c r="R83" s="9"/>
    </row>
    <row r="84" spans="1:18" s="1" customFormat="1" ht="24">
      <c r="A84" s="6"/>
      <c r="B84" s="10">
        <f t="shared" si="0"/>
        <v>82</v>
      </c>
      <c r="C84" s="11" t="s">
        <v>509</v>
      </c>
      <c r="D84" s="12" t="s">
        <v>529</v>
      </c>
      <c r="E84" s="12" t="s">
        <v>530</v>
      </c>
      <c r="F84" s="12" t="s">
        <v>512</v>
      </c>
      <c r="G84" s="12" t="s">
        <v>531</v>
      </c>
      <c r="H84" s="12" t="s">
        <v>532</v>
      </c>
      <c r="I84" s="12" t="s">
        <v>23</v>
      </c>
      <c r="J84" s="12" t="s">
        <v>533</v>
      </c>
      <c r="K84" s="12" t="s">
        <v>23</v>
      </c>
      <c r="L84" s="12">
        <v>1</v>
      </c>
      <c r="M84" s="9">
        <f t="shared" si="3"/>
        <v>200</v>
      </c>
      <c r="N84" s="9">
        <v>200</v>
      </c>
      <c r="O84" s="18" t="s">
        <v>26</v>
      </c>
      <c r="P84" s="17">
        <v>3.7600000000000001E-2</v>
      </c>
      <c r="Q84" s="19">
        <f t="shared" si="4"/>
        <v>7.5200000000000005</v>
      </c>
      <c r="R84" s="12"/>
    </row>
    <row r="85" spans="1:18" s="1" customFormat="1" ht="24">
      <c r="A85" s="6"/>
      <c r="B85" s="7">
        <f>ROW(B85)-ROW($B$2)</f>
        <v>83</v>
      </c>
      <c r="C85" s="8" t="s">
        <v>509</v>
      </c>
      <c r="D85" s="9" t="s">
        <v>535</v>
      </c>
      <c r="E85" s="9" t="s">
        <v>536</v>
      </c>
      <c r="F85" s="9" t="s">
        <v>524</v>
      </c>
      <c r="G85" s="13" t="s">
        <v>537</v>
      </c>
      <c r="H85" s="9" t="s">
        <v>532</v>
      </c>
      <c r="I85" s="12" t="s">
        <v>1220</v>
      </c>
      <c r="J85" s="9" t="s">
        <v>1221</v>
      </c>
      <c r="K85" s="12" t="s">
        <v>23</v>
      </c>
      <c r="L85" s="9">
        <v>1</v>
      </c>
      <c r="M85" s="9">
        <f t="shared" si="3"/>
        <v>200</v>
      </c>
      <c r="N85" s="12">
        <v>200</v>
      </c>
      <c r="O85" s="18" t="s">
        <v>26</v>
      </c>
      <c r="P85" s="19">
        <v>1.95E-2</v>
      </c>
      <c r="Q85" s="17">
        <f t="shared" si="4"/>
        <v>3.9</v>
      </c>
      <c r="R85" s="9"/>
    </row>
    <row r="86" spans="1:18" s="1" customFormat="1" ht="24">
      <c r="A86" s="6"/>
      <c r="B86" s="10">
        <f t="shared" si="0"/>
        <v>84</v>
      </c>
      <c r="C86" s="11" t="s">
        <v>539</v>
      </c>
      <c r="D86" s="12" t="s">
        <v>540</v>
      </c>
      <c r="E86" s="12" t="s">
        <v>541</v>
      </c>
      <c r="F86" s="9" t="s">
        <v>20</v>
      </c>
      <c r="G86" s="12" t="s">
        <v>542</v>
      </c>
      <c r="H86" s="12" t="s">
        <v>543</v>
      </c>
      <c r="I86" s="12" t="s">
        <v>23</v>
      </c>
      <c r="J86" s="12" t="s">
        <v>544</v>
      </c>
      <c r="K86" s="12" t="s">
        <v>23</v>
      </c>
      <c r="L86" s="12">
        <v>1</v>
      </c>
      <c r="M86" s="9">
        <f t="shared" si="3"/>
        <v>200</v>
      </c>
      <c r="N86" s="9">
        <v>200</v>
      </c>
      <c r="O86" s="18" t="s">
        <v>26</v>
      </c>
      <c r="P86" s="17">
        <v>0.22969999999999999</v>
      </c>
      <c r="Q86" s="19">
        <f t="shared" si="4"/>
        <v>45.94</v>
      </c>
      <c r="R86" s="12"/>
    </row>
    <row r="87" spans="1:18" s="1" customFormat="1" ht="24">
      <c r="A87" s="6"/>
      <c r="B87" s="7">
        <f>ROW(B87)-ROW($B$2)</f>
        <v>85</v>
      </c>
      <c r="C87" s="8" t="s">
        <v>546</v>
      </c>
      <c r="D87" s="13" t="s">
        <v>547</v>
      </c>
      <c r="E87" s="13" t="s">
        <v>548</v>
      </c>
      <c r="F87" s="13" t="s">
        <v>20</v>
      </c>
      <c r="G87" s="13" t="s">
        <v>549</v>
      </c>
      <c r="H87" s="13" t="s">
        <v>23</v>
      </c>
      <c r="I87" s="13" t="s">
        <v>23</v>
      </c>
      <c r="J87" s="13" t="s">
        <v>23</v>
      </c>
      <c r="K87" s="23" t="s">
        <v>23</v>
      </c>
      <c r="L87" s="13">
        <v>6</v>
      </c>
      <c r="M87" s="9">
        <f t="shared" si="3"/>
        <v>1200</v>
      </c>
      <c r="N87" s="13" t="s">
        <v>23</v>
      </c>
      <c r="O87" s="13" t="s">
        <v>23</v>
      </c>
      <c r="P87" s="24" t="s">
        <v>23</v>
      </c>
      <c r="Q87" s="24" t="s">
        <v>23</v>
      </c>
      <c r="R87" s="27" t="s">
        <v>550</v>
      </c>
    </row>
    <row r="88" spans="1:18" s="1" customFormat="1" ht="24">
      <c r="A88" s="6"/>
      <c r="B88" s="10">
        <f t="shared" si="0"/>
        <v>86</v>
      </c>
      <c r="C88" s="11" t="s">
        <v>551</v>
      </c>
      <c r="D88" s="12" t="s">
        <v>552</v>
      </c>
      <c r="E88" s="12" t="s">
        <v>553</v>
      </c>
      <c r="F88" s="12" t="s">
        <v>554</v>
      </c>
      <c r="G88" s="12" t="s">
        <v>555</v>
      </c>
      <c r="H88" s="12" t="s">
        <v>278</v>
      </c>
      <c r="I88" s="12" t="s">
        <v>23</v>
      </c>
      <c r="J88" s="12" t="s">
        <v>556</v>
      </c>
      <c r="K88" s="12" t="s">
        <v>23</v>
      </c>
      <c r="L88" s="12">
        <v>2</v>
      </c>
      <c r="M88" s="9">
        <f t="shared" si="3"/>
        <v>400</v>
      </c>
      <c r="N88" s="9">
        <v>400</v>
      </c>
      <c r="O88" s="18" t="s">
        <v>26</v>
      </c>
      <c r="P88" s="17">
        <v>4.5100000000000001E-2</v>
      </c>
      <c r="Q88" s="19">
        <f t="shared" ref="Q88:Q114" si="5">P88*N88</f>
        <v>18.04</v>
      </c>
      <c r="R88" s="12"/>
    </row>
    <row r="89" spans="1:18" s="1" customFormat="1">
      <c r="A89" s="6"/>
      <c r="B89" s="7">
        <f>ROW(B89)-ROW($B$2)</f>
        <v>87</v>
      </c>
      <c r="C89" s="8" t="s">
        <v>558</v>
      </c>
      <c r="D89" s="9" t="s">
        <v>559</v>
      </c>
      <c r="E89" s="9" t="s">
        <v>560</v>
      </c>
      <c r="F89" s="9" t="s">
        <v>345</v>
      </c>
      <c r="G89" s="9" t="s">
        <v>561</v>
      </c>
      <c r="H89" s="9" t="s">
        <v>562</v>
      </c>
      <c r="I89" s="12" t="s">
        <v>23</v>
      </c>
      <c r="J89" s="9" t="s">
        <v>563</v>
      </c>
      <c r="K89" s="12" t="s">
        <v>23</v>
      </c>
      <c r="L89" s="9">
        <v>3</v>
      </c>
      <c r="M89" s="9">
        <f t="shared" si="3"/>
        <v>600</v>
      </c>
      <c r="N89" s="12">
        <v>600</v>
      </c>
      <c r="O89" s="18" t="s">
        <v>26</v>
      </c>
      <c r="P89" s="19">
        <v>7.9000000000000008E-3</v>
      </c>
      <c r="Q89" s="17">
        <f t="shared" si="5"/>
        <v>4.74</v>
      </c>
      <c r="R89" s="9"/>
    </row>
    <row r="90" spans="1:18" s="1" customFormat="1">
      <c r="A90" s="6"/>
      <c r="B90" s="10">
        <f t="shared" si="0"/>
        <v>88</v>
      </c>
      <c r="C90" s="11" t="s">
        <v>551</v>
      </c>
      <c r="D90" s="12" t="s">
        <v>564</v>
      </c>
      <c r="E90" s="12" t="s">
        <v>565</v>
      </c>
      <c r="F90" s="12" t="s">
        <v>345</v>
      </c>
      <c r="G90" s="12" t="s">
        <v>566</v>
      </c>
      <c r="H90" s="12" t="s">
        <v>567</v>
      </c>
      <c r="I90" s="12" t="s">
        <v>23</v>
      </c>
      <c r="J90" s="12" t="s">
        <v>568</v>
      </c>
      <c r="K90" s="12" t="s">
        <v>23</v>
      </c>
      <c r="L90" s="12">
        <v>1</v>
      </c>
      <c r="M90" s="9">
        <f t="shared" si="3"/>
        <v>200</v>
      </c>
      <c r="N90" s="9">
        <v>200</v>
      </c>
      <c r="O90" s="18" t="s">
        <v>26</v>
      </c>
      <c r="P90" s="17">
        <v>0.1237</v>
      </c>
      <c r="Q90" s="19">
        <f t="shared" si="5"/>
        <v>24.740000000000002</v>
      </c>
      <c r="R90" s="12"/>
    </row>
    <row r="91" spans="1:18" s="1" customFormat="1" ht="24">
      <c r="A91" s="6"/>
      <c r="B91" s="7">
        <f>ROW(B91)-ROW($B$2)</f>
        <v>89</v>
      </c>
      <c r="C91" s="8" t="s">
        <v>551</v>
      </c>
      <c r="D91" s="9" t="s">
        <v>570</v>
      </c>
      <c r="E91" s="9" t="s">
        <v>571</v>
      </c>
      <c r="F91" s="9" t="s">
        <v>572</v>
      </c>
      <c r="G91" s="9" t="s">
        <v>573</v>
      </c>
      <c r="H91" s="9" t="s">
        <v>574</v>
      </c>
      <c r="I91" s="12" t="s">
        <v>23</v>
      </c>
      <c r="J91" s="9" t="s">
        <v>575</v>
      </c>
      <c r="K91" s="12" t="s">
        <v>23</v>
      </c>
      <c r="L91" s="9">
        <v>2</v>
      </c>
      <c r="M91" s="9">
        <f t="shared" si="3"/>
        <v>400</v>
      </c>
      <c r="N91" s="12">
        <v>400</v>
      </c>
      <c r="O91" s="18" t="s">
        <v>26</v>
      </c>
      <c r="P91" s="19">
        <v>0.47860000000000003</v>
      </c>
      <c r="Q91" s="17">
        <f t="shared" si="5"/>
        <v>191.44</v>
      </c>
      <c r="R91" s="9"/>
    </row>
    <row r="92" spans="1:18" s="1" customFormat="1" ht="24">
      <c r="A92" s="6"/>
      <c r="B92" s="10">
        <f t="shared" si="0"/>
        <v>90</v>
      </c>
      <c r="C92" s="11" t="s">
        <v>551</v>
      </c>
      <c r="D92" s="12" t="s">
        <v>577</v>
      </c>
      <c r="E92" s="12" t="s">
        <v>578</v>
      </c>
      <c r="F92" s="12" t="s">
        <v>345</v>
      </c>
      <c r="G92" s="12" t="s">
        <v>579</v>
      </c>
      <c r="H92" s="12" t="s">
        <v>580</v>
      </c>
      <c r="I92" s="12" t="s">
        <v>23</v>
      </c>
      <c r="J92" s="12" t="s">
        <v>581</v>
      </c>
      <c r="K92" s="12" t="s">
        <v>23</v>
      </c>
      <c r="L92" s="12">
        <v>1</v>
      </c>
      <c r="M92" s="9">
        <f t="shared" si="3"/>
        <v>200</v>
      </c>
      <c r="N92" s="9">
        <v>200</v>
      </c>
      <c r="O92" s="18" t="s">
        <v>26</v>
      </c>
      <c r="P92" s="17">
        <v>3.6700000000000003E-2</v>
      </c>
      <c r="Q92" s="19">
        <f t="shared" si="5"/>
        <v>7.3400000000000007</v>
      </c>
      <c r="R92" s="12"/>
    </row>
    <row r="93" spans="1:18" s="1" customFormat="1">
      <c r="A93" s="6"/>
      <c r="B93" s="7">
        <f>ROW(B93)-ROW($B$2)</f>
        <v>91</v>
      </c>
      <c r="C93" s="8" t="s">
        <v>551</v>
      </c>
      <c r="D93" s="9" t="s">
        <v>583</v>
      </c>
      <c r="E93" s="9" t="s">
        <v>584</v>
      </c>
      <c r="F93" s="9" t="s">
        <v>345</v>
      </c>
      <c r="G93" s="9" t="s">
        <v>585</v>
      </c>
      <c r="H93" s="9" t="s">
        <v>305</v>
      </c>
      <c r="I93" s="12" t="s">
        <v>23</v>
      </c>
      <c r="J93" s="9" t="s">
        <v>586</v>
      </c>
      <c r="K93" s="12" t="s">
        <v>23</v>
      </c>
      <c r="L93" s="9">
        <v>1</v>
      </c>
      <c r="M93" s="9">
        <f t="shared" si="3"/>
        <v>200</v>
      </c>
      <c r="N93" s="12">
        <v>200</v>
      </c>
      <c r="O93" s="18" t="s">
        <v>26</v>
      </c>
      <c r="P93" s="19">
        <v>2.2700000000000001E-2</v>
      </c>
      <c r="Q93" s="17">
        <f t="shared" si="5"/>
        <v>4.54</v>
      </c>
      <c r="R93" s="9"/>
    </row>
    <row r="94" spans="1:18" s="1" customFormat="1">
      <c r="A94" s="6"/>
      <c r="B94" s="10">
        <f t="shared" si="0"/>
        <v>92</v>
      </c>
      <c r="C94" s="11" t="s">
        <v>588</v>
      </c>
      <c r="D94" s="12" t="s">
        <v>589</v>
      </c>
      <c r="E94" s="12" t="s">
        <v>590</v>
      </c>
      <c r="F94" s="12" t="s">
        <v>591</v>
      </c>
      <c r="G94" s="12" t="s">
        <v>592</v>
      </c>
      <c r="H94" s="12" t="s">
        <v>593</v>
      </c>
      <c r="I94" s="12" t="s">
        <v>23</v>
      </c>
      <c r="J94" s="12" t="s">
        <v>23</v>
      </c>
      <c r="K94" s="12" t="s">
        <v>23</v>
      </c>
      <c r="L94" s="12">
        <v>1</v>
      </c>
      <c r="M94" s="9">
        <f t="shared" si="3"/>
        <v>200</v>
      </c>
      <c r="N94" s="9">
        <v>200</v>
      </c>
      <c r="O94" s="18" t="s">
        <v>67</v>
      </c>
      <c r="P94" s="17">
        <v>1.2749999999999999</v>
      </c>
      <c r="Q94" s="19">
        <f t="shared" si="5"/>
        <v>254.99999999999997</v>
      </c>
      <c r="R94" s="12"/>
    </row>
    <row r="95" spans="1:18" s="1" customFormat="1">
      <c r="A95" s="6"/>
      <c r="B95" s="7">
        <f>ROW(B95)-ROW($B$2)</f>
        <v>93</v>
      </c>
      <c r="C95" s="8" t="s">
        <v>551</v>
      </c>
      <c r="D95" s="9" t="s">
        <v>595</v>
      </c>
      <c r="E95" s="9" t="s">
        <v>596</v>
      </c>
      <c r="F95" s="9" t="s">
        <v>276</v>
      </c>
      <c r="G95" s="9" t="s">
        <v>597</v>
      </c>
      <c r="H95" s="9" t="s">
        <v>347</v>
      </c>
      <c r="I95" s="12" t="s">
        <v>23</v>
      </c>
      <c r="J95" s="9" t="s">
        <v>598</v>
      </c>
      <c r="K95" s="12" t="s">
        <v>23</v>
      </c>
      <c r="L95" s="9">
        <v>1</v>
      </c>
      <c r="M95" s="9">
        <f t="shared" si="3"/>
        <v>200</v>
      </c>
      <c r="N95" s="12">
        <v>200</v>
      </c>
      <c r="O95" s="18" t="s">
        <v>26</v>
      </c>
      <c r="P95" s="19">
        <v>1.9199999999999998E-2</v>
      </c>
      <c r="Q95" s="17">
        <f t="shared" si="5"/>
        <v>3.84</v>
      </c>
      <c r="R95" s="9"/>
    </row>
    <row r="96" spans="1:18" s="1" customFormat="1" ht="36">
      <c r="A96" s="6"/>
      <c r="B96" s="10">
        <f t="shared" si="0"/>
        <v>94</v>
      </c>
      <c r="C96" s="11" t="s">
        <v>551</v>
      </c>
      <c r="D96" s="12" t="s">
        <v>599</v>
      </c>
      <c r="E96" s="12" t="s">
        <v>600</v>
      </c>
      <c r="F96" s="12" t="s">
        <v>345</v>
      </c>
      <c r="G96" s="12" t="s">
        <v>601</v>
      </c>
      <c r="H96" s="12" t="s">
        <v>257</v>
      </c>
      <c r="I96" s="12" t="s">
        <v>23</v>
      </c>
      <c r="J96" s="12" t="s">
        <v>602</v>
      </c>
      <c r="K96" s="12" t="s">
        <v>23</v>
      </c>
      <c r="L96" s="12">
        <v>1</v>
      </c>
      <c r="M96" s="9">
        <f t="shared" si="3"/>
        <v>200</v>
      </c>
      <c r="N96" s="9">
        <v>200</v>
      </c>
      <c r="O96" s="18" t="s">
        <v>26</v>
      </c>
      <c r="P96" s="17">
        <v>0.02</v>
      </c>
      <c r="Q96" s="19">
        <f t="shared" si="5"/>
        <v>4</v>
      </c>
      <c r="R96" s="12"/>
    </row>
    <row r="97" spans="1:18" s="1" customFormat="1">
      <c r="A97" s="6"/>
      <c r="B97" s="7">
        <f>ROW(B97)-ROW($B$2)</f>
        <v>95</v>
      </c>
      <c r="C97" s="8" t="s">
        <v>588</v>
      </c>
      <c r="D97" s="9" t="s">
        <v>604</v>
      </c>
      <c r="E97" s="9" t="s">
        <v>605</v>
      </c>
      <c r="F97" s="9" t="s">
        <v>345</v>
      </c>
      <c r="G97" s="9" t="s">
        <v>606</v>
      </c>
      <c r="H97" s="9" t="s">
        <v>305</v>
      </c>
      <c r="I97" s="12" t="s">
        <v>23</v>
      </c>
      <c r="J97" s="9" t="s">
        <v>607</v>
      </c>
      <c r="K97" s="12" t="s">
        <v>23</v>
      </c>
      <c r="L97" s="9">
        <v>1</v>
      </c>
      <c r="M97" s="9">
        <f t="shared" si="3"/>
        <v>200</v>
      </c>
      <c r="N97" s="12">
        <v>200</v>
      </c>
      <c r="O97" s="18" t="s">
        <v>26</v>
      </c>
      <c r="P97" s="19">
        <v>1.7399999999999999E-2</v>
      </c>
      <c r="Q97" s="17">
        <f t="shared" si="5"/>
        <v>3.4799999999999995</v>
      </c>
      <c r="R97" s="9"/>
    </row>
    <row r="98" spans="1:18" s="1" customFormat="1" ht="36">
      <c r="A98" s="6"/>
      <c r="B98" s="10">
        <f t="shared" si="0"/>
        <v>96</v>
      </c>
      <c r="C98" s="11" t="s">
        <v>609</v>
      </c>
      <c r="D98" s="12" t="s">
        <v>610</v>
      </c>
      <c r="E98" s="12" t="s">
        <v>611</v>
      </c>
      <c r="F98" s="12" t="s">
        <v>612</v>
      </c>
      <c r="G98" s="12" t="s">
        <v>613</v>
      </c>
      <c r="H98" s="12" t="s">
        <v>614</v>
      </c>
      <c r="I98" s="12" t="s">
        <v>23</v>
      </c>
      <c r="J98" s="12" t="s">
        <v>615</v>
      </c>
      <c r="K98" s="12" t="s">
        <v>616</v>
      </c>
      <c r="L98" s="12">
        <v>1</v>
      </c>
      <c r="M98" s="9">
        <f t="shared" si="3"/>
        <v>200</v>
      </c>
      <c r="N98" s="9">
        <v>200</v>
      </c>
      <c r="O98" s="18" t="s">
        <v>26</v>
      </c>
      <c r="P98" s="17">
        <v>1.1999999999999999E-3</v>
      </c>
      <c r="Q98" s="19">
        <f t="shared" si="5"/>
        <v>0.24</v>
      </c>
      <c r="R98" s="12"/>
    </row>
    <row r="99" spans="1:18" s="1" customFormat="1" ht="36">
      <c r="A99" s="6"/>
      <c r="B99" s="7">
        <f>ROW(B99)-ROW($B$2)</f>
        <v>97</v>
      </c>
      <c r="C99" s="8" t="s">
        <v>609</v>
      </c>
      <c r="D99" s="9" t="s">
        <v>618</v>
      </c>
      <c r="E99" s="9" t="s">
        <v>619</v>
      </c>
      <c r="F99" s="9" t="s">
        <v>612</v>
      </c>
      <c r="G99" s="9" t="s">
        <v>620</v>
      </c>
      <c r="H99" s="9" t="s">
        <v>621</v>
      </c>
      <c r="I99" s="12" t="s">
        <v>23</v>
      </c>
      <c r="J99" s="9" t="s">
        <v>622</v>
      </c>
      <c r="K99" s="9" t="s">
        <v>623</v>
      </c>
      <c r="L99" s="9">
        <v>1</v>
      </c>
      <c r="M99" s="9">
        <f t="shared" si="3"/>
        <v>200</v>
      </c>
      <c r="N99" s="12">
        <v>200</v>
      </c>
      <c r="O99" s="18" t="s">
        <v>26</v>
      </c>
      <c r="P99" s="19" t="s">
        <v>158</v>
      </c>
      <c r="Q99" s="17">
        <f t="shared" si="5"/>
        <v>0.91999999999999993</v>
      </c>
      <c r="R99" s="9"/>
    </row>
    <row r="100" spans="1:18" s="1" customFormat="1">
      <c r="A100" s="6"/>
      <c r="B100" s="10">
        <f t="shared" si="0"/>
        <v>98</v>
      </c>
      <c r="C100" s="8" t="s">
        <v>609</v>
      </c>
      <c r="D100" s="12" t="s">
        <v>624</v>
      </c>
      <c r="E100" s="12" t="s">
        <v>625</v>
      </c>
      <c r="F100" s="12" t="s">
        <v>612</v>
      </c>
      <c r="G100" s="12" t="s">
        <v>626</v>
      </c>
      <c r="H100" s="12" t="s">
        <v>31</v>
      </c>
      <c r="I100" s="12" t="s">
        <v>23</v>
      </c>
      <c r="J100" s="12" t="s">
        <v>627</v>
      </c>
      <c r="K100" s="12" t="s">
        <v>628</v>
      </c>
      <c r="L100" s="12">
        <v>1</v>
      </c>
      <c r="M100" s="9">
        <f t="shared" si="3"/>
        <v>200</v>
      </c>
      <c r="N100" s="9">
        <v>200</v>
      </c>
      <c r="O100" s="18" t="s">
        <v>26</v>
      </c>
      <c r="P100" s="17" t="s">
        <v>617</v>
      </c>
      <c r="Q100" s="19">
        <f t="shared" si="5"/>
        <v>0.24</v>
      </c>
      <c r="R100" s="12"/>
    </row>
    <row r="101" spans="1:18" s="1" customFormat="1">
      <c r="A101" s="6"/>
      <c r="B101" s="7">
        <f>ROW(B101)-ROW($B$2)</f>
        <v>99</v>
      </c>
      <c r="C101" s="8" t="s">
        <v>609</v>
      </c>
      <c r="D101" s="9" t="s">
        <v>629</v>
      </c>
      <c r="E101" s="9" t="s">
        <v>630</v>
      </c>
      <c r="F101" s="9" t="s">
        <v>612</v>
      </c>
      <c r="G101" s="9" t="s">
        <v>631</v>
      </c>
      <c r="H101" s="9" t="s">
        <v>31</v>
      </c>
      <c r="I101" s="12" t="s">
        <v>23</v>
      </c>
      <c r="J101" s="9" t="s">
        <v>632</v>
      </c>
      <c r="K101" s="9" t="s">
        <v>633</v>
      </c>
      <c r="L101" s="9">
        <v>2</v>
      </c>
      <c r="M101" s="9">
        <f t="shared" si="3"/>
        <v>400</v>
      </c>
      <c r="N101" s="12">
        <v>400</v>
      </c>
      <c r="O101" s="18" t="s">
        <v>26</v>
      </c>
      <c r="P101" s="19" t="s">
        <v>120</v>
      </c>
      <c r="Q101" s="17">
        <f t="shared" si="5"/>
        <v>0.44</v>
      </c>
      <c r="R101" s="9"/>
    </row>
    <row r="102" spans="1:18" s="1" customFormat="1">
      <c r="A102" s="6"/>
      <c r="B102" s="10">
        <f t="shared" si="0"/>
        <v>100</v>
      </c>
      <c r="C102" s="8" t="s">
        <v>609</v>
      </c>
      <c r="D102" s="12" t="s">
        <v>634</v>
      </c>
      <c r="E102" s="12" t="s">
        <v>635</v>
      </c>
      <c r="F102" s="12" t="s">
        <v>612</v>
      </c>
      <c r="G102" s="12" t="s">
        <v>636</v>
      </c>
      <c r="H102" s="12" t="s">
        <v>31</v>
      </c>
      <c r="I102" s="12" t="s">
        <v>23</v>
      </c>
      <c r="J102" s="12" t="s">
        <v>637</v>
      </c>
      <c r="K102" s="12" t="s">
        <v>633</v>
      </c>
      <c r="L102" s="12">
        <v>2</v>
      </c>
      <c r="M102" s="9">
        <f t="shared" si="3"/>
        <v>400</v>
      </c>
      <c r="N102" s="9">
        <v>400</v>
      </c>
      <c r="O102" s="18" t="s">
        <v>26</v>
      </c>
      <c r="P102" s="17" t="s">
        <v>1230</v>
      </c>
      <c r="Q102" s="19">
        <f t="shared" si="5"/>
        <v>7.3599999999999994</v>
      </c>
      <c r="R102" s="12"/>
    </row>
    <row r="103" spans="1:18" s="1" customFormat="1">
      <c r="A103" s="6"/>
      <c r="B103" s="7">
        <f>ROW(B103)-ROW($B$2)</f>
        <v>101</v>
      </c>
      <c r="C103" s="8" t="s">
        <v>609</v>
      </c>
      <c r="D103" s="9" t="s">
        <v>639</v>
      </c>
      <c r="E103" s="9" t="s">
        <v>640</v>
      </c>
      <c r="F103" s="9" t="s">
        <v>612</v>
      </c>
      <c r="G103" s="9" t="s">
        <v>641</v>
      </c>
      <c r="H103" s="9" t="s">
        <v>31</v>
      </c>
      <c r="I103" s="12" t="s">
        <v>23</v>
      </c>
      <c r="J103" s="9" t="s">
        <v>642</v>
      </c>
      <c r="K103" s="9" t="s">
        <v>643</v>
      </c>
      <c r="L103" s="9">
        <v>2</v>
      </c>
      <c r="M103" s="9">
        <f t="shared" si="3"/>
        <v>400</v>
      </c>
      <c r="N103" s="12">
        <v>400</v>
      </c>
      <c r="O103" s="18" t="s">
        <v>26</v>
      </c>
      <c r="P103" s="19" t="s">
        <v>1231</v>
      </c>
      <c r="Q103" s="17">
        <f t="shared" si="5"/>
        <v>7.68</v>
      </c>
      <c r="R103" s="9"/>
    </row>
    <row r="104" spans="1:18" s="1" customFormat="1">
      <c r="A104" s="6"/>
      <c r="B104" s="10">
        <f t="shared" si="0"/>
        <v>102</v>
      </c>
      <c r="C104" s="8" t="s">
        <v>609</v>
      </c>
      <c r="D104" s="12" t="s">
        <v>645</v>
      </c>
      <c r="E104" s="12" t="s">
        <v>646</v>
      </c>
      <c r="F104" s="12" t="s">
        <v>612</v>
      </c>
      <c r="G104" s="12" t="s">
        <v>647</v>
      </c>
      <c r="H104" s="12" t="s">
        <v>31</v>
      </c>
      <c r="I104" s="12" t="s">
        <v>23</v>
      </c>
      <c r="J104" s="12" t="s">
        <v>648</v>
      </c>
      <c r="K104" s="12" t="s">
        <v>649</v>
      </c>
      <c r="L104" s="12">
        <v>2</v>
      </c>
      <c r="M104" s="9">
        <f t="shared" si="3"/>
        <v>400</v>
      </c>
      <c r="N104" s="9">
        <v>400</v>
      </c>
      <c r="O104" s="18" t="s">
        <v>26</v>
      </c>
      <c r="P104" s="17" t="s">
        <v>617</v>
      </c>
      <c r="Q104" s="19">
        <f t="shared" si="5"/>
        <v>0.48</v>
      </c>
      <c r="R104" s="12"/>
    </row>
    <row r="105" spans="1:18" s="1" customFormat="1" ht="48">
      <c r="A105" s="6"/>
      <c r="B105" s="7">
        <f>ROW(B105)-ROW($B$2)</f>
        <v>103</v>
      </c>
      <c r="C105" s="8" t="s">
        <v>609</v>
      </c>
      <c r="D105" s="9" t="s">
        <v>650</v>
      </c>
      <c r="E105" s="9" t="s">
        <v>651</v>
      </c>
      <c r="F105" s="9" t="s">
        <v>652</v>
      </c>
      <c r="G105" s="9" t="s">
        <v>653</v>
      </c>
      <c r="H105" s="9" t="s">
        <v>614</v>
      </c>
      <c r="I105" s="12" t="s">
        <v>23</v>
      </c>
      <c r="J105" s="9" t="s">
        <v>654</v>
      </c>
      <c r="K105" s="9" t="s">
        <v>655</v>
      </c>
      <c r="L105" s="9">
        <v>1</v>
      </c>
      <c r="M105" s="9">
        <f t="shared" si="3"/>
        <v>200</v>
      </c>
      <c r="N105" s="12">
        <v>200</v>
      </c>
      <c r="O105" s="18" t="s">
        <v>26</v>
      </c>
      <c r="P105" s="19" t="s">
        <v>125</v>
      </c>
      <c r="Q105" s="17">
        <f t="shared" si="5"/>
        <v>0.36</v>
      </c>
      <c r="R105" s="9"/>
    </row>
    <row r="106" spans="1:18" s="1" customFormat="1">
      <c r="A106" s="6"/>
      <c r="B106" s="10">
        <f t="shared" si="0"/>
        <v>104</v>
      </c>
      <c r="C106" s="8" t="s">
        <v>609</v>
      </c>
      <c r="D106" s="12" t="s">
        <v>656</v>
      </c>
      <c r="E106" s="12" t="s">
        <v>657</v>
      </c>
      <c r="F106" s="12" t="s">
        <v>612</v>
      </c>
      <c r="G106" s="12" t="s">
        <v>658</v>
      </c>
      <c r="H106" s="12" t="s">
        <v>31</v>
      </c>
      <c r="I106" s="12" t="s">
        <v>23</v>
      </c>
      <c r="J106" s="12" t="s">
        <v>659</v>
      </c>
      <c r="K106" s="12" t="s">
        <v>660</v>
      </c>
      <c r="L106" s="12">
        <v>1</v>
      </c>
      <c r="M106" s="9">
        <f t="shared" si="3"/>
        <v>200</v>
      </c>
      <c r="N106" s="9">
        <v>200</v>
      </c>
      <c r="O106" s="18" t="s">
        <v>26</v>
      </c>
      <c r="P106" s="17" t="s">
        <v>617</v>
      </c>
      <c r="Q106" s="19">
        <f t="shared" si="5"/>
        <v>0.24</v>
      </c>
      <c r="R106" s="12"/>
    </row>
    <row r="107" spans="1:18" s="1" customFormat="1">
      <c r="A107" s="6"/>
      <c r="B107" s="7">
        <f>ROW(B107)-ROW($B$2)</f>
        <v>105</v>
      </c>
      <c r="C107" s="8" t="s">
        <v>609</v>
      </c>
      <c r="D107" s="9" t="s">
        <v>661</v>
      </c>
      <c r="E107" s="9" t="s">
        <v>662</v>
      </c>
      <c r="F107" s="9" t="s">
        <v>612</v>
      </c>
      <c r="G107" s="9" t="s">
        <v>663</v>
      </c>
      <c r="H107" s="9" t="s">
        <v>31</v>
      </c>
      <c r="I107" s="12" t="s">
        <v>23</v>
      </c>
      <c r="J107" s="9" t="s">
        <v>664</v>
      </c>
      <c r="K107" s="9" t="s">
        <v>665</v>
      </c>
      <c r="L107" s="9">
        <v>2</v>
      </c>
      <c r="M107" s="9">
        <f t="shared" si="3"/>
        <v>400</v>
      </c>
      <c r="N107" s="12">
        <v>400</v>
      </c>
      <c r="O107" s="18" t="s">
        <v>26</v>
      </c>
      <c r="P107" s="19" t="s">
        <v>666</v>
      </c>
      <c r="Q107" s="17">
        <f t="shared" si="5"/>
        <v>2.12</v>
      </c>
      <c r="R107" s="9"/>
    </row>
    <row r="108" spans="1:18" s="1" customFormat="1">
      <c r="A108" s="6"/>
      <c r="B108" s="10">
        <f t="shared" si="0"/>
        <v>106</v>
      </c>
      <c r="C108" s="8" t="s">
        <v>609</v>
      </c>
      <c r="D108" s="12" t="s">
        <v>667</v>
      </c>
      <c r="E108" s="12" t="s">
        <v>668</v>
      </c>
      <c r="F108" s="12" t="s">
        <v>612</v>
      </c>
      <c r="G108" s="12" t="s">
        <v>669</v>
      </c>
      <c r="H108" s="12" t="s">
        <v>31</v>
      </c>
      <c r="I108" s="12" t="s">
        <v>23</v>
      </c>
      <c r="J108" s="12" t="s">
        <v>670</v>
      </c>
      <c r="K108" s="12" t="s">
        <v>671</v>
      </c>
      <c r="L108" s="12">
        <v>3</v>
      </c>
      <c r="M108" s="9">
        <f t="shared" si="3"/>
        <v>600</v>
      </c>
      <c r="N108" s="9">
        <v>600</v>
      </c>
      <c r="O108" s="18" t="s">
        <v>26</v>
      </c>
      <c r="P108" s="17" t="s">
        <v>617</v>
      </c>
      <c r="Q108" s="19">
        <f t="shared" si="5"/>
        <v>0.72</v>
      </c>
      <c r="R108" s="12"/>
    </row>
    <row r="109" spans="1:18" s="1" customFormat="1" ht="48">
      <c r="A109" s="6"/>
      <c r="B109" s="7">
        <f>ROW(B109)-ROW($B$2)</f>
        <v>107</v>
      </c>
      <c r="C109" s="8" t="s">
        <v>609</v>
      </c>
      <c r="D109" s="9" t="s">
        <v>672</v>
      </c>
      <c r="E109" s="9" t="s">
        <v>673</v>
      </c>
      <c r="F109" s="9" t="s">
        <v>674</v>
      </c>
      <c r="G109" s="9" t="s">
        <v>675</v>
      </c>
      <c r="H109" s="9" t="s">
        <v>31</v>
      </c>
      <c r="I109" s="12" t="s">
        <v>23</v>
      </c>
      <c r="J109" s="9" t="s">
        <v>676</v>
      </c>
      <c r="K109" s="9" t="s">
        <v>633</v>
      </c>
      <c r="L109" s="9">
        <v>17</v>
      </c>
      <c r="M109" s="9">
        <f t="shared" si="3"/>
        <v>3400</v>
      </c>
      <c r="N109" s="12">
        <v>3400</v>
      </c>
      <c r="O109" s="18" t="s">
        <v>26</v>
      </c>
      <c r="P109" s="19" t="s">
        <v>1233</v>
      </c>
      <c r="Q109" s="17">
        <f t="shared" si="5"/>
        <v>1.7</v>
      </c>
      <c r="R109" s="9"/>
    </row>
    <row r="110" spans="1:18" s="1" customFormat="1">
      <c r="A110" s="6"/>
      <c r="B110" s="10">
        <f t="shared" si="0"/>
        <v>108</v>
      </c>
      <c r="C110" s="8" t="s">
        <v>609</v>
      </c>
      <c r="D110" s="12" t="s">
        <v>678</v>
      </c>
      <c r="E110" s="12" t="s">
        <v>679</v>
      </c>
      <c r="F110" s="12" t="s">
        <v>612</v>
      </c>
      <c r="G110" s="9" t="s">
        <v>680</v>
      </c>
      <c r="H110" s="9" t="s">
        <v>681</v>
      </c>
      <c r="I110" s="12" t="s">
        <v>23</v>
      </c>
      <c r="J110" s="12" t="s">
        <v>682</v>
      </c>
      <c r="K110" s="12" t="s">
        <v>683</v>
      </c>
      <c r="L110" s="12">
        <v>4</v>
      </c>
      <c r="M110" s="9">
        <f t="shared" si="3"/>
        <v>800</v>
      </c>
      <c r="N110" s="9">
        <v>800</v>
      </c>
      <c r="O110" s="18" t="s">
        <v>26</v>
      </c>
      <c r="P110" s="17" t="s">
        <v>1234</v>
      </c>
      <c r="Q110" s="19">
        <f t="shared" si="5"/>
        <v>17.599999999999998</v>
      </c>
      <c r="R110" s="12"/>
    </row>
    <row r="111" spans="1:18" s="1" customFormat="1">
      <c r="A111" s="6"/>
      <c r="B111" s="7">
        <f>ROW(B111)-ROW($B$2)</f>
        <v>109</v>
      </c>
      <c r="C111" s="8" t="s">
        <v>609</v>
      </c>
      <c r="D111" s="9" t="s">
        <v>685</v>
      </c>
      <c r="E111" s="9" t="s">
        <v>686</v>
      </c>
      <c r="F111" s="9" t="s">
        <v>612</v>
      </c>
      <c r="G111" s="9" t="s">
        <v>687</v>
      </c>
      <c r="H111" s="9" t="s">
        <v>31</v>
      </c>
      <c r="I111" s="12" t="s">
        <v>23</v>
      </c>
      <c r="J111" s="9" t="s">
        <v>688</v>
      </c>
      <c r="K111" s="9" t="s">
        <v>689</v>
      </c>
      <c r="L111" s="9">
        <v>1</v>
      </c>
      <c r="M111" s="9">
        <f t="shared" si="3"/>
        <v>200</v>
      </c>
      <c r="N111" s="12">
        <v>200</v>
      </c>
      <c r="O111" s="18" t="s">
        <v>26</v>
      </c>
      <c r="P111" s="19" t="s">
        <v>690</v>
      </c>
      <c r="Q111" s="17">
        <f t="shared" si="5"/>
        <v>1.6400000000000001</v>
      </c>
      <c r="R111" s="9"/>
    </row>
    <row r="112" spans="1:18" s="1" customFormat="1">
      <c r="A112" s="6"/>
      <c r="B112" s="10">
        <f t="shared" si="0"/>
        <v>110</v>
      </c>
      <c r="C112" s="8" t="s">
        <v>609</v>
      </c>
      <c r="D112" s="12" t="s">
        <v>691</v>
      </c>
      <c r="E112" s="12" t="s">
        <v>692</v>
      </c>
      <c r="F112" s="12" t="s">
        <v>612</v>
      </c>
      <c r="G112" s="12" t="s">
        <v>693</v>
      </c>
      <c r="H112" s="12" t="s">
        <v>31</v>
      </c>
      <c r="I112" s="12" t="s">
        <v>23</v>
      </c>
      <c r="J112" s="12" t="s">
        <v>694</v>
      </c>
      <c r="K112" s="12" t="s">
        <v>695</v>
      </c>
      <c r="L112" s="12">
        <v>4</v>
      </c>
      <c r="M112" s="9">
        <f t="shared" si="3"/>
        <v>800</v>
      </c>
      <c r="N112" s="9">
        <v>800</v>
      </c>
      <c r="O112" s="18" t="s">
        <v>26</v>
      </c>
      <c r="P112" s="17" t="s">
        <v>617</v>
      </c>
      <c r="Q112" s="19">
        <f t="shared" si="5"/>
        <v>0.96</v>
      </c>
      <c r="R112" s="12"/>
    </row>
    <row r="113" spans="1:18" s="1" customFormat="1" ht="24">
      <c r="A113" s="6"/>
      <c r="B113" s="7">
        <f>ROW(B113)-ROW($B$2)</f>
        <v>111</v>
      </c>
      <c r="C113" s="8" t="s">
        <v>609</v>
      </c>
      <c r="D113" s="9" t="s">
        <v>696</v>
      </c>
      <c r="E113" s="9" t="s">
        <v>697</v>
      </c>
      <c r="F113" s="9" t="s">
        <v>612</v>
      </c>
      <c r="G113" s="9" t="s">
        <v>698</v>
      </c>
      <c r="H113" s="9" t="s">
        <v>31</v>
      </c>
      <c r="I113" s="12" t="s">
        <v>23</v>
      </c>
      <c r="J113" s="9" t="s">
        <v>699</v>
      </c>
      <c r="K113" s="9" t="s">
        <v>683</v>
      </c>
      <c r="L113" s="9">
        <v>7</v>
      </c>
      <c r="M113" s="9">
        <f t="shared" si="3"/>
        <v>1400</v>
      </c>
      <c r="N113" s="12">
        <v>1400</v>
      </c>
      <c r="O113" s="18" t="s">
        <v>26</v>
      </c>
      <c r="P113" s="19">
        <v>8.0000000000000004E-4</v>
      </c>
      <c r="Q113" s="17">
        <f t="shared" si="5"/>
        <v>1.1200000000000001</v>
      </c>
      <c r="R113" s="9"/>
    </row>
    <row r="114" spans="1:18" s="1" customFormat="1">
      <c r="A114" s="6"/>
      <c r="B114" s="10">
        <f t="shared" si="0"/>
        <v>112</v>
      </c>
      <c r="C114" s="8" t="s">
        <v>609</v>
      </c>
      <c r="D114" s="12" t="s">
        <v>700</v>
      </c>
      <c r="E114" s="12" t="s">
        <v>701</v>
      </c>
      <c r="F114" s="12" t="s">
        <v>612</v>
      </c>
      <c r="G114" s="12" t="s">
        <v>702</v>
      </c>
      <c r="H114" s="12" t="s">
        <v>31</v>
      </c>
      <c r="I114" s="12" t="s">
        <v>23</v>
      </c>
      <c r="J114" s="12" t="s">
        <v>703</v>
      </c>
      <c r="K114" s="12" t="s">
        <v>704</v>
      </c>
      <c r="L114" s="12">
        <v>2</v>
      </c>
      <c r="M114" s="9">
        <f t="shared" si="3"/>
        <v>400</v>
      </c>
      <c r="N114" s="9">
        <v>400</v>
      </c>
      <c r="O114" s="18" t="s">
        <v>26</v>
      </c>
      <c r="P114" s="17" t="s">
        <v>617</v>
      </c>
      <c r="Q114" s="19">
        <f t="shared" si="5"/>
        <v>0.48</v>
      </c>
      <c r="R114" s="12"/>
    </row>
    <row r="115" spans="1:18" s="1" customFormat="1" ht="24">
      <c r="A115" s="6"/>
      <c r="B115" s="7">
        <f>ROW(B115)-ROW($B$2)</f>
        <v>113</v>
      </c>
      <c r="C115" s="8" t="s">
        <v>609</v>
      </c>
      <c r="D115" s="13" t="s">
        <v>705</v>
      </c>
      <c r="E115" s="13" t="s">
        <v>706</v>
      </c>
      <c r="F115" s="13" t="s">
        <v>674</v>
      </c>
      <c r="G115" s="13" t="s">
        <v>707</v>
      </c>
      <c r="H115" s="13" t="s">
        <v>31</v>
      </c>
      <c r="I115" s="12" t="s">
        <v>23</v>
      </c>
      <c r="J115" s="13" t="s">
        <v>708</v>
      </c>
      <c r="K115" s="13" t="s">
        <v>709</v>
      </c>
      <c r="L115" s="13">
        <v>1</v>
      </c>
      <c r="M115" s="9">
        <f t="shared" si="3"/>
        <v>200</v>
      </c>
      <c r="N115" s="23" t="s">
        <v>42</v>
      </c>
      <c r="O115" s="25" t="s">
        <v>26</v>
      </c>
      <c r="P115" s="26" t="s">
        <v>23</v>
      </c>
      <c r="Q115" s="24" t="s">
        <v>23</v>
      </c>
      <c r="R115" s="27" t="s">
        <v>550</v>
      </c>
    </row>
    <row r="116" spans="1:18" s="1" customFormat="1" ht="24">
      <c r="A116" s="6"/>
      <c r="B116" s="10">
        <f t="shared" si="0"/>
        <v>114</v>
      </c>
      <c r="C116" s="8" t="s">
        <v>609</v>
      </c>
      <c r="D116" s="23" t="s">
        <v>710</v>
      </c>
      <c r="E116" s="23" t="s">
        <v>711</v>
      </c>
      <c r="F116" s="23" t="s">
        <v>612</v>
      </c>
      <c r="G116" s="23" t="s">
        <v>712</v>
      </c>
      <c r="H116" s="23" t="s">
        <v>31</v>
      </c>
      <c r="I116" s="12" t="s">
        <v>23</v>
      </c>
      <c r="J116" s="23" t="s">
        <v>713</v>
      </c>
      <c r="K116" s="23" t="s">
        <v>709</v>
      </c>
      <c r="L116" s="23">
        <v>7</v>
      </c>
      <c r="M116" s="9">
        <f t="shared" si="3"/>
        <v>1400</v>
      </c>
      <c r="N116" s="13" t="s">
        <v>1235</v>
      </c>
      <c r="O116" s="25" t="s">
        <v>26</v>
      </c>
      <c r="P116" s="24" t="s">
        <v>23</v>
      </c>
      <c r="Q116" s="26" t="s">
        <v>23</v>
      </c>
      <c r="R116" s="27" t="s">
        <v>550</v>
      </c>
    </row>
    <row r="117" spans="1:18" s="1" customFormat="1" ht="96">
      <c r="A117" s="6"/>
      <c r="B117" s="7">
        <f>ROW(B117)-ROW($B$2)</f>
        <v>115</v>
      </c>
      <c r="C117" s="8" t="s">
        <v>609</v>
      </c>
      <c r="D117" s="9" t="s">
        <v>714</v>
      </c>
      <c r="E117" s="9" t="s">
        <v>711</v>
      </c>
      <c r="F117" s="9" t="s">
        <v>612</v>
      </c>
      <c r="G117" s="9" t="s">
        <v>712</v>
      </c>
      <c r="H117" s="9" t="s">
        <v>31</v>
      </c>
      <c r="I117" s="12" t="s">
        <v>23</v>
      </c>
      <c r="J117" s="9" t="s">
        <v>713</v>
      </c>
      <c r="K117" s="9" t="s">
        <v>715</v>
      </c>
      <c r="L117" s="9">
        <v>44</v>
      </c>
      <c r="M117" s="9">
        <f t="shared" si="3"/>
        <v>8800</v>
      </c>
      <c r="N117" s="12">
        <v>8800</v>
      </c>
      <c r="O117" s="18" t="s">
        <v>26</v>
      </c>
      <c r="P117" s="19">
        <v>6.9999999999999999E-4</v>
      </c>
      <c r="Q117" s="17">
        <f>P117*N117</f>
        <v>6.16</v>
      </c>
      <c r="R117" s="9"/>
    </row>
    <row r="118" spans="1:18" s="1" customFormat="1">
      <c r="A118" s="6"/>
      <c r="B118" s="10">
        <f t="shared" si="0"/>
        <v>116</v>
      </c>
      <c r="C118" s="8" t="s">
        <v>609</v>
      </c>
      <c r="D118" s="12" t="s">
        <v>717</v>
      </c>
      <c r="E118" s="12" t="s">
        <v>718</v>
      </c>
      <c r="F118" s="12" t="s">
        <v>612</v>
      </c>
      <c r="G118" s="12" t="s">
        <v>719</v>
      </c>
      <c r="H118" s="12" t="s">
        <v>31</v>
      </c>
      <c r="I118" s="12" t="s">
        <v>23</v>
      </c>
      <c r="J118" s="12" t="s">
        <v>720</v>
      </c>
      <c r="K118" s="12" t="s">
        <v>649</v>
      </c>
      <c r="L118" s="12">
        <v>1</v>
      </c>
      <c r="M118" s="9">
        <f t="shared" si="3"/>
        <v>200</v>
      </c>
      <c r="N118" s="9">
        <v>200</v>
      </c>
      <c r="O118" s="18" t="s">
        <v>26</v>
      </c>
      <c r="P118" s="17" t="s">
        <v>1237</v>
      </c>
      <c r="Q118" s="19">
        <f t="shared" ref="Q118:Q143" si="6">P118*N118</f>
        <v>4.08</v>
      </c>
      <c r="R118" s="12"/>
    </row>
    <row r="119" spans="1:18" s="1" customFormat="1">
      <c r="A119" s="6"/>
      <c r="B119" s="7">
        <f>ROW(B119)-ROW($B$2)</f>
        <v>117</v>
      </c>
      <c r="C119" s="8" t="s">
        <v>609</v>
      </c>
      <c r="D119" s="9" t="s">
        <v>722</v>
      </c>
      <c r="E119" s="9" t="s">
        <v>723</v>
      </c>
      <c r="F119" s="9" t="s">
        <v>724</v>
      </c>
      <c r="G119" s="9" t="s">
        <v>725</v>
      </c>
      <c r="H119" s="9" t="s">
        <v>31</v>
      </c>
      <c r="I119" s="12" t="s">
        <v>23</v>
      </c>
      <c r="J119" s="9" t="s">
        <v>726</v>
      </c>
      <c r="K119" s="9" t="s">
        <v>727</v>
      </c>
      <c r="L119" s="9">
        <v>1</v>
      </c>
      <c r="M119" s="9">
        <f t="shared" si="3"/>
        <v>200</v>
      </c>
      <c r="N119" s="12">
        <v>200</v>
      </c>
      <c r="O119" s="18" t="s">
        <v>26</v>
      </c>
      <c r="P119" s="19" t="s">
        <v>50</v>
      </c>
      <c r="Q119" s="17">
        <f t="shared" si="6"/>
        <v>0.44</v>
      </c>
      <c r="R119" s="9"/>
    </row>
    <row r="120" spans="1:18" s="1" customFormat="1">
      <c r="A120" s="6"/>
      <c r="B120" s="10">
        <f t="shared" si="0"/>
        <v>118</v>
      </c>
      <c r="C120" s="8" t="s">
        <v>609</v>
      </c>
      <c r="D120" s="12" t="s">
        <v>728</v>
      </c>
      <c r="E120" s="12" t="s">
        <v>729</v>
      </c>
      <c r="F120" s="12" t="s">
        <v>612</v>
      </c>
      <c r="G120" s="12" t="s">
        <v>730</v>
      </c>
      <c r="H120" s="12" t="s">
        <v>31</v>
      </c>
      <c r="I120" s="12" t="s">
        <v>23</v>
      </c>
      <c r="J120" s="12" t="s">
        <v>731</v>
      </c>
      <c r="K120" s="12" t="s">
        <v>732</v>
      </c>
      <c r="L120" s="12">
        <v>4</v>
      </c>
      <c r="M120" s="9">
        <f t="shared" si="3"/>
        <v>800</v>
      </c>
      <c r="N120" s="9">
        <v>800</v>
      </c>
      <c r="O120" s="18" t="s">
        <v>26</v>
      </c>
      <c r="P120" s="17" t="s">
        <v>120</v>
      </c>
      <c r="Q120" s="19">
        <f t="shared" si="6"/>
        <v>0.88</v>
      </c>
      <c r="R120" s="12"/>
    </row>
    <row r="121" spans="1:18" s="1" customFormat="1">
      <c r="A121" s="6"/>
      <c r="B121" s="7">
        <f>ROW(B121)-ROW($B$2)</f>
        <v>119</v>
      </c>
      <c r="C121" s="8" t="s">
        <v>609</v>
      </c>
      <c r="D121" s="9" t="s">
        <v>733</v>
      </c>
      <c r="E121" s="9" t="s">
        <v>734</v>
      </c>
      <c r="F121" s="9" t="s">
        <v>612</v>
      </c>
      <c r="G121" s="9" t="s">
        <v>735</v>
      </c>
      <c r="H121" s="9" t="s">
        <v>31</v>
      </c>
      <c r="I121" s="12" t="s">
        <v>23</v>
      </c>
      <c r="J121" s="9" t="s">
        <v>736</v>
      </c>
      <c r="K121" s="9" t="s">
        <v>737</v>
      </c>
      <c r="L121" s="9">
        <v>1</v>
      </c>
      <c r="M121" s="9">
        <f t="shared" si="3"/>
        <v>200</v>
      </c>
      <c r="N121" s="12">
        <v>200</v>
      </c>
      <c r="O121" s="18" t="s">
        <v>26</v>
      </c>
      <c r="P121" s="19" t="s">
        <v>738</v>
      </c>
      <c r="Q121" s="17">
        <f t="shared" si="6"/>
        <v>4.7600000000000007</v>
      </c>
      <c r="R121" s="9"/>
    </row>
    <row r="122" spans="1:18" s="1" customFormat="1">
      <c r="A122" s="6"/>
      <c r="B122" s="10">
        <f t="shared" si="0"/>
        <v>120</v>
      </c>
      <c r="C122" s="8" t="s">
        <v>609</v>
      </c>
      <c r="D122" s="12" t="s">
        <v>739</v>
      </c>
      <c r="E122" s="12" t="s">
        <v>740</v>
      </c>
      <c r="F122" s="12" t="s">
        <v>652</v>
      </c>
      <c r="G122" s="12" t="s">
        <v>741</v>
      </c>
      <c r="H122" s="12" t="s">
        <v>742</v>
      </c>
      <c r="I122" s="12" t="s">
        <v>23</v>
      </c>
      <c r="J122" s="12" t="s">
        <v>743</v>
      </c>
      <c r="K122" s="12" t="s">
        <v>744</v>
      </c>
      <c r="L122" s="12">
        <v>2</v>
      </c>
      <c r="M122" s="9">
        <f t="shared" si="3"/>
        <v>400</v>
      </c>
      <c r="N122" s="9">
        <v>400</v>
      </c>
      <c r="O122" s="18" t="s">
        <v>26</v>
      </c>
      <c r="P122" s="17" t="s">
        <v>1238</v>
      </c>
      <c r="Q122" s="19">
        <f t="shared" si="6"/>
        <v>15.079999999999998</v>
      </c>
      <c r="R122" s="12"/>
    </row>
    <row r="123" spans="1:18" s="1" customFormat="1">
      <c r="A123" s="6"/>
      <c r="B123" s="7">
        <f>ROW(B123)-ROW($B$2)</f>
        <v>121</v>
      </c>
      <c r="C123" s="8" t="s">
        <v>609</v>
      </c>
      <c r="D123" s="9" t="s">
        <v>746</v>
      </c>
      <c r="E123" s="9" t="s">
        <v>747</v>
      </c>
      <c r="F123" s="9" t="s">
        <v>612</v>
      </c>
      <c r="G123" s="9" t="s">
        <v>748</v>
      </c>
      <c r="H123" s="9" t="s">
        <v>31</v>
      </c>
      <c r="I123" s="12" t="s">
        <v>23</v>
      </c>
      <c r="J123" s="9" t="s">
        <v>749</v>
      </c>
      <c r="K123" s="9" t="s">
        <v>750</v>
      </c>
      <c r="L123" s="9">
        <v>2</v>
      </c>
      <c r="M123" s="9">
        <f t="shared" si="3"/>
        <v>400</v>
      </c>
      <c r="N123" s="12">
        <v>400</v>
      </c>
      <c r="O123" s="18" t="s">
        <v>26</v>
      </c>
      <c r="P123" s="19" t="s">
        <v>617</v>
      </c>
      <c r="Q123" s="17">
        <f t="shared" si="6"/>
        <v>0.48</v>
      </c>
      <c r="R123" s="9"/>
    </row>
    <row r="124" spans="1:18" s="1" customFormat="1">
      <c r="A124" s="6"/>
      <c r="B124" s="10">
        <f t="shared" si="0"/>
        <v>122</v>
      </c>
      <c r="C124" s="8" t="s">
        <v>609</v>
      </c>
      <c r="D124" s="12" t="s">
        <v>751</v>
      </c>
      <c r="E124" s="12" t="s">
        <v>752</v>
      </c>
      <c r="F124" s="12" t="s">
        <v>724</v>
      </c>
      <c r="G124" s="12" t="s">
        <v>753</v>
      </c>
      <c r="H124" s="12" t="s">
        <v>31</v>
      </c>
      <c r="I124" s="12" t="s">
        <v>23</v>
      </c>
      <c r="J124" s="12" t="s">
        <v>754</v>
      </c>
      <c r="K124" s="12" t="s">
        <v>755</v>
      </c>
      <c r="L124" s="12">
        <v>1</v>
      </c>
      <c r="M124" s="9">
        <f t="shared" si="3"/>
        <v>200</v>
      </c>
      <c r="N124" s="9">
        <v>200</v>
      </c>
      <c r="O124" s="18" t="s">
        <v>26</v>
      </c>
      <c r="P124" s="17" t="s">
        <v>756</v>
      </c>
      <c r="Q124" s="19">
        <f t="shared" si="6"/>
        <v>0.98</v>
      </c>
      <c r="R124" s="12"/>
    </row>
    <row r="125" spans="1:18" s="1" customFormat="1">
      <c r="A125" s="6"/>
      <c r="B125" s="7">
        <f>ROW(B125)-ROW($B$2)</f>
        <v>123</v>
      </c>
      <c r="C125" s="8" t="s">
        <v>609</v>
      </c>
      <c r="D125" s="9" t="s">
        <v>757</v>
      </c>
      <c r="E125" s="9" t="s">
        <v>758</v>
      </c>
      <c r="F125" s="9" t="s">
        <v>674</v>
      </c>
      <c r="G125" s="9" t="s">
        <v>759</v>
      </c>
      <c r="H125" s="9" t="s">
        <v>31</v>
      </c>
      <c r="I125" s="12" t="s">
        <v>23</v>
      </c>
      <c r="J125" s="9" t="s">
        <v>760</v>
      </c>
      <c r="K125" s="9" t="s">
        <v>761</v>
      </c>
      <c r="L125" s="9">
        <v>1</v>
      </c>
      <c r="M125" s="9">
        <f t="shared" si="3"/>
        <v>200</v>
      </c>
      <c r="N125" s="12">
        <v>200</v>
      </c>
      <c r="O125" s="18" t="s">
        <v>26</v>
      </c>
      <c r="P125" s="19" t="s">
        <v>1239</v>
      </c>
      <c r="Q125" s="17">
        <f t="shared" si="6"/>
        <v>7.22</v>
      </c>
      <c r="R125" s="9"/>
    </row>
    <row r="126" spans="1:18" s="1" customFormat="1">
      <c r="A126" s="6"/>
      <c r="B126" s="10">
        <f t="shared" si="0"/>
        <v>124</v>
      </c>
      <c r="C126" s="8" t="s">
        <v>609</v>
      </c>
      <c r="D126" s="12" t="s">
        <v>763</v>
      </c>
      <c r="E126" s="12" t="s">
        <v>764</v>
      </c>
      <c r="F126" s="12" t="s">
        <v>674</v>
      </c>
      <c r="G126" s="12" t="s">
        <v>765</v>
      </c>
      <c r="H126" s="12" t="s">
        <v>31</v>
      </c>
      <c r="I126" s="12" t="s">
        <v>23</v>
      </c>
      <c r="J126" s="12" t="s">
        <v>766</v>
      </c>
      <c r="K126" s="12" t="s">
        <v>767</v>
      </c>
      <c r="L126" s="12">
        <v>1</v>
      </c>
      <c r="M126" s="9">
        <f t="shared" si="3"/>
        <v>200</v>
      </c>
      <c r="N126" s="9">
        <v>200</v>
      </c>
      <c r="O126" s="18" t="s">
        <v>26</v>
      </c>
      <c r="P126" s="17" t="s">
        <v>768</v>
      </c>
      <c r="Q126" s="19">
        <f t="shared" si="6"/>
        <v>3.9600000000000004</v>
      </c>
      <c r="R126" s="12"/>
    </row>
    <row r="127" spans="1:18" s="1" customFormat="1">
      <c r="A127" s="6"/>
      <c r="B127" s="7">
        <f>ROW(B127)-ROW($B$2)</f>
        <v>125</v>
      </c>
      <c r="C127" s="8" t="s">
        <v>609</v>
      </c>
      <c r="D127" s="9" t="s">
        <v>769</v>
      </c>
      <c r="E127" s="9" t="s">
        <v>770</v>
      </c>
      <c r="F127" s="9" t="s">
        <v>612</v>
      </c>
      <c r="G127" s="9" t="s">
        <v>771</v>
      </c>
      <c r="H127" s="9" t="s">
        <v>31</v>
      </c>
      <c r="I127" s="12" t="s">
        <v>23</v>
      </c>
      <c r="J127" s="9" t="s">
        <v>772</v>
      </c>
      <c r="K127" s="9" t="s">
        <v>773</v>
      </c>
      <c r="L127" s="9">
        <v>1</v>
      </c>
      <c r="M127" s="9">
        <f t="shared" si="3"/>
        <v>200</v>
      </c>
      <c r="N127" s="12">
        <v>200</v>
      </c>
      <c r="O127" s="18" t="s">
        <v>26</v>
      </c>
      <c r="P127" s="19" t="s">
        <v>1240</v>
      </c>
      <c r="Q127" s="17">
        <f t="shared" si="6"/>
        <v>10.72</v>
      </c>
      <c r="R127" s="9"/>
    </row>
    <row r="128" spans="1:18" s="1" customFormat="1" ht="24">
      <c r="A128" s="6"/>
      <c r="B128" s="10">
        <f t="shared" si="0"/>
        <v>126</v>
      </c>
      <c r="C128" s="8" t="s">
        <v>609</v>
      </c>
      <c r="D128" s="12" t="s">
        <v>775</v>
      </c>
      <c r="E128" s="12" t="s">
        <v>776</v>
      </c>
      <c r="F128" s="12" t="s">
        <v>674</v>
      </c>
      <c r="G128" s="12" t="s">
        <v>777</v>
      </c>
      <c r="H128" s="12" t="s">
        <v>31</v>
      </c>
      <c r="I128" s="12" t="s">
        <v>23</v>
      </c>
      <c r="J128" s="12" t="s">
        <v>778</v>
      </c>
      <c r="K128" s="12" t="s">
        <v>715</v>
      </c>
      <c r="L128" s="12">
        <v>10</v>
      </c>
      <c r="M128" s="9">
        <f t="shared" si="3"/>
        <v>2000</v>
      </c>
      <c r="N128" s="9">
        <v>2000</v>
      </c>
      <c r="O128" s="18" t="s">
        <v>26</v>
      </c>
      <c r="P128" s="17">
        <v>5.0000000000000001E-4</v>
      </c>
      <c r="Q128" s="19">
        <f t="shared" si="6"/>
        <v>1</v>
      </c>
      <c r="R128" s="12"/>
    </row>
    <row r="129" spans="1:18" s="1" customFormat="1">
      <c r="A129" s="6"/>
      <c r="B129" s="7">
        <f>ROW(B129)-ROW($B$2)</f>
        <v>127</v>
      </c>
      <c r="C129" s="8" t="s">
        <v>609</v>
      </c>
      <c r="D129" s="9" t="s">
        <v>780</v>
      </c>
      <c r="E129" s="9" t="s">
        <v>781</v>
      </c>
      <c r="F129" s="9" t="s">
        <v>724</v>
      </c>
      <c r="G129" s="9" t="s">
        <v>782</v>
      </c>
      <c r="H129" s="9" t="s">
        <v>31</v>
      </c>
      <c r="I129" s="12" t="s">
        <v>23</v>
      </c>
      <c r="J129" s="9" t="s">
        <v>783</v>
      </c>
      <c r="K129" s="9" t="s">
        <v>784</v>
      </c>
      <c r="L129" s="9">
        <v>1</v>
      </c>
      <c r="M129" s="9">
        <f t="shared" si="3"/>
        <v>200</v>
      </c>
      <c r="N129" s="12">
        <v>200</v>
      </c>
      <c r="O129" s="18" t="s">
        <v>26</v>
      </c>
      <c r="P129" s="19" t="s">
        <v>785</v>
      </c>
      <c r="Q129" s="17">
        <f t="shared" si="6"/>
        <v>0.54</v>
      </c>
      <c r="R129" s="9"/>
    </row>
    <row r="130" spans="1:18" s="1" customFormat="1">
      <c r="A130" s="6"/>
      <c r="B130" s="10">
        <f t="shared" si="0"/>
        <v>128</v>
      </c>
      <c r="C130" s="8" t="s">
        <v>609</v>
      </c>
      <c r="D130" s="12" t="s">
        <v>786</v>
      </c>
      <c r="E130" s="12" t="s">
        <v>787</v>
      </c>
      <c r="F130" s="12" t="s">
        <v>612</v>
      </c>
      <c r="G130" s="12" t="s">
        <v>788</v>
      </c>
      <c r="H130" s="12" t="s">
        <v>31</v>
      </c>
      <c r="I130" s="12" t="s">
        <v>23</v>
      </c>
      <c r="J130" s="12" t="s">
        <v>789</v>
      </c>
      <c r="K130" s="12" t="s">
        <v>790</v>
      </c>
      <c r="L130" s="12">
        <v>1</v>
      </c>
      <c r="M130" s="9">
        <f t="shared" si="3"/>
        <v>200</v>
      </c>
      <c r="N130" s="9">
        <v>200</v>
      </c>
      <c r="O130" s="18" t="s">
        <v>26</v>
      </c>
      <c r="P130" s="17" t="s">
        <v>617</v>
      </c>
      <c r="Q130" s="19">
        <f t="shared" si="6"/>
        <v>0.24</v>
      </c>
      <c r="R130" s="12"/>
    </row>
    <row r="131" spans="1:18" s="1" customFormat="1" ht="36">
      <c r="A131" s="6"/>
      <c r="B131" s="7">
        <f>ROW(B131)-ROW($B$2)</f>
        <v>129</v>
      </c>
      <c r="C131" s="8" t="s">
        <v>609</v>
      </c>
      <c r="D131" s="9" t="s">
        <v>791</v>
      </c>
      <c r="E131" s="9" t="s">
        <v>792</v>
      </c>
      <c r="F131" s="9" t="s">
        <v>612</v>
      </c>
      <c r="G131" s="9" t="s">
        <v>793</v>
      </c>
      <c r="H131" s="9" t="s">
        <v>794</v>
      </c>
      <c r="I131" s="12" t="s">
        <v>23</v>
      </c>
      <c r="J131" s="9" t="s">
        <v>795</v>
      </c>
      <c r="K131" s="9" t="s">
        <v>761</v>
      </c>
      <c r="L131" s="9">
        <v>1</v>
      </c>
      <c r="M131" s="9">
        <f t="shared" si="3"/>
        <v>200</v>
      </c>
      <c r="N131" s="12">
        <v>200</v>
      </c>
      <c r="O131" s="18" t="s">
        <v>26</v>
      </c>
      <c r="P131" s="19" t="s">
        <v>796</v>
      </c>
      <c r="Q131" s="17">
        <f t="shared" si="6"/>
        <v>5.26</v>
      </c>
      <c r="R131" s="9"/>
    </row>
    <row r="132" spans="1:18" s="1" customFormat="1">
      <c r="A132" s="6"/>
      <c r="B132" s="10">
        <f t="shared" si="0"/>
        <v>130</v>
      </c>
      <c r="C132" s="8" t="s">
        <v>609</v>
      </c>
      <c r="D132" s="12" t="s">
        <v>797</v>
      </c>
      <c r="E132" s="12" t="s">
        <v>798</v>
      </c>
      <c r="F132" s="12" t="s">
        <v>674</v>
      </c>
      <c r="G132" s="12" t="s">
        <v>799</v>
      </c>
      <c r="H132" s="12" t="s">
        <v>31</v>
      </c>
      <c r="I132" s="12" t="s">
        <v>23</v>
      </c>
      <c r="J132" s="12" t="s">
        <v>800</v>
      </c>
      <c r="K132" s="12" t="s">
        <v>801</v>
      </c>
      <c r="L132" s="12">
        <v>1</v>
      </c>
      <c r="M132" s="9">
        <f t="shared" ref="M132:M195" si="7">L132*200</f>
        <v>200</v>
      </c>
      <c r="N132" s="9">
        <v>200</v>
      </c>
      <c r="O132" s="18" t="s">
        <v>26</v>
      </c>
      <c r="P132" s="17" t="s">
        <v>802</v>
      </c>
      <c r="Q132" s="19">
        <f t="shared" si="6"/>
        <v>4.0199999999999996</v>
      </c>
      <c r="R132" s="12"/>
    </row>
    <row r="133" spans="1:18" s="1" customFormat="1">
      <c r="A133" s="6"/>
      <c r="B133" s="7">
        <f>ROW(B133)-ROW($B$2)</f>
        <v>131</v>
      </c>
      <c r="C133" s="8" t="s">
        <v>609</v>
      </c>
      <c r="D133" s="9" t="s">
        <v>803</v>
      </c>
      <c r="E133" s="9" t="s">
        <v>804</v>
      </c>
      <c r="F133" s="9" t="s">
        <v>805</v>
      </c>
      <c r="G133" s="9" t="s">
        <v>806</v>
      </c>
      <c r="H133" s="9" t="s">
        <v>31</v>
      </c>
      <c r="I133" s="12" t="s">
        <v>23</v>
      </c>
      <c r="J133" s="9" t="s">
        <v>807</v>
      </c>
      <c r="K133" s="9" t="s">
        <v>715</v>
      </c>
      <c r="L133" s="9">
        <v>1</v>
      </c>
      <c r="M133" s="9">
        <f t="shared" si="7"/>
        <v>200</v>
      </c>
      <c r="N133" s="12">
        <v>200</v>
      </c>
      <c r="O133" s="18" t="s">
        <v>26</v>
      </c>
      <c r="P133" s="19" t="s">
        <v>1242</v>
      </c>
      <c r="Q133" s="17">
        <f t="shared" si="6"/>
        <v>6</v>
      </c>
      <c r="R133" s="9"/>
    </row>
    <row r="134" spans="1:18" s="1" customFormat="1">
      <c r="A134" s="6"/>
      <c r="B134" s="10">
        <f t="shared" si="0"/>
        <v>132</v>
      </c>
      <c r="C134" s="8" t="s">
        <v>609</v>
      </c>
      <c r="D134" s="12" t="s">
        <v>809</v>
      </c>
      <c r="E134" s="12" t="s">
        <v>810</v>
      </c>
      <c r="F134" s="12" t="s">
        <v>674</v>
      </c>
      <c r="G134" s="12" t="s">
        <v>811</v>
      </c>
      <c r="H134" s="12" t="s">
        <v>31</v>
      </c>
      <c r="I134" s="12" t="s">
        <v>23</v>
      </c>
      <c r="J134" s="12" t="s">
        <v>812</v>
      </c>
      <c r="K134" s="12" t="s">
        <v>813</v>
      </c>
      <c r="L134" s="12">
        <v>1</v>
      </c>
      <c r="M134" s="9">
        <f t="shared" si="7"/>
        <v>200</v>
      </c>
      <c r="N134" s="9">
        <v>200</v>
      </c>
      <c r="O134" s="18" t="s">
        <v>26</v>
      </c>
      <c r="P134" s="17" t="s">
        <v>814</v>
      </c>
      <c r="Q134" s="19">
        <f t="shared" si="6"/>
        <v>0.32</v>
      </c>
      <c r="R134" s="12"/>
    </row>
    <row r="135" spans="1:18" s="1" customFormat="1">
      <c r="A135" s="6"/>
      <c r="B135" s="7">
        <f>ROW(B135)-ROW($B$2)</f>
        <v>133</v>
      </c>
      <c r="C135" s="8" t="s">
        <v>609</v>
      </c>
      <c r="D135" s="9" t="s">
        <v>815</v>
      </c>
      <c r="E135" s="9" t="s">
        <v>816</v>
      </c>
      <c r="F135" s="9" t="s">
        <v>817</v>
      </c>
      <c r="G135" s="9" t="s">
        <v>818</v>
      </c>
      <c r="H135" s="9" t="s">
        <v>31</v>
      </c>
      <c r="I135" s="12" t="s">
        <v>23</v>
      </c>
      <c r="J135" s="9" t="s">
        <v>819</v>
      </c>
      <c r="K135" s="9" t="s">
        <v>727</v>
      </c>
      <c r="L135" s="9">
        <v>1</v>
      </c>
      <c r="M135" s="9">
        <f t="shared" si="7"/>
        <v>200</v>
      </c>
      <c r="N135" s="12">
        <v>200</v>
      </c>
      <c r="O135" s="18" t="s">
        <v>26</v>
      </c>
      <c r="P135" s="19" t="s">
        <v>820</v>
      </c>
      <c r="Q135" s="17">
        <f t="shared" si="6"/>
        <v>0.16</v>
      </c>
      <c r="R135" s="9"/>
    </row>
    <row r="136" spans="1:18" s="1" customFormat="1">
      <c r="A136" s="6"/>
      <c r="B136" s="10">
        <f t="shared" si="0"/>
        <v>134</v>
      </c>
      <c r="C136" s="8" t="s">
        <v>609</v>
      </c>
      <c r="D136" s="12" t="s">
        <v>821</v>
      </c>
      <c r="E136" s="12" t="s">
        <v>822</v>
      </c>
      <c r="F136" s="12" t="s">
        <v>674</v>
      </c>
      <c r="G136" s="12" t="s">
        <v>823</v>
      </c>
      <c r="H136" s="12" t="s">
        <v>31</v>
      </c>
      <c r="I136" s="12" t="s">
        <v>23</v>
      </c>
      <c r="J136" s="12" t="s">
        <v>824</v>
      </c>
      <c r="K136" s="12" t="s">
        <v>825</v>
      </c>
      <c r="L136" s="12">
        <v>1</v>
      </c>
      <c r="M136" s="9">
        <f t="shared" si="7"/>
        <v>200</v>
      </c>
      <c r="N136" s="9">
        <v>200</v>
      </c>
      <c r="O136" s="18" t="s">
        <v>26</v>
      </c>
      <c r="P136" s="17" t="s">
        <v>677</v>
      </c>
      <c r="Q136" s="19">
        <f t="shared" si="6"/>
        <v>0.13999999999999999</v>
      </c>
      <c r="R136" s="12"/>
    </row>
    <row r="137" spans="1:18" s="1" customFormat="1">
      <c r="A137" s="6"/>
      <c r="B137" s="7">
        <f>ROW(B137)-ROW($B$2)</f>
        <v>135</v>
      </c>
      <c r="C137" s="8" t="s">
        <v>609</v>
      </c>
      <c r="D137" s="9" t="s">
        <v>826</v>
      </c>
      <c r="E137" s="9" t="s">
        <v>827</v>
      </c>
      <c r="F137" s="9" t="s">
        <v>828</v>
      </c>
      <c r="G137" s="9" t="s">
        <v>829</v>
      </c>
      <c r="H137" s="9" t="s">
        <v>31</v>
      </c>
      <c r="I137" s="12" t="s">
        <v>23</v>
      </c>
      <c r="J137" s="9" t="s">
        <v>830</v>
      </c>
      <c r="K137" s="9" t="s">
        <v>732</v>
      </c>
      <c r="L137" s="9">
        <v>1</v>
      </c>
      <c r="M137" s="9">
        <f t="shared" si="7"/>
        <v>200</v>
      </c>
      <c r="N137" s="12">
        <v>200</v>
      </c>
      <c r="O137" s="18" t="s">
        <v>26</v>
      </c>
      <c r="P137" s="19" t="s">
        <v>1243</v>
      </c>
      <c r="Q137" s="17">
        <f t="shared" si="6"/>
        <v>2.3199999999999998</v>
      </c>
      <c r="R137" s="9"/>
    </row>
    <row r="138" spans="1:18" s="1" customFormat="1">
      <c r="A138" s="6"/>
      <c r="B138" s="10">
        <f t="shared" si="0"/>
        <v>136</v>
      </c>
      <c r="C138" s="8" t="s">
        <v>609</v>
      </c>
      <c r="D138" s="12" t="s">
        <v>832</v>
      </c>
      <c r="E138" s="12" t="s">
        <v>833</v>
      </c>
      <c r="F138" s="12" t="s">
        <v>612</v>
      </c>
      <c r="G138" s="12" t="s">
        <v>834</v>
      </c>
      <c r="H138" s="12" t="s">
        <v>31</v>
      </c>
      <c r="I138" s="12" t="s">
        <v>23</v>
      </c>
      <c r="J138" s="12" t="s">
        <v>835</v>
      </c>
      <c r="K138" s="12" t="s">
        <v>836</v>
      </c>
      <c r="L138" s="12">
        <v>1</v>
      </c>
      <c r="M138" s="9">
        <f t="shared" si="7"/>
        <v>200</v>
      </c>
      <c r="N138" s="9">
        <v>200</v>
      </c>
      <c r="O138" s="18" t="s">
        <v>26</v>
      </c>
      <c r="P138" s="17" t="s">
        <v>837</v>
      </c>
      <c r="Q138" s="19">
        <f t="shared" si="6"/>
        <v>4.96</v>
      </c>
      <c r="R138" s="12"/>
    </row>
    <row r="139" spans="1:18" s="1" customFormat="1">
      <c r="A139" s="6"/>
      <c r="B139" s="7">
        <f>ROW(B139)-ROW($B$2)</f>
        <v>137</v>
      </c>
      <c r="C139" s="8" t="s">
        <v>609</v>
      </c>
      <c r="D139" s="9" t="s">
        <v>838</v>
      </c>
      <c r="E139" s="9" t="s">
        <v>839</v>
      </c>
      <c r="F139" s="9" t="s">
        <v>612</v>
      </c>
      <c r="G139" s="9" t="s">
        <v>840</v>
      </c>
      <c r="H139" s="9" t="s">
        <v>31</v>
      </c>
      <c r="I139" s="12" t="s">
        <v>23</v>
      </c>
      <c r="J139" s="9" t="s">
        <v>841</v>
      </c>
      <c r="K139" s="9" t="s">
        <v>842</v>
      </c>
      <c r="L139" s="9">
        <v>2</v>
      </c>
      <c r="M139" s="9">
        <f t="shared" si="7"/>
        <v>400</v>
      </c>
      <c r="N139" s="12">
        <v>400</v>
      </c>
      <c r="O139" s="18" t="s">
        <v>26</v>
      </c>
      <c r="P139" s="19" t="s">
        <v>617</v>
      </c>
      <c r="Q139" s="17">
        <f t="shared" si="6"/>
        <v>0.48</v>
      </c>
      <c r="R139" s="9"/>
    </row>
    <row r="140" spans="1:18" s="1" customFormat="1" ht="36">
      <c r="A140" s="6"/>
      <c r="B140" s="10">
        <f t="shared" si="0"/>
        <v>138</v>
      </c>
      <c r="C140" s="8" t="s">
        <v>609</v>
      </c>
      <c r="D140" s="12" t="s">
        <v>843</v>
      </c>
      <c r="E140" s="12" t="s">
        <v>844</v>
      </c>
      <c r="F140" s="12" t="s">
        <v>674</v>
      </c>
      <c r="G140" s="12" t="s">
        <v>845</v>
      </c>
      <c r="H140" s="12" t="s">
        <v>31</v>
      </c>
      <c r="I140" s="12" t="s">
        <v>23</v>
      </c>
      <c r="J140" s="12" t="s">
        <v>846</v>
      </c>
      <c r="K140" s="12" t="s">
        <v>683</v>
      </c>
      <c r="L140" s="12">
        <v>13</v>
      </c>
      <c r="M140" s="9">
        <f t="shared" si="7"/>
        <v>2600</v>
      </c>
      <c r="N140" s="9">
        <v>2600</v>
      </c>
      <c r="O140" s="18" t="s">
        <v>26</v>
      </c>
      <c r="P140" s="17">
        <v>4.0000000000000002E-4</v>
      </c>
      <c r="Q140" s="19">
        <f t="shared" si="6"/>
        <v>1.04</v>
      </c>
      <c r="R140" s="12"/>
    </row>
    <row r="141" spans="1:18" s="1" customFormat="1">
      <c r="A141" s="6"/>
      <c r="B141" s="7">
        <f>ROW(B141)-ROW($B$2)</f>
        <v>139</v>
      </c>
      <c r="C141" s="8" t="s">
        <v>609</v>
      </c>
      <c r="D141" s="9" t="s">
        <v>847</v>
      </c>
      <c r="E141" s="9" t="s">
        <v>848</v>
      </c>
      <c r="F141" s="9" t="s">
        <v>612</v>
      </c>
      <c r="G141" s="9" t="s">
        <v>849</v>
      </c>
      <c r="H141" s="9" t="s">
        <v>850</v>
      </c>
      <c r="I141" s="12" t="s">
        <v>23</v>
      </c>
      <c r="J141" s="9" t="s">
        <v>851</v>
      </c>
      <c r="K141" s="9" t="s">
        <v>665</v>
      </c>
      <c r="L141" s="9">
        <v>1</v>
      </c>
      <c r="M141" s="9">
        <f t="shared" si="7"/>
        <v>200</v>
      </c>
      <c r="N141" s="12">
        <v>200</v>
      </c>
      <c r="O141" s="18" t="s">
        <v>26</v>
      </c>
      <c r="P141" s="19" t="s">
        <v>617</v>
      </c>
      <c r="Q141" s="17">
        <f t="shared" si="6"/>
        <v>0.24</v>
      </c>
      <c r="R141" s="9"/>
    </row>
    <row r="142" spans="1:18" s="1" customFormat="1">
      <c r="A142" s="6"/>
      <c r="B142" s="10">
        <f t="shared" si="0"/>
        <v>140</v>
      </c>
      <c r="C142" s="8" t="s">
        <v>609</v>
      </c>
      <c r="D142" s="12" t="s">
        <v>852</v>
      </c>
      <c r="E142" s="12" t="s">
        <v>853</v>
      </c>
      <c r="F142" s="12" t="s">
        <v>612</v>
      </c>
      <c r="G142" s="12" t="s">
        <v>854</v>
      </c>
      <c r="H142" s="12" t="s">
        <v>855</v>
      </c>
      <c r="I142" s="12" t="s">
        <v>23</v>
      </c>
      <c r="J142" s="9" t="s">
        <v>856</v>
      </c>
      <c r="K142" s="12" t="s">
        <v>857</v>
      </c>
      <c r="L142" s="12">
        <v>2</v>
      </c>
      <c r="M142" s="9">
        <f t="shared" si="7"/>
        <v>400</v>
      </c>
      <c r="N142" s="9">
        <v>400</v>
      </c>
      <c r="O142" s="18" t="s">
        <v>26</v>
      </c>
      <c r="P142" s="17" t="s">
        <v>1246</v>
      </c>
      <c r="Q142" s="19">
        <f t="shared" si="6"/>
        <v>0.55999999999999994</v>
      </c>
      <c r="R142" s="12"/>
    </row>
    <row r="143" spans="1:18" s="1" customFormat="1">
      <c r="A143" s="6"/>
      <c r="B143" s="7">
        <f>ROW(B143)-ROW($B$2)</f>
        <v>141</v>
      </c>
      <c r="C143" s="8" t="s">
        <v>609</v>
      </c>
      <c r="D143" s="9" t="s">
        <v>859</v>
      </c>
      <c r="E143" s="9" t="s">
        <v>860</v>
      </c>
      <c r="F143" s="9" t="s">
        <v>674</v>
      </c>
      <c r="G143" s="9" t="s">
        <v>861</v>
      </c>
      <c r="H143" s="9" t="s">
        <v>31</v>
      </c>
      <c r="I143" s="12" t="s">
        <v>23</v>
      </c>
      <c r="J143" s="9" t="s">
        <v>862</v>
      </c>
      <c r="K143" s="9" t="s">
        <v>732</v>
      </c>
      <c r="L143" s="9">
        <v>2</v>
      </c>
      <c r="M143" s="9">
        <f t="shared" si="7"/>
        <v>400</v>
      </c>
      <c r="N143" s="12">
        <v>400</v>
      </c>
      <c r="O143" s="18" t="s">
        <v>26</v>
      </c>
      <c r="P143" s="19" t="s">
        <v>779</v>
      </c>
      <c r="Q143" s="17">
        <f t="shared" si="6"/>
        <v>0.24</v>
      </c>
      <c r="R143" s="9"/>
    </row>
    <row r="144" spans="1:18" s="1" customFormat="1" ht="24">
      <c r="A144" s="6"/>
      <c r="B144" s="10">
        <f t="shared" si="0"/>
        <v>142</v>
      </c>
      <c r="C144" s="8" t="s">
        <v>609</v>
      </c>
      <c r="D144" s="23" t="s">
        <v>863</v>
      </c>
      <c r="E144" s="23" t="s">
        <v>864</v>
      </c>
      <c r="F144" s="23" t="s">
        <v>828</v>
      </c>
      <c r="G144" s="23" t="s">
        <v>865</v>
      </c>
      <c r="H144" s="23" t="s">
        <v>31</v>
      </c>
      <c r="I144" s="12" t="s">
        <v>23</v>
      </c>
      <c r="J144" s="23"/>
      <c r="K144" s="23" t="s">
        <v>709</v>
      </c>
      <c r="L144" s="23">
        <v>1</v>
      </c>
      <c r="M144" s="9">
        <f t="shared" si="7"/>
        <v>200</v>
      </c>
      <c r="N144" s="13" t="s">
        <v>42</v>
      </c>
      <c r="O144" s="25" t="s">
        <v>26</v>
      </c>
      <c r="P144" s="24" t="s">
        <v>23</v>
      </c>
      <c r="Q144" s="26" t="s">
        <v>23</v>
      </c>
      <c r="R144" s="27" t="s">
        <v>550</v>
      </c>
    </row>
    <row r="145" spans="1:18" s="1" customFormat="1" ht="48">
      <c r="A145" s="6"/>
      <c r="B145" s="7">
        <f>ROW(B145)-ROW($B$2)</f>
        <v>143</v>
      </c>
      <c r="C145" s="8" t="s">
        <v>609</v>
      </c>
      <c r="D145" s="9" t="s">
        <v>866</v>
      </c>
      <c r="E145" s="9" t="s">
        <v>867</v>
      </c>
      <c r="F145" s="9" t="s">
        <v>868</v>
      </c>
      <c r="G145" s="9" t="s">
        <v>869</v>
      </c>
      <c r="H145" s="9" t="s">
        <v>870</v>
      </c>
      <c r="I145" s="12" t="s">
        <v>23</v>
      </c>
      <c r="J145" s="9" t="s">
        <v>871</v>
      </c>
      <c r="K145" s="9" t="s">
        <v>872</v>
      </c>
      <c r="L145" s="9">
        <v>1</v>
      </c>
      <c r="M145" s="9">
        <f t="shared" si="7"/>
        <v>200</v>
      </c>
      <c r="N145" s="12">
        <v>200</v>
      </c>
      <c r="O145" s="18" t="s">
        <v>26</v>
      </c>
      <c r="P145" s="19" t="s">
        <v>1247</v>
      </c>
      <c r="Q145" s="17">
        <f>P145*N145</f>
        <v>9.1</v>
      </c>
      <c r="R145" s="9"/>
    </row>
    <row r="146" spans="1:18" s="1" customFormat="1">
      <c r="A146" s="6"/>
      <c r="B146" s="10">
        <f t="shared" si="0"/>
        <v>144</v>
      </c>
      <c r="C146" s="8" t="s">
        <v>609</v>
      </c>
      <c r="D146" s="12" t="s">
        <v>874</v>
      </c>
      <c r="E146" s="12" t="s">
        <v>864</v>
      </c>
      <c r="F146" s="12" t="s">
        <v>828</v>
      </c>
      <c r="G146" s="12" t="s">
        <v>865</v>
      </c>
      <c r="H146" s="12" t="s">
        <v>31</v>
      </c>
      <c r="I146" s="12" t="s">
        <v>23</v>
      </c>
      <c r="J146" s="9" t="s">
        <v>875</v>
      </c>
      <c r="K146" s="12" t="s">
        <v>715</v>
      </c>
      <c r="L146" s="12">
        <v>1</v>
      </c>
      <c r="M146" s="9">
        <f t="shared" si="7"/>
        <v>200</v>
      </c>
      <c r="N146" s="9">
        <v>200</v>
      </c>
      <c r="O146" s="18" t="s">
        <v>26</v>
      </c>
      <c r="P146" s="17" t="s">
        <v>55</v>
      </c>
      <c r="Q146" s="19">
        <f t="shared" ref="Q146:Q150" si="8">P146*N146</f>
        <v>0.62</v>
      </c>
      <c r="R146" s="12"/>
    </row>
    <row r="147" spans="1:18" s="1" customFormat="1">
      <c r="A147" s="6"/>
      <c r="B147" s="7">
        <f>ROW(B147)-ROW($B$2)</f>
        <v>145</v>
      </c>
      <c r="C147" s="8" t="s">
        <v>609</v>
      </c>
      <c r="D147" s="9" t="s">
        <v>876</v>
      </c>
      <c r="E147" s="9" t="s">
        <v>877</v>
      </c>
      <c r="F147" s="9" t="s">
        <v>612</v>
      </c>
      <c r="G147" s="9" t="s">
        <v>878</v>
      </c>
      <c r="H147" s="9" t="s">
        <v>31</v>
      </c>
      <c r="I147" s="12" t="s">
        <v>23</v>
      </c>
      <c r="J147" s="9" t="s">
        <v>879</v>
      </c>
      <c r="K147" s="9" t="s">
        <v>744</v>
      </c>
      <c r="L147" s="9">
        <v>1</v>
      </c>
      <c r="M147" s="9">
        <f t="shared" si="7"/>
        <v>200</v>
      </c>
      <c r="N147" s="12">
        <v>200</v>
      </c>
      <c r="O147" s="18" t="s">
        <v>26</v>
      </c>
      <c r="P147" s="19" t="s">
        <v>101</v>
      </c>
      <c r="Q147" s="17">
        <f t="shared" si="8"/>
        <v>0.2</v>
      </c>
      <c r="R147" s="9"/>
    </row>
    <row r="148" spans="1:18" s="1" customFormat="1">
      <c r="A148" s="6"/>
      <c r="B148" s="10">
        <f t="shared" si="0"/>
        <v>146</v>
      </c>
      <c r="C148" s="8" t="s">
        <v>609</v>
      </c>
      <c r="D148" s="12" t="s">
        <v>880</v>
      </c>
      <c r="E148" s="12" t="s">
        <v>881</v>
      </c>
      <c r="F148" s="12" t="s">
        <v>612</v>
      </c>
      <c r="G148" s="12" t="s">
        <v>882</v>
      </c>
      <c r="H148" s="12" t="s">
        <v>31</v>
      </c>
      <c r="I148" s="12" t="s">
        <v>23</v>
      </c>
      <c r="J148" s="12" t="s">
        <v>883</v>
      </c>
      <c r="K148" s="12" t="s">
        <v>683</v>
      </c>
      <c r="L148" s="12">
        <v>2</v>
      </c>
      <c r="M148" s="9">
        <f t="shared" si="7"/>
        <v>400</v>
      </c>
      <c r="N148" s="12">
        <v>400</v>
      </c>
      <c r="O148" s="18" t="s">
        <v>26</v>
      </c>
      <c r="P148" s="19" t="s">
        <v>1248</v>
      </c>
      <c r="Q148" s="19">
        <f t="shared" si="8"/>
        <v>6.2399999999999993</v>
      </c>
      <c r="R148" s="12"/>
    </row>
    <row r="149" spans="1:18" s="1" customFormat="1">
      <c r="A149" s="6"/>
      <c r="B149" s="7">
        <f>ROW(B149)-ROW($B$2)</f>
        <v>147</v>
      </c>
      <c r="C149" s="8" t="s">
        <v>609</v>
      </c>
      <c r="D149" s="9" t="s">
        <v>884</v>
      </c>
      <c r="E149" s="9" t="s">
        <v>885</v>
      </c>
      <c r="F149" s="9" t="s">
        <v>612</v>
      </c>
      <c r="G149" s="9" t="s">
        <v>886</v>
      </c>
      <c r="H149" s="9" t="s">
        <v>31</v>
      </c>
      <c r="I149" s="12" t="s">
        <v>23</v>
      </c>
      <c r="J149" s="9" t="s">
        <v>887</v>
      </c>
      <c r="K149" s="9" t="s">
        <v>888</v>
      </c>
      <c r="L149" s="9">
        <v>2</v>
      </c>
      <c r="M149" s="9">
        <f t="shared" si="7"/>
        <v>400</v>
      </c>
      <c r="N149" s="9">
        <v>400</v>
      </c>
      <c r="O149" s="18" t="s">
        <v>26</v>
      </c>
      <c r="P149" s="17" t="s">
        <v>1249</v>
      </c>
      <c r="Q149" s="17">
        <f t="shared" si="8"/>
        <v>7.76</v>
      </c>
      <c r="R149" s="9"/>
    </row>
    <row r="150" spans="1:18" s="1" customFormat="1">
      <c r="A150" s="6"/>
      <c r="B150" s="10">
        <f t="shared" si="0"/>
        <v>148</v>
      </c>
      <c r="C150" s="8" t="s">
        <v>609</v>
      </c>
      <c r="D150" s="12" t="s">
        <v>889</v>
      </c>
      <c r="E150" s="12" t="s">
        <v>890</v>
      </c>
      <c r="F150" s="12" t="s">
        <v>817</v>
      </c>
      <c r="G150" s="12" t="s">
        <v>891</v>
      </c>
      <c r="H150" s="12" t="s">
        <v>31</v>
      </c>
      <c r="I150" s="12" t="s">
        <v>23</v>
      </c>
      <c r="J150" s="12" t="s">
        <v>892</v>
      </c>
      <c r="K150" s="12" t="s">
        <v>842</v>
      </c>
      <c r="L150" s="12">
        <v>1</v>
      </c>
      <c r="M150" s="9">
        <f t="shared" si="7"/>
        <v>200</v>
      </c>
      <c r="N150" s="12">
        <v>200</v>
      </c>
      <c r="O150" s="20" t="s">
        <v>26</v>
      </c>
      <c r="P150" s="19" t="s">
        <v>820</v>
      </c>
      <c r="Q150" s="19">
        <f t="shared" si="8"/>
        <v>0.16</v>
      </c>
      <c r="R150" s="12"/>
    </row>
    <row r="151" spans="1:18" s="1" customFormat="1" ht="24">
      <c r="A151" s="6"/>
      <c r="B151" s="7">
        <f>ROW(B151)-ROW($B$2)</f>
        <v>149</v>
      </c>
      <c r="C151" s="8" t="s">
        <v>609</v>
      </c>
      <c r="D151" s="13" t="s">
        <v>893</v>
      </c>
      <c r="E151" s="13" t="s">
        <v>881</v>
      </c>
      <c r="F151" s="13" t="s">
        <v>612</v>
      </c>
      <c r="G151" s="13" t="s">
        <v>882</v>
      </c>
      <c r="H151" s="13" t="s">
        <v>31</v>
      </c>
      <c r="I151" s="12" t="s">
        <v>23</v>
      </c>
      <c r="J151" s="13" t="s">
        <v>883</v>
      </c>
      <c r="K151" s="13" t="s">
        <v>709</v>
      </c>
      <c r="L151" s="13">
        <v>2</v>
      </c>
      <c r="M151" s="9">
        <f t="shared" si="7"/>
        <v>400</v>
      </c>
      <c r="N151" s="13" t="s">
        <v>1169</v>
      </c>
      <c r="O151" s="13" t="s">
        <v>23</v>
      </c>
      <c r="P151" s="24" t="s">
        <v>23</v>
      </c>
      <c r="Q151" s="24" t="s">
        <v>23</v>
      </c>
      <c r="R151" s="27" t="s">
        <v>550</v>
      </c>
    </row>
    <row r="152" spans="1:18" s="1" customFormat="1" ht="36">
      <c r="A152" s="6"/>
      <c r="B152" s="10">
        <f t="shared" si="0"/>
        <v>150</v>
      </c>
      <c r="C152" s="8" t="s">
        <v>609</v>
      </c>
      <c r="D152" s="12" t="s">
        <v>894</v>
      </c>
      <c r="E152" s="12" t="s">
        <v>895</v>
      </c>
      <c r="F152" s="12" t="s">
        <v>868</v>
      </c>
      <c r="G152" s="12" t="s">
        <v>896</v>
      </c>
      <c r="H152" s="12" t="s">
        <v>897</v>
      </c>
      <c r="I152" s="12" t="s">
        <v>23</v>
      </c>
      <c r="J152" s="12" t="s">
        <v>898</v>
      </c>
      <c r="K152" s="12" t="s">
        <v>715</v>
      </c>
      <c r="L152" s="12">
        <v>1</v>
      </c>
      <c r="M152" s="9">
        <f t="shared" si="7"/>
        <v>200</v>
      </c>
      <c r="N152" s="12">
        <v>200</v>
      </c>
      <c r="O152" s="20" t="s">
        <v>26</v>
      </c>
      <c r="P152" s="19" t="s">
        <v>1250</v>
      </c>
      <c r="Q152" s="19">
        <f t="shared" ref="Q152:Q196" si="9">P152*N152</f>
        <v>3.8</v>
      </c>
      <c r="R152" s="12"/>
    </row>
    <row r="153" spans="1:18" s="1" customFormat="1">
      <c r="A153" s="6"/>
      <c r="B153" s="7">
        <f>ROW(B153)-ROW($B$2)</f>
        <v>151</v>
      </c>
      <c r="C153" s="8" t="s">
        <v>609</v>
      </c>
      <c r="D153" s="9" t="s">
        <v>899</v>
      </c>
      <c r="E153" s="9" t="s">
        <v>679</v>
      </c>
      <c r="F153" s="9" t="s">
        <v>612</v>
      </c>
      <c r="G153" s="9" t="s">
        <v>680</v>
      </c>
      <c r="H153" s="9" t="s">
        <v>900</v>
      </c>
      <c r="I153" s="12" t="s">
        <v>23</v>
      </c>
      <c r="J153" s="9" t="s">
        <v>682</v>
      </c>
      <c r="K153" s="9" t="s">
        <v>683</v>
      </c>
      <c r="L153" s="9">
        <v>1</v>
      </c>
      <c r="M153" s="9">
        <f t="shared" si="7"/>
        <v>200</v>
      </c>
      <c r="N153" s="9">
        <v>200</v>
      </c>
      <c r="O153" s="18" t="s">
        <v>26</v>
      </c>
      <c r="P153" s="17" t="s">
        <v>1251</v>
      </c>
      <c r="Q153" s="17">
        <f t="shared" si="9"/>
        <v>5.64</v>
      </c>
      <c r="R153" s="9"/>
    </row>
    <row r="154" spans="1:18" s="1" customFormat="1">
      <c r="A154" s="6"/>
      <c r="B154" s="10">
        <f t="shared" si="0"/>
        <v>152</v>
      </c>
      <c r="C154" s="8" t="s">
        <v>609</v>
      </c>
      <c r="D154" s="12" t="s">
        <v>901</v>
      </c>
      <c r="E154" s="12" t="s">
        <v>902</v>
      </c>
      <c r="F154" s="12" t="s">
        <v>817</v>
      </c>
      <c r="G154" s="12" t="s">
        <v>903</v>
      </c>
      <c r="H154" s="12" t="s">
        <v>31</v>
      </c>
      <c r="I154" s="12" t="s">
        <v>23</v>
      </c>
      <c r="J154" s="12" t="s">
        <v>904</v>
      </c>
      <c r="K154" s="12" t="s">
        <v>683</v>
      </c>
      <c r="L154" s="12">
        <v>5</v>
      </c>
      <c r="M154" s="9">
        <f t="shared" si="7"/>
        <v>1000</v>
      </c>
      <c r="N154" s="12">
        <v>1000</v>
      </c>
      <c r="O154" s="20" t="s">
        <v>26</v>
      </c>
      <c r="P154" s="19">
        <v>6.9999999999999999E-4</v>
      </c>
      <c r="Q154" s="19">
        <f t="shared" si="9"/>
        <v>0.7</v>
      </c>
      <c r="R154" s="12"/>
    </row>
    <row r="155" spans="1:18" s="1" customFormat="1">
      <c r="A155" s="6"/>
      <c r="B155" s="7">
        <f>ROW(B155)-ROW($B$2)</f>
        <v>153</v>
      </c>
      <c r="C155" s="8" t="s">
        <v>609</v>
      </c>
      <c r="D155" s="9" t="s">
        <v>905</v>
      </c>
      <c r="E155" s="9" t="s">
        <v>906</v>
      </c>
      <c r="F155" s="9" t="s">
        <v>612</v>
      </c>
      <c r="G155" s="9" t="s">
        <v>907</v>
      </c>
      <c r="H155" s="9" t="s">
        <v>31</v>
      </c>
      <c r="I155" s="12" t="s">
        <v>23</v>
      </c>
      <c r="J155" s="9" t="s">
        <v>908</v>
      </c>
      <c r="K155" s="9" t="s">
        <v>909</v>
      </c>
      <c r="L155" s="9">
        <v>2</v>
      </c>
      <c r="M155" s="9">
        <f t="shared" si="7"/>
        <v>400</v>
      </c>
      <c r="N155" s="9">
        <v>400</v>
      </c>
      <c r="O155" s="16" t="s">
        <v>26</v>
      </c>
      <c r="P155" s="17" t="s">
        <v>617</v>
      </c>
      <c r="Q155" s="17">
        <f t="shared" si="9"/>
        <v>0.48</v>
      </c>
      <c r="R155" s="9"/>
    </row>
    <row r="156" spans="1:18" s="1" customFormat="1">
      <c r="A156" s="6"/>
      <c r="B156" s="10">
        <f t="shared" si="0"/>
        <v>154</v>
      </c>
      <c r="C156" s="8" t="s">
        <v>609</v>
      </c>
      <c r="D156" s="12" t="s">
        <v>910</v>
      </c>
      <c r="E156" s="12" t="s">
        <v>911</v>
      </c>
      <c r="F156" s="12" t="s">
        <v>612</v>
      </c>
      <c r="G156" s="12" t="s">
        <v>912</v>
      </c>
      <c r="H156" s="12" t="s">
        <v>855</v>
      </c>
      <c r="I156" s="12" t="s">
        <v>23</v>
      </c>
      <c r="J156" s="12" t="s">
        <v>913</v>
      </c>
      <c r="K156" s="12" t="s">
        <v>914</v>
      </c>
      <c r="L156" s="12">
        <v>1</v>
      </c>
      <c r="M156" s="9">
        <f t="shared" si="7"/>
        <v>200</v>
      </c>
      <c r="N156" s="12">
        <v>200</v>
      </c>
      <c r="O156" s="20" t="s">
        <v>26</v>
      </c>
      <c r="P156" s="19" t="s">
        <v>1253</v>
      </c>
      <c r="Q156" s="19">
        <f t="shared" si="9"/>
        <v>0.96</v>
      </c>
      <c r="R156" s="12"/>
    </row>
    <row r="157" spans="1:18" s="1" customFormat="1">
      <c r="A157" s="6"/>
      <c r="B157" s="7">
        <f>ROW(B157)-ROW($B$2)</f>
        <v>155</v>
      </c>
      <c r="C157" s="8" t="s">
        <v>609</v>
      </c>
      <c r="D157" s="9" t="s">
        <v>915</v>
      </c>
      <c r="E157" s="9" t="s">
        <v>916</v>
      </c>
      <c r="F157" s="9" t="s">
        <v>612</v>
      </c>
      <c r="G157" s="9" t="s">
        <v>917</v>
      </c>
      <c r="H157" s="9" t="s">
        <v>31</v>
      </c>
      <c r="I157" s="12" t="s">
        <v>23</v>
      </c>
      <c r="J157" s="9" t="s">
        <v>918</v>
      </c>
      <c r="K157" s="9" t="s">
        <v>919</v>
      </c>
      <c r="L157" s="9">
        <v>1</v>
      </c>
      <c r="M157" s="9">
        <f t="shared" si="7"/>
        <v>200</v>
      </c>
      <c r="N157" s="9">
        <v>200</v>
      </c>
      <c r="O157" s="16" t="s">
        <v>26</v>
      </c>
      <c r="P157" s="17" t="s">
        <v>677</v>
      </c>
      <c r="Q157" s="17">
        <f t="shared" si="9"/>
        <v>0.13999999999999999</v>
      </c>
      <c r="R157" s="9"/>
    </row>
    <row r="158" spans="1:18" s="1" customFormat="1">
      <c r="A158" s="6"/>
      <c r="B158" s="10">
        <f t="shared" si="0"/>
        <v>156</v>
      </c>
      <c r="C158" s="8" t="s">
        <v>609</v>
      </c>
      <c r="D158" s="12" t="s">
        <v>920</v>
      </c>
      <c r="E158" s="12" t="s">
        <v>921</v>
      </c>
      <c r="F158" s="12" t="s">
        <v>612</v>
      </c>
      <c r="G158" s="12" t="s">
        <v>922</v>
      </c>
      <c r="H158" s="12" t="s">
        <v>31</v>
      </c>
      <c r="I158" s="12" t="s">
        <v>23</v>
      </c>
      <c r="J158" s="12" t="s">
        <v>923</v>
      </c>
      <c r="K158" s="12" t="s">
        <v>761</v>
      </c>
      <c r="L158" s="12">
        <v>1</v>
      </c>
      <c r="M158" s="9">
        <f t="shared" si="7"/>
        <v>200</v>
      </c>
      <c r="N158" s="12">
        <v>200</v>
      </c>
      <c r="O158" s="20" t="s">
        <v>26</v>
      </c>
      <c r="P158" s="19" t="s">
        <v>617</v>
      </c>
      <c r="Q158" s="19">
        <f t="shared" si="9"/>
        <v>0.24</v>
      </c>
      <c r="R158" s="12"/>
    </row>
    <row r="159" spans="1:18" s="1" customFormat="1">
      <c r="A159" s="6"/>
      <c r="B159" s="7">
        <f>ROW(B159)-ROW($B$2)</f>
        <v>157</v>
      </c>
      <c r="C159" s="8" t="s">
        <v>609</v>
      </c>
      <c r="D159" s="9" t="s">
        <v>924</v>
      </c>
      <c r="E159" s="9" t="s">
        <v>925</v>
      </c>
      <c r="F159" s="9" t="s">
        <v>612</v>
      </c>
      <c r="G159" s="9" t="s">
        <v>926</v>
      </c>
      <c r="H159" s="9" t="s">
        <v>855</v>
      </c>
      <c r="I159" s="12" t="s">
        <v>23</v>
      </c>
      <c r="J159" s="9" t="s">
        <v>927</v>
      </c>
      <c r="K159" s="9" t="s">
        <v>928</v>
      </c>
      <c r="L159" s="9">
        <v>1</v>
      </c>
      <c r="M159" s="9">
        <f t="shared" si="7"/>
        <v>200</v>
      </c>
      <c r="N159" s="9">
        <v>200</v>
      </c>
      <c r="O159" s="16" t="s">
        <v>26</v>
      </c>
      <c r="P159" s="17" t="s">
        <v>1254</v>
      </c>
      <c r="Q159" s="17">
        <f t="shared" si="9"/>
        <v>0.76</v>
      </c>
      <c r="R159" s="9"/>
    </row>
    <row r="160" spans="1:18" s="1" customFormat="1">
      <c r="A160" s="6"/>
      <c r="B160" s="10">
        <f t="shared" si="0"/>
        <v>158</v>
      </c>
      <c r="C160" s="8" t="s">
        <v>609</v>
      </c>
      <c r="D160" s="12" t="s">
        <v>929</v>
      </c>
      <c r="E160" s="12" t="s">
        <v>930</v>
      </c>
      <c r="F160" s="12" t="s">
        <v>612</v>
      </c>
      <c r="G160" s="12" t="s">
        <v>931</v>
      </c>
      <c r="H160" s="12" t="s">
        <v>31</v>
      </c>
      <c r="I160" s="12" t="s">
        <v>23</v>
      </c>
      <c r="J160" s="12" t="s">
        <v>932</v>
      </c>
      <c r="K160" s="12" t="s">
        <v>727</v>
      </c>
      <c r="L160" s="12">
        <v>4</v>
      </c>
      <c r="M160" s="9">
        <f t="shared" si="7"/>
        <v>800</v>
      </c>
      <c r="N160" s="12">
        <v>800</v>
      </c>
      <c r="O160" s="20" t="s">
        <v>26</v>
      </c>
      <c r="P160" s="19">
        <v>1.4E-2</v>
      </c>
      <c r="Q160" s="19">
        <f t="shared" si="9"/>
        <v>11.200000000000001</v>
      </c>
      <c r="R160" s="12"/>
    </row>
    <row r="161" spans="1:18" s="1" customFormat="1">
      <c r="A161" s="6"/>
      <c r="B161" s="7">
        <f>ROW(B161)-ROW($B$2)</f>
        <v>159</v>
      </c>
      <c r="C161" s="8" t="s">
        <v>609</v>
      </c>
      <c r="D161" s="9" t="s">
        <v>933</v>
      </c>
      <c r="E161" s="9" t="s">
        <v>934</v>
      </c>
      <c r="F161" s="9" t="s">
        <v>612</v>
      </c>
      <c r="G161" s="9" t="s">
        <v>935</v>
      </c>
      <c r="H161" s="9" t="s">
        <v>31</v>
      </c>
      <c r="I161" s="12" t="s">
        <v>23</v>
      </c>
      <c r="J161" s="9" t="s">
        <v>936</v>
      </c>
      <c r="K161" s="9" t="s">
        <v>937</v>
      </c>
      <c r="L161" s="9">
        <v>1</v>
      </c>
      <c r="M161" s="9">
        <f t="shared" si="7"/>
        <v>200</v>
      </c>
      <c r="N161" s="9">
        <v>200</v>
      </c>
      <c r="O161" s="16" t="s">
        <v>26</v>
      </c>
      <c r="P161" s="17" t="s">
        <v>1256</v>
      </c>
      <c r="Q161" s="17">
        <f t="shared" si="9"/>
        <v>22.66</v>
      </c>
      <c r="R161" s="9"/>
    </row>
    <row r="162" spans="1:18" s="1" customFormat="1">
      <c r="A162" s="6"/>
      <c r="B162" s="10">
        <f t="shared" si="0"/>
        <v>160</v>
      </c>
      <c r="C162" s="8" t="s">
        <v>609</v>
      </c>
      <c r="D162" s="12" t="s">
        <v>938</v>
      </c>
      <c r="E162" s="12" t="s">
        <v>939</v>
      </c>
      <c r="F162" s="12" t="s">
        <v>674</v>
      </c>
      <c r="G162" s="12" t="s">
        <v>940</v>
      </c>
      <c r="H162" s="12" t="s">
        <v>31</v>
      </c>
      <c r="I162" s="12" t="s">
        <v>23</v>
      </c>
      <c r="J162" s="12" t="s">
        <v>941</v>
      </c>
      <c r="K162" s="12" t="s">
        <v>909</v>
      </c>
      <c r="L162" s="12">
        <v>1</v>
      </c>
      <c r="M162" s="9">
        <f t="shared" si="7"/>
        <v>200</v>
      </c>
      <c r="N162" s="12">
        <v>200</v>
      </c>
      <c r="O162" s="20" t="s">
        <v>26</v>
      </c>
      <c r="P162" s="19" t="s">
        <v>677</v>
      </c>
      <c r="Q162" s="19">
        <f t="shared" si="9"/>
        <v>0.13999999999999999</v>
      </c>
      <c r="R162" s="12"/>
    </row>
    <row r="163" spans="1:18" s="1" customFormat="1">
      <c r="A163" s="6"/>
      <c r="B163" s="7">
        <f>ROW(B163)-ROW($B$2)</f>
        <v>161</v>
      </c>
      <c r="C163" s="8" t="s">
        <v>609</v>
      </c>
      <c r="D163" s="9" t="s">
        <v>942</v>
      </c>
      <c r="E163" s="9" t="s">
        <v>943</v>
      </c>
      <c r="F163" s="9" t="s">
        <v>674</v>
      </c>
      <c r="G163" s="9" t="s">
        <v>944</v>
      </c>
      <c r="H163" s="9" t="s">
        <v>31</v>
      </c>
      <c r="I163" s="12" t="s">
        <v>23</v>
      </c>
      <c r="J163" s="9" t="s">
        <v>945</v>
      </c>
      <c r="K163" s="9" t="s">
        <v>946</v>
      </c>
      <c r="L163" s="9">
        <v>5</v>
      </c>
      <c r="M163" s="9">
        <f t="shared" si="7"/>
        <v>1000</v>
      </c>
      <c r="N163" s="9">
        <v>1000</v>
      </c>
      <c r="O163" s="16" t="s">
        <v>26</v>
      </c>
      <c r="P163" s="17">
        <v>5.0000000000000001E-4</v>
      </c>
      <c r="Q163" s="17">
        <f t="shared" si="9"/>
        <v>0.5</v>
      </c>
      <c r="R163" s="9"/>
    </row>
    <row r="164" spans="1:18" s="1" customFormat="1">
      <c r="A164" s="6"/>
      <c r="B164" s="10">
        <f t="shared" si="0"/>
        <v>162</v>
      </c>
      <c r="C164" s="8" t="s">
        <v>609</v>
      </c>
      <c r="D164" s="12" t="s">
        <v>947</v>
      </c>
      <c r="E164" s="12" t="s">
        <v>948</v>
      </c>
      <c r="F164" s="12" t="s">
        <v>612</v>
      </c>
      <c r="G164" s="12" t="s">
        <v>949</v>
      </c>
      <c r="H164" s="12" t="s">
        <v>31</v>
      </c>
      <c r="I164" s="12" t="s">
        <v>23</v>
      </c>
      <c r="J164" s="12" t="s">
        <v>950</v>
      </c>
      <c r="K164" s="12" t="s">
        <v>937</v>
      </c>
      <c r="L164" s="12">
        <v>2</v>
      </c>
      <c r="M164" s="9">
        <f t="shared" si="7"/>
        <v>400</v>
      </c>
      <c r="N164" s="12">
        <v>400</v>
      </c>
      <c r="O164" s="20" t="s">
        <v>26</v>
      </c>
      <c r="P164" s="19" t="s">
        <v>617</v>
      </c>
      <c r="Q164" s="19">
        <f t="shared" si="9"/>
        <v>0.48</v>
      </c>
      <c r="R164" s="12"/>
    </row>
    <row r="165" spans="1:18" s="1" customFormat="1">
      <c r="A165" s="6"/>
      <c r="B165" s="7">
        <f>ROW(B165)-ROW($B$2)</f>
        <v>163</v>
      </c>
      <c r="C165" s="8" t="s">
        <v>609</v>
      </c>
      <c r="D165" s="9" t="s">
        <v>951</v>
      </c>
      <c r="E165" s="9" t="s">
        <v>952</v>
      </c>
      <c r="F165" s="9" t="s">
        <v>674</v>
      </c>
      <c r="G165" s="9" t="s">
        <v>953</v>
      </c>
      <c r="H165" s="9" t="s">
        <v>31</v>
      </c>
      <c r="I165" s="12" t="s">
        <v>23</v>
      </c>
      <c r="J165" s="9" t="s">
        <v>954</v>
      </c>
      <c r="K165" s="9" t="s">
        <v>955</v>
      </c>
      <c r="L165" s="9">
        <v>1</v>
      </c>
      <c r="M165" s="9">
        <f t="shared" si="7"/>
        <v>200</v>
      </c>
      <c r="N165" s="9">
        <v>200</v>
      </c>
      <c r="O165" s="16" t="s">
        <v>26</v>
      </c>
      <c r="P165" s="17" t="s">
        <v>132</v>
      </c>
      <c r="Q165" s="17">
        <f t="shared" si="9"/>
        <v>7.4399999999999995</v>
      </c>
      <c r="R165" s="9"/>
    </row>
    <row r="166" spans="1:18" s="1" customFormat="1">
      <c r="A166" s="6"/>
      <c r="B166" s="10">
        <f t="shared" si="0"/>
        <v>164</v>
      </c>
      <c r="C166" s="8" t="s">
        <v>609</v>
      </c>
      <c r="D166" s="12" t="s">
        <v>956</v>
      </c>
      <c r="E166" s="12" t="s">
        <v>957</v>
      </c>
      <c r="F166" s="12" t="s">
        <v>674</v>
      </c>
      <c r="G166" s="12"/>
      <c r="H166" s="12"/>
      <c r="I166" s="12" t="s">
        <v>23</v>
      </c>
      <c r="J166" s="12" t="s">
        <v>958</v>
      </c>
      <c r="K166" s="12" t="s">
        <v>959</v>
      </c>
      <c r="L166" s="12">
        <v>1</v>
      </c>
      <c r="M166" s="9">
        <f t="shared" si="7"/>
        <v>200</v>
      </c>
      <c r="N166" s="12">
        <v>200</v>
      </c>
      <c r="O166" s="20" t="s">
        <v>26</v>
      </c>
      <c r="P166" s="19" t="s">
        <v>677</v>
      </c>
      <c r="Q166" s="19">
        <f t="shared" si="9"/>
        <v>0.13999999999999999</v>
      </c>
      <c r="R166" s="12"/>
    </row>
    <row r="167" spans="1:18" s="1" customFormat="1">
      <c r="A167" s="6"/>
      <c r="B167" s="7">
        <f>ROW(B167)-ROW($B$2)</f>
        <v>165</v>
      </c>
      <c r="C167" s="8" t="s">
        <v>960</v>
      </c>
      <c r="D167" s="9" t="s">
        <v>961</v>
      </c>
      <c r="E167" s="9" t="s">
        <v>962</v>
      </c>
      <c r="F167" s="9" t="s">
        <v>20</v>
      </c>
      <c r="G167" s="9" t="s">
        <v>963</v>
      </c>
      <c r="H167" s="9" t="s">
        <v>964</v>
      </c>
      <c r="I167" s="12" t="s">
        <v>23</v>
      </c>
      <c r="J167" s="12" t="s">
        <v>965</v>
      </c>
      <c r="K167" s="9" t="s">
        <v>23</v>
      </c>
      <c r="L167" s="9">
        <v>1</v>
      </c>
      <c r="M167" s="9">
        <f t="shared" si="7"/>
        <v>200</v>
      </c>
      <c r="N167" s="12">
        <v>200</v>
      </c>
      <c r="O167" s="18" t="s">
        <v>26</v>
      </c>
      <c r="P167" s="19" t="s">
        <v>1257</v>
      </c>
      <c r="Q167" s="17">
        <f t="shared" si="9"/>
        <v>103.91999999999999</v>
      </c>
      <c r="R167" s="9"/>
    </row>
    <row r="168" spans="1:18" s="1" customFormat="1" ht="48">
      <c r="A168" s="6"/>
      <c r="B168" s="10">
        <f t="shared" si="0"/>
        <v>166</v>
      </c>
      <c r="C168" s="11" t="s">
        <v>967</v>
      </c>
      <c r="D168" s="12" t="s">
        <v>968</v>
      </c>
      <c r="E168" s="12" t="s">
        <v>969</v>
      </c>
      <c r="F168" s="9" t="s">
        <v>20</v>
      </c>
      <c r="G168" s="12" t="s">
        <v>970</v>
      </c>
      <c r="H168" s="12" t="s">
        <v>971</v>
      </c>
      <c r="I168" s="12" t="s">
        <v>23</v>
      </c>
      <c r="J168" s="9" t="s">
        <v>972</v>
      </c>
      <c r="K168" s="9" t="s">
        <v>23</v>
      </c>
      <c r="L168" s="12">
        <v>1</v>
      </c>
      <c r="M168" s="9">
        <f t="shared" si="7"/>
        <v>200</v>
      </c>
      <c r="N168" s="9">
        <v>200</v>
      </c>
      <c r="O168" s="18" t="s">
        <v>26</v>
      </c>
      <c r="P168" s="17">
        <v>6.5199999999999994E-2</v>
      </c>
      <c r="Q168" s="19">
        <f t="shared" si="9"/>
        <v>13.04</v>
      </c>
      <c r="R168" s="12"/>
    </row>
    <row r="169" spans="1:18" s="1" customFormat="1" ht="24">
      <c r="A169" s="6"/>
      <c r="B169" s="7">
        <f>ROW(B169)-ROW($B$2)</f>
        <v>167</v>
      </c>
      <c r="C169" s="8" t="s">
        <v>974</v>
      </c>
      <c r="D169" s="9" t="s">
        <v>975</v>
      </c>
      <c r="E169" s="9" t="s">
        <v>976</v>
      </c>
      <c r="F169" s="9" t="s">
        <v>977</v>
      </c>
      <c r="G169" s="9" t="s">
        <v>978</v>
      </c>
      <c r="H169" s="9" t="s">
        <v>979</v>
      </c>
      <c r="I169" s="12" t="s">
        <v>23</v>
      </c>
      <c r="J169" s="12" t="s">
        <v>980</v>
      </c>
      <c r="K169" s="9" t="s">
        <v>23</v>
      </c>
      <c r="L169" s="9">
        <v>2</v>
      </c>
      <c r="M169" s="9">
        <f t="shared" si="7"/>
        <v>400</v>
      </c>
      <c r="N169" s="12">
        <v>400</v>
      </c>
      <c r="O169" s="18" t="s">
        <v>26</v>
      </c>
      <c r="P169" s="19">
        <v>2.1446000000000001</v>
      </c>
      <c r="Q169" s="17">
        <f t="shared" si="9"/>
        <v>857.84</v>
      </c>
      <c r="R169" s="9"/>
    </row>
    <row r="170" spans="1:18" s="1" customFormat="1">
      <c r="A170" s="6"/>
      <c r="B170" s="10">
        <f t="shared" si="0"/>
        <v>168</v>
      </c>
      <c r="C170" s="11" t="s">
        <v>982</v>
      </c>
      <c r="D170" s="12" t="s">
        <v>983</v>
      </c>
      <c r="E170" s="12" t="s">
        <v>984</v>
      </c>
      <c r="F170" s="12" t="s">
        <v>985</v>
      </c>
      <c r="G170" s="12" t="s">
        <v>986</v>
      </c>
      <c r="H170" s="12" t="s">
        <v>987</v>
      </c>
      <c r="I170" s="12" t="s">
        <v>23</v>
      </c>
      <c r="J170" s="9" t="s">
        <v>988</v>
      </c>
      <c r="K170" s="9" t="s">
        <v>23</v>
      </c>
      <c r="L170" s="12">
        <v>1</v>
      </c>
      <c r="M170" s="9">
        <f t="shared" si="7"/>
        <v>200</v>
      </c>
      <c r="N170" s="9">
        <v>200</v>
      </c>
      <c r="O170" s="18" t="s">
        <v>26</v>
      </c>
      <c r="P170" s="17">
        <v>0.107</v>
      </c>
      <c r="Q170" s="19">
        <f t="shared" si="9"/>
        <v>21.4</v>
      </c>
      <c r="R170" s="12"/>
    </row>
    <row r="171" spans="1:18" s="1" customFormat="1">
      <c r="A171" s="6"/>
      <c r="B171" s="7">
        <f>ROW(B171)-ROW($B$2)</f>
        <v>169</v>
      </c>
      <c r="C171" s="8" t="s">
        <v>982</v>
      </c>
      <c r="D171" s="9" t="s">
        <v>990</v>
      </c>
      <c r="E171" s="9" t="s">
        <v>991</v>
      </c>
      <c r="F171" s="9" t="s">
        <v>992</v>
      </c>
      <c r="G171" s="9" t="s">
        <v>993</v>
      </c>
      <c r="H171" s="9" t="s">
        <v>987</v>
      </c>
      <c r="I171" s="12" t="s">
        <v>23</v>
      </c>
      <c r="J171" s="12" t="s">
        <v>994</v>
      </c>
      <c r="K171" s="9" t="s">
        <v>23</v>
      </c>
      <c r="L171" s="9">
        <v>1</v>
      </c>
      <c r="M171" s="9">
        <f t="shared" si="7"/>
        <v>200</v>
      </c>
      <c r="N171" s="12">
        <v>200</v>
      </c>
      <c r="O171" s="18" t="s">
        <v>26</v>
      </c>
      <c r="P171" s="19">
        <v>0.77039999999999997</v>
      </c>
      <c r="Q171" s="17">
        <f t="shared" si="9"/>
        <v>154.07999999999998</v>
      </c>
      <c r="R171" s="9"/>
    </row>
    <row r="172" spans="1:18" s="1" customFormat="1">
      <c r="A172" s="6"/>
      <c r="B172" s="10">
        <f t="shared" si="0"/>
        <v>170</v>
      </c>
      <c r="C172" s="11" t="s">
        <v>982</v>
      </c>
      <c r="D172" s="12" t="s">
        <v>996</v>
      </c>
      <c r="E172" s="12" t="s">
        <v>997</v>
      </c>
      <c r="F172" s="12" t="s">
        <v>998</v>
      </c>
      <c r="G172" s="12" t="s">
        <v>999</v>
      </c>
      <c r="H172" s="12" t="s">
        <v>1000</v>
      </c>
      <c r="I172" s="12" t="s">
        <v>23</v>
      </c>
      <c r="J172" s="9" t="s">
        <v>1001</v>
      </c>
      <c r="K172" s="9" t="s">
        <v>23</v>
      </c>
      <c r="L172" s="12">
        <v>1</v>
      </c>
      <c r="M172" s="9">
        <f t="shared" si="7"/>
        <v>200</v>
      </c>
      <c r="N172" s="9">
        <v>200</v>
      </c>
      <c r="O172" s="18" t="s">
        <v>26</v>
      </c>
      <c r="P172" s="17">
        <v>6.6304999999999996</v>
      </c>
      <c r="Q172" s="19">
        <f t="shared" si="9"/>
        <v>1326.1</v>
      </c>
      <c r="R172" s="12"/>
    </row>
    <row r="173" spans="1:18" s="1" customFormat="1">
      <c r="A173" s="6"/>
      <c r="B173" s="7">
        <f>ROW(B173)-ROW($B$2)</f>
        <v>171</v>
      </c>
      <c r="C173" s="8" t="s">
        <v>982</v>
      </c>
      <c r="D173" s="9" t="s">
        <v>1003</v>
      </c>
      <c r="E173" s="9" t="s">
        <v>1004</v>
      </c>
      <c r="F173" s="9" t="s">
        <v>985</v>
      </c>
      <c r="G173" s="9" t="s">
        <v>1005</v>
      </c>
      <c r="H173" s="9" t="s">
        <v>562</v>
      </c>
      <c r="I173" s="12" t="s">
        <v>23</v>
      </c>
      <c r="J173" s="12" t="s">
        <v>1006</v>
      </c>
      <c r="K173" s="9" t="s">
        <v>23</v>
      </c>
      <c r="L173" s="9">
        <v>1</v>
      </c>
      <c r="M173" s="9">
        <f t="shared" si="7"/>
        <v>200</v>
      </c>
      <c r="N173" s="12">
        <v>200</v>
      </c>
      <c r="O173" s="18" t="s">
        <v>26</v>
      </c>
      <c r="P173" s="19">
        <v>0.81510000000000005</v>
      </c>
      <c r="Q173" s="17">
        <f t="shared" si="9"/>
        <v>163.02000000000001</v>
      </c>
      <c r="R173" s="9"/>
    </row>
    <row r="174" spans="1:18" s="1" customFormat="1" ht="24">
      <c r="A174" s="6"/>
      <c r="B174" s="10">
        <f t="shared" si="0"/>
        <v>172</v>
      </c>
      <c r="C174" s="11" t="s">
        <v>982</v>
      </c>
      <c r="D174" s="12" t="s">
        <v>1008</v>
      </c>
      <c r="E174" s="12" t="s">
        <v>1009</v>
      </c>
      <c r="F174" s="12" t="s">
        <v>1010</v>
      </c>
      <c r="G174" s="12" t="s">
        <v>1011</v>
      </c>
      <c r="H174" s="12" t="s">
        <v>1012</v>
      </c>
      <c r="I174" s="12" t="s">
        <v>23</v>
      </c>
      <c r="J174" s="9" t="s">
        <v>1013</v>
      </c>
      <c r="K174" s="9" t="s">
        <v>23</v>
      </c>
      <c r="L174" s="12">
        <v>1</v>
      </c>
      <c r="M174" s="9">
        <f t="shared" si="7"/>
        <v>200</v>
      </c>
      <c r="N174" s="9">
        <v>200</v>
      </c>
      <c r="O174" s="18" t="s">
        <v>26</v>
      </c>
      <c r="P174" s="17">
        <v>3.4881000000000002</v>
      </c>
      <c r="Q174" s="19">
        <f t="shared" si="9"/>
        <v>697.62</v>
      </c>
      <c r="R174" s="12"/>
    </row>
    <row r="175" spans="1:18" s="1" customFormat="1">
      <c r="A175" s="6"/>
      <c r="B175" s="7">
        <f>ROW(B175)-ROW($B$2)</f>
        <v>173</v>
      </c>
      <c r="C175" s="8" t="s">
        <v>982</v>
      </c>
      <c r="D175" s="9" t="s">
        <v>1015</v>
      </c>
      <c r="E175" s="9" t="s">
        <v>1016</v>
      </c>
      <c r="F175" s="9" t="s">
        <v>1017</v>
      </c>
      <c r="G175" s="9" t="s">
        <v>1018</v>
      </c>
      <c r="H175" s="9" t="s">
        <v>987</v>
      </c>
      <c r="I175" s="12" t="s">
        <v>23</v>
      </c>
      <c r="J175" s="12" t="s">
        <v>1019</v>
      </c>
      <c r="K175" s="9" t="s">
        <v>23</v>
      </c>
      <c r="L175" s="9">
        <v>3</v>
      </c>
      <c r="M175" s="9">
        <f t="shared" si="7"/>
        <v>600</v>
      </c>
      <c r="N175" s="12">
        <v>600</v>
      </c>
      <c r="O175" s="18" t="s">
        <v>26</v>
      </c>
      <c r="P175" s="19">
        <v>4.36E-2</v>
      </c>
      <c r="Q175" s="17">
        <f t="shared" si="9"/>
        <v>26.16</v>
      </c>
      <c r="R175" s="9"/>
    </row>
    <row r="176" spans="1:18" s="1" customFormat="1" ht="36">
      <c r="A176" s="6"/>
      <c r="B176" s="10">
        <f t="shared" si="0"/>
        <v>174</v>
      </c>
      <c r="C176" s="8" t="s">
        <v>982</v>
      </c>
      <c r="D176" s="12" t="s">
        <v>1021</v>
      </c>
      <c r="E176" s="12" t="s">
        <v>1022</v>
      </c>
      <c r="F176" s="12" t="s">
        <v>1023</v>
      </c>
      <c r="G176" s="12" t="s">
        <v>1024</v>
      </c>
      <c r="H176" s="12" t="s">
        <v>1025</v>
      </c>
      <c r="I176" s="12" t="s">
        <v>23</v>
      </c>
      <c r="J176" s="9" t="s">
        <v>1026</v>
      </c>
      <c r="K176" s="9" t="s">
        <v>23</v>
      </c>
      <c r="L176" s="12">
        <v>1</v>
      </c>
      <c r="M176" s="9">
        <f t="shared" si="7"/>
        <v>200</v>
      </c>
      <c r="N176" s="9">
        <v>200</v>
      </c>
      <c r="O176" s="18" t="s">
        <v>26</v>
      </c>
      <c r="P176" s="17">
        <v>0.18390000000000001</v>
      </c>
      <c r="Q176" s="19">
        <f t="shared" si="9"/>
        <v>36.78</v>
      </c>
      <c r="R176" s="12"/>
    </row>
    <row r="177" spans="1:18" s="1" customFormat="1">
      <c r="A177" s="6"/>
      <c r="B177" s="7">
        <f>ROW(B177)-ROW($B$2)</f>
        <v>175</v>
      </c>
      <c r="C177" s="8" t="s">
        <v>982</v>
      </c>
      <c r="D177" s="9" t="s">
        <v>1028</v>
      </c>
      <c r="E177" s="9" t="s">
        <v>1029</v>
      </c>
      <c r="F177" s="9" t="s">
        <v>1030</v>
      </c>
      <c r="G177" s="9" t="s">
        <v>1031</v>
      </c>
      <c r="H177" s="9" t="s">
        <v>987</v>
      </c>
      <c r="I177" s="12" t="s">
        <v>23</v>
      </c>
      <c r="J177" s="9" t="s">
        <v>1032</v>
      </c>
      <c r="K177" s="9" t="s">
        <v>23</v>
      </c>
      <c r="L177" s="9">
        <v>1</v>
      </c>
      <c r="M177" s="9">
        <f t="shared" si="7"/>
        <v>200</v>
      </c>
      <c r="N177" s="12">
        <v>200</v>
      </c>
      <c r="O177" s="18" t="s">
        <v>26</v>
      </c>
      <c r="P177" s="19">
        <v>1.2215</v>
      </c>
      <c r="Q177" s="17">
        <f t="shared" si="9"/>
        <v>244.3</v>
      </c>
      <c r="R177" s="9"/>
    </row>
    <row r="178" spans="1:18" s="1" customFormat="1" ht="24">
      <c r="A178" s="6"/>
      <c r="B178" s="10">
        <f t="shared" si="0"/>
        <v>176</v>
      </c>
      <c r="C178" s="11" t="s">
        <v>982</v>
      </c>
      <c r="D178" s="12" t="s">
        <v>1034</v>
      </c>
      <c r="E178" s="12" t="s">
        <v>1035</v>
      </c>
      <c r="F178" s="12" t="s">
        <v>1036</v>
      </c>
      <c r="G178" s="12" t="s">
        <v>1037</v>
      </c>
      <c r="H178" s="12" t="s">
        <v>987</v>
      </c>
      <c r="I178" s="12" t="s">
        <v>23</v>
      </c>
      <c r="J178" s="12" t="s">
        <v>1038</v>
      </c>
      <c r="K178" s="9" t="s">
        <v>23</v>
      </c>
      <c r="L178" s="12">
        <v>1</v>
      </c>
      <c r="M178" s="9">
        <f t="shared" si="7"/>
        <v>200</v>
      </c>
      <c r="N178" s="9">
        <v>200</v>
      </c>
      <c r="O178" s="18" t="s">
        <v>26</v>
      </c>
      <c r="P178" s="17">
        <v>0.29699999999999999</v>
      </c>
      <c r="Q178" s="19">
        <f t="shared" si="9"/>
        <v>59.4</v>
      </c>
      <c r="R178" s="12"/>
    </row>
    <row r="179" spans="1:18" s="1" customFormat="1">
      <c r="A179" s="6"/>
      <c r="B179" s="7">
        <f>ROW(B179)-ROW($B$2)</f>
        <v>177</v>
      </c>
      <c r="C179" s="8" t="s">
        <v>982</v>
      </c>
      <c r="D179" s="9" t="s">
        <v>1040</v>
      </c>
      <c r="E179" s="9" t="s">
        <v>1041</v>
      </c>
      <c r="F179" s="9" t="s">
        <v>1042</v>
      </c>
      <c r="G179" s="9" t="s">
        <v>1043</v>
      </c>
      <c r="H179" s="9" t="s">
        <v>1044</v>
      </c>
      <c r="I179" s="12" t="s">
        <v>23</v>
      </c>
      <c r="J179" s="9" t="s">
        <v>1045</v>
      </c>
      <c r="K179" s="9" t="s">
        <v>23</v>
      </c>
      <c r="L179" s="9">
        <v>1</v>
      </c>
      <c r="M179" s="9">
        <f t="shared" si="7"/>
        <v>200</v>
      </c>
      <c r="N179" s="12">
        <v>200</v>
      </c>
      <c r="O179" s="18" t="s">
        <v>26</v>
      </c>
      <c r="P179" s="19">
        <v>0.87139999999999995</v>
      </c>
      <c r="Q179" s="17">
        <f t="shared" si="9"/>
        <v>174.28</v>
      </c>
      <c r="R179" s="9"/>
    </row>
    <row r="180" spans="1:18" s="1" customFormat="1">
      <c r="A180" s="6"/>
      <c r="B180" s="10">
        <f t="shared" si="0"/>
        <v>178</v>
      </c>
      <c r="C180" s="11" t="s">
        <v>982</v>
      </c>
      <c r="D180" s="12" t="s">
        <v>1047</v>
      </c>
      <c r="E180" s="12" t="s">
        <v>1048</v>
      </c>
      <c r="F180" s="12" t="s">
        <v>1017</v>
      </c>
      <c r="G180" s="12" t="s">
        <v>1049</v>
      </c>
      <c r="H180" s="12" t="s">
        <v>987</v>
      </c>
      <c r="I180" s="12" t="s">
        <v>23</v>
      </c>
      <c r="J180" s="12" t="s">
        <v>1050</v>
      </c>
      <c r="K180" s="9" t="s">
        <v>23</v>
      </c>
      <c r="L180" s="12">
        <v>2</v>
      </c>
      <c r="M180" s="9">
        <f t="shared" si="7"/>
        <v>400</v>
      </c>
      <c r="N180" s="9">
        <v>400</v>
      </c>
      <c r="O180" s="18" t="s">
        <v>26</v>
      </c>
      <c r="P180" s="17">
        <v>0.1099</v>
      </c>
      <c r="Q180" s="19">
        <f t="shared" si="9"/>
        <v>43.96</v>
      </c>
      <c r="R180" s="12"/>
    </row>
    <row r="181" spans="1:18" s="1" customFormat="1" ht="24">
      <c r="A181" s="6"/>
      <c r="B181" s="7">
        <f>ROW(B181)-ROW($B$2)</f>
        <v>179</v>
      </c>
      <c r="C181" s="8" t="s">
        <v>1052</v>
      </c>
      <c r="D181" s="9" t="s">
        <v>1053</v>
      </c>
      <c r="E181" s="9" t="s">
        <v>1054</v>
      </c>
      <c r="F181" s="9" t="s">
        <v>1055</v>
      </c>
      <c r="G181" s="9" t="s">
        <v>1055</v>
      </c>
      <c r="H181" s="9" t="s">
        <v>1056</v>
      </c>
      <c r="I181" s="12" t="s">
        <v>23</v>
      </c>
      <c r="J181" s="9" t="s">
        <v>1057</v>
      </c>
      <c r="K181" s="9" t="s">
        <v>23</v>
      </c>
      <c r="L181" s="9">
        <v>1</v>
      </c>
      <c r="M181" s="9">
        <f t="shared" si="7"/>
        <v>200</v>
      </c>
      <c r="N181" s="12">
        <v>200</v>
      </c>
      <c r="O181" s="18" t="s">
        <v>26</v>
      </c>
      <c r="P181" s="19">
        <v>0.55879999999999996</v>
      </c>
      <c r="Q181" s="17">
        <f t="shared" si="9"/>
        <v>111.75999999999999</v>
      </c>
      <c r="R181" s="9"/>
    </row>
    <row r="182" spans="1:18" s="1" customFormat="1" ht="48">
      <c r="A182" s="6"/>
      <c r="B182" s="10">
        <f t="shared" si="0"/>
        <v>180</v>
      </c>
      <c r="C182" s="8" t="s">
        <v>982</v>
      </c>
      <c r="D182" s="12" t="s">
        <v>1059</v>
      </c>
      <c r="E182" s="12" t="s">
        <v>1060</v>
      </c>
      <c r="F182" s="12" t="s">
        <v>1061</v>
      </c>
      <c r="G182" s="12" t="s">
        <v>1062</v>
      </c>
      <c r="H182" s="12" t="s">
        <v>1063</v>
      </c>
      <c r="I182" s="12" t="s">
        <v>23</v>
      </c>
      <c r="J182" s="9" t="s">
        <v>1064</v>
      </c>
      <c r="K182" s="9" t="s">
        <v>23</v>
      </c>
      <c r="L182" s="12">
        <v>1</v>
      </c>
      <c r="M182" s="9">
        <f t="shared" si="7"/>
        <v>200</v>
      </c>
      <c r="N182" s="9">
        <v>200</v>
      </c>
      <c r="O182" s="18" t="s">
        <v>26</v>
      </c>
      <c r="P182" s="17">
        <v>0.15529999999999999</v>
      </c>
      <c r="Q182" s="19">
        <f t="shared" si="9"/>
        <v>31.06</v>
      </c>
      <c r="R182" s="12"/>
    </row>
    <row r="183" spans="1:18" s="1" customFormat="1">
      <c r="A183" s="6"/>
      <c r="B183" s="7">
        <f>ROW(B183)-ROW($B$2)</f>
        <v>181</v>
      </c>
      <c r="C183" s="8" t="s">
        <v>982</v>
      </c>
      <c r="D183" s="9" t="s">
        <v>1066</v>
      </c>
      <c r="E183" s="9" t="s">
        <v>1067</v>
      </c>
      <c r="F183" s="9" t="s">
        <v>1068</v>
      </c>
      <c r="G183" s="9" t="s">
        <v>1069</v>
      </c>
      <c r="H183" s="9" t="s">
        <v>987</v>
      </c>
      <c r="I183" s="12" t="s">
        <v>23</v>
      </c>
      <c r="J183" s="9" t="s">
        <v>23</v>
      </c>
      <c r="K183" s="9" t="s">
        <v>23</v>
      </c>
      <c r="L183" s="9">
        <v>2</v>
      </c>
      <c r="M183" s="9">
        <f t="shared" si="7"/>
        <v>400</v>
      </c>
      <c r="N183" s="9">
        <v>400</v>
      </c>
      <c r="O183" s="16" t="s">
        <v>67</v>
      </c>
      <c r="P183" s="17">
        <v>0.73</v>
      </c>
      <c r="Q183" s="17">
        <f t="shared" si="9"/>
        <v>292</v>
      </c>
      <c r="R183" s="9"/>
    </row>
    <row r="184" spans="1:18" s="1" customFormat="1">
      <c r="A184" s="6"/>
      <c r="B184" s="10">
        <f t="shared" si="0"/>
        <v>182</v>
      </c>
      <c r="C184" s="11" t="s">
        <v>982</v>
      </c>
      <c r="D184" s="12" t="s">
        <v>1070</v>
      </c>
      <c r="E184" s="12" t="s">
        <v>1071</v>
      </c>
      <c r="F184" s="12" t="s">
        <v>1072</v>
      </c>
      <c r="G184" s="12" t="s">
        <v>1073</v>
      </c>
      <c r="H184" s="12" t="s">
        <v>1074</v>
      </c>
      <c r="I184" s="12" t="s">
        <v>23</v>
      </c>
      <c r="J184" s="12" t="s">
        <v>1075</v>
      </c>
      <c r="K184" s="12" t="s">
        <v>23</v>
      </c>
      <c r="L184" s="12">
        <v>1</v>
      </c>
      <c r="M184" s="9">
        <f t="shared" si="7"/>
        <v>200</v>
      </c>
      <c r="N184" s="12">
        <v>200</v>
      </c>
      <c r="O184" s="20" t="s">
        <v>26</v>
      </c>
      <c r="P184" s="19">
        <v>0.34320000000000001</v>
      </c>
      <c r="Q184" s="19">
        <f t="shared" si="9"/>
        <v>68.64</v>
      </c>
      <c r="R184" s="12"/>
    </row>
    <row r="185" spans="1:18" s="1" customFormat="1">
      <c r="A185" s="6"/>
      <c r="B185" s="7">
        <f>ROW(B185)-ROW($B$2)</f>
        <v>183</v>
      </c>
      <c r="C185" s="8" t="s">
        <v>982</v>
      </c>
      <c r="D185" s="9" t="s">
        <v>1076</v>
      </c>
      <c r="E185" s="9" t="s">
        <v>1077</v>
      </c>
      <c r="F185" s="9" t="s">
        <v>1078</v>
      </c>
      <c r="G185" s="9" t="s">
        <v>1079</v>
      </c>
      <c r="H185" s="9" t="s">
        <v>1074</v>
      </c>
      <c r="I185" s="12" t="s">
        <v>23</v>
      </c>
      <c r="J185" s="9" t="s">
        <v>1080</v>
      </c>
      <c r="K185" s="9" t="s">
        <v>23</v>
      </c>
      <c r="L185" s="9">
        <v>1</v>
      </c>
      <c r="M185" s="9">
        <f t="shared" si="7"/>
        <v>200</v>
      </c>
      <c r="N185" s="12">
        <v>200</v>
      </c>
      <c r="O185" s="18" t="s">
        <v>26</v>
      </c>
      <c r="P185" s="19">
        <v>3.4144000000000001</v>
      </c>
      <c r="Q185" s="17">
        <f t="shared" si="9"/>
        <v>682.88</v>
      </c>
      <c r="R185" s="9"/>
    </row>
    <row r="186" spans="1:18" s="1" customFormat="1" ht="30">
      <c r="A186" s="6"/>
      <c r="B186" s="10">
        <f t="shared" si="0"/>
        <v>184</v>
      </c>
      <c r="C186" s="11" t="s">
        <v>1082</v>
      </c>
      <c r="D186" s="12" t="s">
        <v>1083</v>
      </c>
      <c r="E186" s="12" t="s">
        <v>1084</v>
      </c>
      <c r="F186" s="12" t="s">
        <v>1085</v>
      </c>
      <c r="G186" s="12" t="s">
        <v>1086</v>
      </c>
      <c r="H186" s="12"/>
      <c r="I186" s="12" t="s">
        <v>23</v>
      </c>
      <c r="J186" s="12" t="s">
        <v>23</v>
      </c>
      <c r="K186" s="12" t="s">
        <v>23</v>
      </c>
      <c r="L186" s="12">
        <v>1</v>
      </c>
      <c r="M186" s="9">
        <f t="shared" si="7"/>
        <v>200</v>
      </c>
      <c r="N186" s="9">
        <v>200</v>
      </c>
      <c r="O186" s="18" t="s">
        <v>1087</v>
      </c>
      <c r="P186" s="17">
        <v>5.0199999999999996</v>
      </c>
      <c r="Q186" s="19">
        <f t="shared" si="9"/>
        <v>1003.9999999999999</v>
      </c>
      <c r="R186" s="12"/>
    </row>
    <row r="187" spans="1:18" s="1" customFormat="1" ht="24">
      <c r="A187" s="6"/>
      <c r="B187" s="7">
        <f>ROW(B187)-ROW($B$2)</f>
        <v>185</v>
      </c>
      <c r="C187" s="8" t="s">
        <v>982</v>
      </c>
      <c r="D187" s="9" t="s">
        <v>1088</v>
      </c>
      <c r="E187" s="9" t="s">
        <v>1089</v>
      </c>
      <c r="F187" s="9" t="s">
        <v>1017</v>
      </c>
      <c r="G187" s="9" t="s">
        <v>1090</v>
      </c>
      <c r="H187" s="9" t="s">
        <v>1091</v>
      </c>
      <c r="I187" s="12" t="s">
        <v>23</v>
      </c>
      <c r="J187" s="9" t="s">
        <v>1092</v>
      </c>
      <c r="K187" s="9" t="s">
        <v>23</v>
      </c>
      <c r="L187" s="9">
        <v>1</v>
      </c>
      <c r="M187" s="9">
        <f t="shared" si="7"/>
        <v>200</v>
      </c>
      <c r="N187" s="12">
        <v>200</v>
      </c>
      <c r="O187" s="18" t="str">
        <f t="shared" ref="O187:O196" si="10">HYPERLINK(N187,"LCSC")</f>
        <v>LCSC</v>
      </c>
      <c r="P187" s="19">
        <v>5.7700000000000001E-2</v>
      </c>
      <c r="Q187" s="17">
        <f t="shared" si="9"/>
        <v>11.540000000000001</v>
      </c>
      <c r="R187" s="9"/>
    </row>
    <row r="188" spans="1:18" s="1" customFormat="1">
      <c r="A188" s="6"/>
      <c r="B188" s="10">
        <f t="shared" si="0"/>
        <v>186</v>
      </c>
      <c r="C188" s="11" t="s">
        <v>982</v>
      </c>
      <c r="D188" s="12" t="s">
        <v>1094</v>
      </c>
      <c r="E188" s="12" t="s">
        <v>1095</v>
      </c>
      <c r="F188" s="12" t="s">
        <v>1096</v>
      </c>
      <c r="G188" s="12" t="s">
        <v>1097</v>
      </c>
      <c r="H188" s="12" t="s">
        <v>305</v>
      </c>
      <c r="I188" s="12" t="s">
        <v>23</v>
      </c>
      <c r="J188" s="12" t="s">
        <v>1098</v>
      </c>
      <c r="K188" s="12" t="s">
        <v>23</v>
      </c>
      <c r="L188" s="12">
        <v>1</v>
      </c>
      <c r="M188" s="9">
        <f t="shared" si="7"/>
        <v>200</v>
      </c>
      <c r="N188" s="9">
        <v>200</v>
      </c>
      <c r="O188" s="18" t="str">
        <f t="shared" si="10"/>
        <v>LCSC</v>
      </c>
      <c r="P188" s="17">
        <v>0.21179999999999999</v>
      </c>
      <c r="Q188" s="19">
        <f t="shared" si="9"/>
        <v>42.36</v>
      </c>
      <c r="R188" s="12"/>
    </row>
    <row r="189" spans="1:18" s="1" customFormat="1">
      <c r="A189" s="6"/>
      <c r="B189" s="7">
        <f>ROW(B189)-ROW($B$2)</f>
        <v>187</v>
      </c>
      <c r="C189" s="8" t="s">
        <v>1099</v>
      </c>
      <c r="D189" s="9" t="s">
        <v>1100</v>
      </c>
      <c r="E189" s="9" t="s">
        <v>1101</v>
      </c>
      <c r="F189" s="9" t="s">
        <v>1017</v>
      </c>
      <c r="G189" s="9" t="s">
        <v>1102</v>
      </c>
      <c r="H189" s="9" t="s">
        <v>1103</v>
      </c>
      <c r="I189" s="12" t="s">
        <v>23</v>
      </c>
      <c r="J189" s="9" t="s">
        <v>1104</v>
      </c>
      <c r="K189" s="12" t="s">
        <v>23</v>
      </c>
      <c r="L189" s="9">
        <v>1</v>
      </c>
      <c r="M189" s="9">
        <f t="shared" si="7"/>
        <v>200</v>
      </c>
      <c r="N189" s="12">
        <v>200</v>
      </c>
      <c r="O189" s="18" t="str">
        <f t="shared" si="10"/>
        <v>LCSC</v>
      </c>
      <c r="P189" s="19">
        <v>0.66239999999999999</v>
      </c>
      <c r="Q189" s="17">
        <f t="shared" si="9"/>
        <v>132.47999999999999</v>
      </c>
      <c r="R189" s="9"/>
    </row>
    <row r="190" spans="1:18" s="1" customFormat="1" ht="36">
      <c r="A190" s="6"/>
      <c r="B190" s="10">
        <f t="shared" si="0"/>
        <v>188</v>
      </c>
      <c r="C190" s="11" t="s">
        <v>982</v>
      </c>
      <c r="D190" s="12" t="s">
        <v>1106</v>
      </c>
      <c r="E190" s="12" t="s">
        <v>1107</v>
      </c>
      <c r="F190" s="12" t="s">
        <v>1108</v>
      </c>
      <c r="G190" s="12" t="s">
        <v>1109</v>
      </c>
      <c r="H190" s="12" t="s">
        <v>1110</v>
      </c>
      <c r="I190" s="12" t="s">
        <v>23</v>
      </c>
      <c r="J190" s="12" t="s">
        <v>1111</v>
      </c>
      <c r="K190" s="12" t="s">
        <v>23</v>
      </c>
      <c r="L190" s="12">
        <v>1</v>
      </c>
      <c r="M190" s="9">
        <f t="shared" si="7"/>
        <v>200</v>
      </c>
      <c r="N190" s="9">
        <v>200</v>
      </c>
      <c r="O190" s="18" t="str">
        <f t="shared" si="10"/>
        <v>LCSC</v>
      </c>
      <c r="P190" s="17">
        <v>2.4447000000000001</v>
      </c>
      <c r="Q190" s="19">
        <f t="shared" si="9"/>
        <v>488.94</v>
      </c>
      <c r="R190" s="12"/>
    </row>
    <row r="191" spans="1:18" s="1" customFormat="1">
      <c r="A191" s="6"/>
      <c r="B191" s="7">
        <f>ROW(B191)-ROW($B$2)</f>
        <v>189</v>
      </c>
      <c r="C191" s="8" t="s">
        <v>982</v>
      </c>
      <c r="D191" s="9" t="s">
        <v>1113</v>
      </c>
      <c r="E191" s="9" t="s">
        <v>1114</v>
      </c>
      <c r="F191" s="9" t="s">
        <v>977</v>
      </c>
      <c r="G191" s="9" t="s">
        <v>1115</v>
      </c>
      <c r="H191" s="9" t="s">
        <v>1116</v>
      </c>
      <c r="I191" s="12" t="s">
        <v>23</v>
      </c>
      <c r="J191" s="9" t="s">
        <v>1117</v>
      </c>
      <c r="K191" s="12" t="s">
        <v>23</v>
      </c>
      <c r="L191" s="9">
        <v>2</v>
      </c>
      <c r="M191" s="9">
        <f t="shared" si="7"/>
        <v>400</v>
      </c>
      <c r="N191" s="12">
        <v>400</v>
      </c>
      <c r="O191" s="18" t="str">
        <f t="shared" si="10"/>
        <v>LCSC</v>
      </c>
      <c r="P191" s="19">
        <v>0.1701</v>
      </c>
      <c r="Q191" s="17">
        <f t="shared" si="9"/>
        <v>68.040000000000006</v>
      </c>
      <c r="R191" s="9"/>
    </row>
    <row r="192" spans="1:18" s="1" customFormat="1" ht="24">
      <c r="A192" s="6"/>
      <c r="B192" s="10">
        <f t="shared" si="0"/>
        <v>190</v>
      </c>
      <c r="C192" s="11" t="s">
        <v>982</v>
      </c>
      <c r="D192" s="12" t="s">
        <v>1119</v>
      </c>
      <c r="E192" s="12" t="s">
        <v>1120</v>
      </c>
      <c r="F192" s="12" t="s">
        <v>1121</v>
      </c>
      <c r="G192" s="12" t="s">
        <v>1122</v>
      </c>
      <c r="H192" s="12" t="s">
        <v>1123</v>
      </c>
      <c r="I192" s="12" t="s">
        <v>23</v>
      </c>
      <c r="J192" s="12" t="s">
        <v>1124</v>
      </c>
      <c r="K192" s="12" t="s">
        <v>23</v>
      </c>
      <c r="L192" s="12">
        <v>1</v>
      </c>
      <c r="M192" s="9">
        <f t="shared" si="7"/>
        <v>200</v>
      </c>
      <c r="N192" s="9">
        <v>200</v>
      </c>
      <c r="O192" s="18" t="str">
        <f t="shared" si="10"/>
        <v>LCSC</v>
      </c>
      <c r="P192" s="17">
        <v>1.1559999999999999</v>
      </c>
      <c r="Q192" s="19">
        <f t="shared" si="9"/>
        <v>231.2</v>
      </c>
      <c r="R192" s="12"/>
    </row>
    <row r="193" spans="1:18" s="1" customFormat="1" ht="36">
      <c r="A193" s="6"/>
      <c r="B193" s="7">
        <f>ROW(B193)-ROW($B$2)</f>
        <v>191</v>
      </c>
      <c r="C193" s="8" t="s">
        <v>982</v>
      </c>
      <c r="D193" s="9" t="s">
        <v>1126</v>
      </c>
      <c r="E193" s="9" t="s">
        <v>1127</v>
      </c>
      <c r="F193" s="9" t="s">
        <v>1036</v>
      </c>
      <c r="G193" s="9" t="s">
        <v>1128</v>
      </c>
      <c r="H193" s="9" t="s">
        <v>1129</v>
      </c>
      <c r="I193" s="12" t="s">
        <v>23</v>
      </c>
      <c r="J193" s="9" t="s">
        <v>1130</v>
      </c>
      <c r="K193" s="12" t="s">
        <v>23</v>
      </c>
      <c r="L193" s="9">
        <v>1</v>
      </c>
      <c r="M193" s="9">
        <f t="shared" si="7"/>
        <v>200</v>
      </c>
      <c r="N193" s="12">
        <v>200</v>
      </c>
      <c r="O193" s="18" t="str">
        <f t="shared" si="10"/>
        <v>LCSC</v>
      </c>
      <c r="P193" s="19">
        <v>5.57E-2</v>
      </c>
      <c r="Q193" s="17">
        <f t="shared" si="9"/>
        <v>11.14</v>
      </c>
      <c r="R193" s="9"/>
    </row>
    <row r="194" spans="1:18" s="1" customFormat="1">
      <c r="A194" s="6"/>
      <c r="B194" s="10">
        <f t="shared" si="0"/>
        <v>192</v>
      </c>
      <c r="C194" s="11" t="s">
        <v>1132</v>
      </c>
      <c r="D194" s="12" t="s">
        <v>1133</v>
      </c>
      <c r="E194" s="12" t="s">
        <v>1134</v>
      </c>
      <c r="F194" s="9" t="s">
        <v>20</v>
      </c>
      <c r="G194" s="12" t="s">
        <v>1135</v>
      </c>
      <c r="H194" s="12" t="s">
        <v>1136</v>
      </c>
      <c r="I194" s="12" t="s">
        <v>23</v>
      </c>
      <c r="J194" s="12" t="s">
        <v>1137</v>
      </c>
      <c r="K194" s="12" t="s">
        <v>1138</v>
      </c>
      <c r="L194" s="12">
        <v>1</v>
      </c>
      <c r="M194" s="9">
        <f t="shared" si="7"/>
        <v>200</v>
      </c>
      <c r="N194" s="9">
        <v>200</v>
      </c>
      <c r="O194" s="18" t="str">
        <f t="shared" si="10"/>
        <v>LCSC</v>
      </c>
      <c r="P194" s="17">
        <v>0.1817</v>
      </c>
      <c r="Q194" s="19">
        <f t="shared" si="9"/>
        <v>36.340000000000003</v>
      </c>
      <c r="R194" s="12"/>
    </row>
    <row r="195" spans="1:18" s="1" customFormat="1" ht="36">
      <c r="A195" s="6"/>
      <c r="B195" s="7">
        <f>ROW(B195)-ROW($B$2)</f>
        <v>193</v>
      </c>
      <c r="C195" s="8" t="s">
        <v>1132</v>
      </c>
      <c r="D195" s="9" t="s">
        <v>1140</v>
      </c>
      <c r="E195" s="9" t="s">
        <v>1141</v>
      </c>
      <c r="F195" s="9" t="s">
        <v>1142</v>
      </c>
      <c r="G195" s="9" t="s">
        <v>1143</v>
      </c>
      <c r="H195" s="9" t="s">
        <v>1144</v>
      </c>
      <c r="I195" s="12" t="s">
        <v>23</v>
      </c>
      <c r="J195" s="9" t="s">
        <v>1145</v>
      </c>
      <c r="K195" s="9" t="s">
        <v>1146</v>
      </c>
      <c r="L195" s="9">
        <v>1</v>
      </c>
      <c r="M195" s="9">
        <f t="shared" si="7"/>
        <v>200</v>
      </c>
      <c r="N195" s="12">
        <v>200</v>
      </c>
      <c r="O195" s="18" t="str">
        <f t="shared" si="10"/>
        <v>LCSC</v>
      </c>
      <c r="P195" s="19">
        <v>5.74E-2</v>
      </c>
      <c r="Q195" s="17">
        <f t="shared" si="9"/>
        <v>11.48</v>
      </c>
      <c r="R195" s="9"/>
    </row>
    <row r="196" spans="1:18" s="1" customFormat="1" ht="24.75" thickBot="1">
      <c r="A196" s="6"/>
      <c r="B196" s="10">
        <f t="shared" si="0"/>
        <v>194</v>
      </c>
      <c r="C196" s="8" t="s">
        <v>1132</v>
      </c>
      <c r="D196" s="12" t="s">
        <v>1148</v>
      </c>
      <c r="E196" s="12" t="s">
        <v>1149</v>
      </c>
      <c r="F196" s="9" t="s">
        <v>20</v>
      </c>
      <c r="G196" s="12" t="s">
        <v>1150</v>
      </c>
      <c r="H196" s="12" t="s">
        <v>1151</v>
      </c>
      <c r="I196" s="12" t="s">
        <v>23</v>
      </c>
      <c r="J196" s="12" t="s">
        <v>1152</v>
      </c>
      <c r="K196" s="12" t="s">
        <v>1153</v>
      </c>
      <c r="L196" s="12">
        <v>1</v>
      </c>
      <c r="M196" s="9">
        <f t="shared" ref="M196" si="11">L196*200</f>
        <v>200</v>
      </c>
      <c r="N196" s="9">
        <v>200</v>
      </c>
      <c r="O196" s="18" t="str">
        <f t="shared" si="10"/>
        <v>LCSC</v>
      </c>
      <c r="P196" s="17">
        <v>0.17610000000000001</v>
      </c>
      <c r="Q196" s="19">
        <f t="shared" si="9"/>
        <v>35.22</v>
      </c>
      <c r="R196" s="12"/>
    </row>
    <row r="197" spans="1:18" ht="19.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4" t="s">
        <v>1155</v>
      </c>
      <c r="O197" s="35"/>
      <c r="P197" s="35"/>
      <c r="Q197" s="28">
        <f>SUM(Q3:Q196)</f>
        <v>12121.417999999996</v>
      </c>
      <c r="R197" s="2"/>
    </row>
    <row r="198" spans="1:18" ht="19.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4" t="s">
        <v>1156</v>
      </c>
      <c r="O198" s="35"/>
      <c r="P198" s="35"/>
      <c r="Q198" s="29">
        <f>Q197/200</f>
        <v>60.607089999999978</v>
      </c>
      <c r="R198" s="2"/>
    </row>
  </sheetData>
  <mergeCells count="3">
    <mergeCell ref="K1:R1"/>
    <mergeCell ref="N197:P197"/>
    <mergeCell ref="N198:P198"/>
  </mergeCells>
  <hyperlinks>
    <hyperlink ref="O4" r:id="rId1"/>
    <hyperlink ref="O5" r:id="rId2"/>
    <hyperlink ref="O6" r:id="rId3"/>
    <hyperlink ref="O7" r:id="rId4"/>
    <hyperlink ref="O8" r:id="rId5"/>
    <hyperlink ref="O10" r:id="rId6"/>
    <hyperlink ref="O11" r:id="rId7"/>
    <hyperlink ref="O12" r:id="rId8"/>
    <hyperlink ref="O13" r:id="rId9"/>
    <hyperlink ref="O14" r:id="rId10"/>
    <hyperlink ref="O15" r:id="rId11"/>
    <hyperlink ref="O16" r:id="rId12"/>
    <hyperlink ref="O17" r:id="rId13"/>
    <hyperlink ref="O18" r:id="rId14"/>
    <hyperlink ref="O19" r:id="rId15"/>
    <hyperlink ref="O20" r:id="rId16"/>
    <hyperlink ref="O21" r:id="rId17"/>
    <hyperlink ref="O22" r:id="rId18"/>
    <hyperlink ref="O23" r:id="rId19"/>
    <hyperlink ref="O24" r:id="rId20"/>
    <hyperlink ref="O25" r:id="rId21"/>
    <hyperlink ref="O26" r:id="rId22"/>
    <hyperlink ref="O27" r:id="rId23"/>
    <hyperlink ref="O28" r:id="rId24"/>
    <hyperlink ref="O3" r:id="rId25"/>
    <hyperlink ref="O29" r:id="rId26"/>
    <hyperlink ref="O31" r:id="rId27"/>
    <hyperlink ref="O32" r:id="rId28"/>
    <hyperlink ref="O33" r:id="rId29"/>
    <hyperlink ref="O34" r:id="rId30"/>
    <hyperlink ref="O35" r:id="rId31"/>
    <hyperlink ref="O36" r:id="rId32"/>
    <hyperlink ref="O37" r:id="rId33"/>
    <hyperlink ref="O38" r:id="rId34"/>
    <hyperlink ref="O39" r:id="rId35"/>
    <hyperlink ref="O40" r:id="rId36"/>
    <hyperlink ref="O41" r:id="rId37"/>
    <hyperlink ref="O42" r:id="rId38"/>
    <hyperlink ref="O43" r:id="rId39"/>
    <hyperlink ref="O44" r:id="rId40"/>
    <hyperlink ref="O45" r:id="rId41"/>
    <hyperlink ref="O46" r:id="rId42"/>
    <hyperlink ref="O47" r:id="rId43"/>
    <hyperlink ref="O48" r:id="rId44"/>
    <hyperlink ref="O49" r:id="rId45"/>
    <hyperlink ref="O50" r:id="rId46"/>
    <hyperlink ref="O51" r:id="rId47"/>
    <hyperlink ref="O52" r:id="rId48"/>
    <hyperlink ref="O53" r:id="rId49"/>
    <hyperlink ref="O54" r:id="rId50"/>
    <hyperlink ref="O55" r:id="rId51"/>
    <hyperlink ref="O56" r:id="rId52"/>
    <hyperlink ref="O57" r:id="rId53"/>
    <hyperlink ref="O58" r:id="rId54"/>
    <hyperlink ref="O60" r:id="rId55"/>
    <hyperlink ref="O30" r:id="rId56"/>
    <hyperlink ref="O59" r:id="rId57"/>
    <hyperlink ref="O61" r:id="rId58"/>
    <hyperlink ref="O63" r:id="rId59"/>
    <hyperlink ref="O62" r:id="rId60"/>
    <hyperlink ref="O64" r:id="rId61"/>
    <hyperlink ref="O65" r:id="rId62"/>
    <hyperlink ref="O66" r:id="rId63"/>
    <hyperlink ref="O67" r:id="rId64"/>
    <hyperlink ref="O68" r:id="rId65"/>
    <hyperlink ref="O69" r:id="rId66"/>
    <hyperlink ref="O70" r:id="rId67"/>
    <hyperlink ref="O71" r:id="rId68"/>
    <hyperlink ref="O72" r:id="rId69"/>
    <hyperlink ref="O73" r:id="rId70"/>
    <hyperlink ref="O74" r:id="rId71"/>
    <hyperlink ref="O75" r:id="rId72"/>
    <hyperlink ref="O76" r:id="rId73"/>
    <hyperlink ref="O77" r:id="rId74"/>
    <hyperlink ref="O78" r:id="rId75"/>
    <hyperlink ref="O79" r:id="rId76"/>
    <hyperlink ref="O80" r:id="rId77"/>
    <hyperlink ref="O81" r:id="rId78"/>
    <hyperlink ref="O82" r:id="rId79"/>
    <hyperlink ref="O83" r:id="rId80"/>
    <hyperlink ref="O84" r:id="rId81"/>
    <hyperlink ref="O86" r:id="rId82"/>
    <hyperlink ref="O85" r:id="rId83"/>
    <hyperlink ref="O88" r:id="rId84"/>
    <hyperlink ref="O89" r:id="rId85"/>
    <hyperlink ref="O90" r:id="rId86"/>
    <hyperlink ref="O91" r:id="rId87"/>
    <hyperlink ref="O92" r:id="rId88"/>
    <hyperlink ref="O93" r:id="rId89"/>
    <hyperlink ref="O95" r:id="rId90"/>
    <hyperlink ref="O96" r:id="rId91"/>
    <hyperlink ref="O97" r:id="rId92"/>
    <hyperlink ref="O98" r:id="rId93"/>
    <hyperlink ref="O99" r:id="rId94"/>
    <hyperlink ref="O100" r:id="rId95"/>
    <hyperlink ref="O101" r:id="rId96"/>
    <hyperlink ref="O102" r:id="rId97"/>
    <hyperlink ref="O103" r:id="rId98"/>
    <hyperlink ref="O104" r:id="rId99"/>
    <hyperlink ref="O105" r:id="rId100"/>
    <hyperlink ref="O106" r:id="rId101"/>
    <hyperlink ref="O107" r:id="rId102"/>
    <hyperlink ref="O108" r:id="rId103"/>
    <hyperlink ref="O109" r:id="rId104"/>
    <hyperlink ref="O110" r:id="rId105"/>
    <hyperlink ref="O111" r:id="rId106"/>
    <hyperlink ref="O112" r:id="rId107"/>
    <hyperlink ref="O113" r:id="rId108"/>
    <hyperlink ref="O114" r:id="rId109"/>
    <hyperlink ref="O115" r:id="rId110"/>
    <hyperlink ref="O116" r:id="rId111"/>
    <hyperlink ref="O117" r:id="rId112"/>
    <hyperlink ref="O118" r:id="rId113"/>
    <hyperlink ref="O119" r:id="rId114"/>
    <hyperlink ref="O120" r:id="rId115"/>
    <hyperlink ref="O121" r:id="rId116"/>
    <hyperlink ref="O122" r:id="rId117"/>
    <hyperlink ref="O123" r:id="rId118"/>
    <hyperlink ref="O124" r:id="rId119"/>
    <hyperlink ref="O125" r:id="rId120"/>
    <hyperlink ref="O126" r:id="rId121"/>
    <hyperlink ref="O127" r:id="rId122"/>
    <hyperlink ref="O128" r:id="rId123"/>
    <hyperlink ref="O129" r:id="rId124"/>
    <hyperlink ref="O130" r:id="rId125"/>
    <hyperlink ref="O131" r:id="rId126"/>
    <hyperlink ref="O132" r:id="rId127"/>
    <hyperlink ref="O133" r:id="rId128"/>
    <hyperlink ref="O134" r:id="rId129"/>
    <hyperlink ref="O135" r:id="rId130"/>
    <hyperlink ref="O136" r:id="rId131"/>
    <hyperlink ref="O137" r:id="rId132"/>
    <hyperlink ref="O138" r:id="rId133"/>
    <hyperlink ref="O139" r:id="rId134"/>
    <hyperlink ref="O140" r:id="rId135"/>
    <hyperlink ref="O141" r:id="rId136"/>
    <hyperlink ref="O142" r:id="rId137"/>
    <hyperlink ref="O143" r:id="rId138"/>
    <hyperlink ref="O144" r:id="rId139"/>
    <hyperlink ref="O145" r:id="rId140"/>
    <hyperlink ref="O146" r:id="rId141"/>
    <hyperlink ref="O147" r:id="rId142"/>
    <hyperlink ref="O153" r:id="rId143"/>
    <hyperlink ref="O167" r:id="rId144"/>
    <hyperlink ref="O168" r:id="rId145"/>
    <hyperlink ref="O169" r:id="rId146"/>
    <hyperlink ref="O170" r:id="rId147"/>
    <hyperlink ref="O171" r:id="rId148"/>
    <hyperlink ref="O172" r:id="rId149"/>
    <hyperlink ref="O173" r:id="rId150"/>
    <hyperlink ref="O174" r:id="rId151"/>
    <hyperlink ref="O175" r:id="rId152"/>
    <hyperlink ref="O176" r:id="rId153"/>
    <hyperlink ref="O177" r:id="rId154"/>
    <hyperlink ref="O178" r:id="rId155"/>
    <hyperlink ref="O179" r:id="rId156"/>
    <hyperlink ref="O180" r:id="rId157"/>
    <hyperlink ref="O181" r:id="rId158"/>
    <hyperlink ref="O182" r:id="rId159"/>
    <hyperlink ref="O185" r:id="rId160"/>
    <hyperlink ref="O186" r:id="rId161"/>
    <hyperlink ref="O148" r:id="rId162"/>
    <hyperlink ref="O149" r:id="rId163"/>
    <hyperlink ref="O150" r:id="rId164"/>
    <hyperlink ref="O152" r:id="rId165"/>
    <hyperlink ref="O154" r:id="rId166"/>
    <hyperlink ref="O155" r:id="rId167"/>
    <hyperlink ref="O156" r:id="rId168"/>
    <hyperlink ref="O157" r:id="rId169"/>
    <hyperlink ref="O158" r:id="rId170"/>
    <hyperlink ref="O159" r:id="rId171"/>
    <hyperlink ref="O160" r:id="rId172"/>
    <hyperlink ref="O161" r:id="rId173"/>
    <hyperlink ref="O162" r:id="rId174"/>
    <hyperlink ref="O163" r:id="rId175"/>
    <hyperlink ref="O164" r:id="rId176"/>
    <hyperlink ref="O165" r:id="rId177"/>
    <hyperlink ref="O166" r:id="rId178"/>
    <hyperlink ref="O183" r:id="rId179"/>
    <hyperlink ref="O184" r:id="rId180"/>
    <hyperlink ref="O9" r:id="rId181"/>
    <hyperlink ref="O94" r:id="rId1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abSelected="1" topLeftCell="E3" workbookViewId="0">
      <selection activeCell="P31" sqref="P31"/>
    </sheetView>
  </sheetViews>
  <sheetFormatPr defaultRowHeight="15"/>
  <cols>
    <col min="2" max="2" width="4" bestFit="1" customWidth="1"/>
    <col min="3" max="3" width="16.42578125" customWidth="1"/>
    <col min="4" max="4" width="28.5703125" customWidth="1"/>
    <col min="5" max="5" width="29.140625" customWidth="1"/>
    <col min="6" max="6" width="15.140625" customWidth="1"/>
    <col min="7" max="7" width="25.28515625" bestFit="1" customWidth="1"/>
    <col min="8" max="8" width="18.140625" customWidth="1"/>
    <col min="9" max="9" width="21.5703125" bestFit="1" customWidth="1"/>
    <col min="10" max="10" width="17" bestFit="1" customWidth="1"/>
    <col min="11" max="11" width="11.28515625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10.140625" customWidth="1"/>
    <col min="16" max="16" width="20.7109375" bestFit="1" customWidth="1"/>
    <col min="17" max="17" width="21.42578125" bestFit="1" customWidth="1"/>
    <col min="18" max="18" width="12.140625" customWidth="1"/>
  </cols>
  <sheetData>
    <row r="1" spans="1:18" ht="15.75" thickBot="1">
      <c r="A1" s="2"/>
      <c r="B1" s="3"/>
      <c r="C1" s="3"/>
      <c r="D1" s="4"/>
      <c r="E1" s="4"/>
      <c r="F1" s="4"/>
      <c r="G1" s="4"/>
      <c r="H1" s="4"/>
      <c r="I1" s="4"/>
      <c r="J1" s="4"/>
      <c r="K1" s="33"/>
      <c r="L1" s="33"/>
      <c r="M1" s="33"/>
      <c r="N1" s="33"/>
      <c r="O1" s="33"/>
      <c r="P1" s="33"/>
      <c r="Q1" s="33"/>
      <c r="R1" s="33"/>
    </row>
    <row r="2" spans="1:18" ht="15.75" thickBot="1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1289</v>
      </c>
      <c r="N2" s="5" t="s">
        <v>1290</v>
      </c>
      <c r="O2" s="5" t="s">
        <v>13</v>
      </c>
      <c r="P2" s="5" t="s">
        <v>1291</v>
      </c>
      <c r="Q2" s="5" t="s">
        <v>1292</v>
      </c>
      <c r="R2" s="5" t="s">
        <v>16</v>
      </c>
    </row>
    <row r="3" spans="1:18" s="1" customFormat="1" ht="24">
      <c r="A3" s="6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>
        <v>14</v>
      </c>
      <c r="M3" s="9">
        <f>L3*500</f>
        <v>7000</v>
      </c>
      <c r="N3" s="9">
        <v>7000</v>
      </c>
      <c r="O3" s="16" t="s">
        <v>26</v>
      </c>
      <c r="P3" s="17">
        <v>1.15E-2</v>
      </c>
      <c r="Q3" s="17">
        <f>P3*N3</f>
        <v>80.5</v>
      </c>
      <c r="R3" s="9"/>
    </row>
    <row r="4" spans="1:18" s="1" customFormat="1">
      <c r="A4" s="6"/>
      <c r="B4" s="10">
        <f t="shared" ref="B4:B196" si="0"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12" t="s">
        <v>33</v>
      </c>
      <c r="L4" s="12">
        <v>1</v>
      </c>
      <c r="M4" s="9">
        <f t="shared" ref="M4:M67" si="1">L4*500</f>
        <v>500</v>
      </c>
      <c r="N4" s="12">
        <v>500</v>
      </c>
      <c r="O4" s="18" t="s">
        <v>26</v>
      </c>
      <c r="P4" s="19">
        <v>1.04E-2</v>
      </c>
      <c r="Q4" s="19">
        <f t="shared" ref="Q4:Q67" si="2">P4*N4</f>
        <v>5.2</v>
      </c>
      <c r="R4" s="12"/>
    </row>
    <row r="5" spans="1:18" s="1" customFormat="1">
      <c r="A5" s="6"/>
      <c r="B5" s="7">
        <f>ROW(B5)-ROW($B$2)</f>
        <v>3</v>
      </c>
      <c r="C5" s="8" t="s">
        <v>17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31</v>
      </c>
      <c r="I5" s="9" t="s">
        <v>23</v>
      </c>
      <c r="J5" s="9" t="s">
        <v>40</v>
      </c>
      <c r="K5" s="9" t="s">
        <v>41</v>
      </c>
      <c r="L5" s="9">
        <v>6</v>
      </c>
      <c r="M5" s="9">
        <f t="shared" si="1"/>
        <v>3000</v>
      </c>
      <c r="N5" s="9">
        <v>3000</v>
      </c>
      <c r="O5" s="18" t="s">
        <v>26</v>
      </c>
      <c r="P5" s="17">
        <v>4.7999999999999996E-3</v>
      </c>
      <c r="Q5" s="17">
        <f t="shared" si="2"/>
        <v>14.399999999999999</v>
      </c>
      <c r="R5" s="9"/>
    </row>
    <row r="6" spans="1:18" s="1" customFormat="1">
      <c r="A6" s="6"/>
      <c r="B6" s="10">
        <f t="shared" si="0"/>
        <v>4</v>
      </c>
      <c r="C6" s="11" t="s">
        <v>17</v>
      </c>
      <c r="D6" s="12" t="s">
        <v>44</v>
      </c>
      <c r="E6" s="12" t="s">
        <v>45</v>
      </c>
      <c r="F6" s="12" t="s">
        <v>46</v>
      </c>
      <c r="G6" s="12" t="s">
        <v>47</v>
      </c>
      <c r="H6" s="12" t="s">
        <v>31</v>
      </c>
      <c r="I6" s="9" t="s">
        <v>23</v>
      </c>
      <c r="J6" s="12" t="s">
        <v>48</v>
      </c>
      <c r="K6" s="12" t="s">
        <v>49</v>
      </c>
      <c r="L6" s="12">
        <v>2</v>
      </c>
      <c r="M6" s="9">
        <f t="shared" si="1"/>
        <v>1000</v>
      </c>
      <c r="N6" s="12">
        <v>1000</v>
      </c>
      <c r="O6" s="18" t="s">
        <v>26</v>
      </c>
      <c r="P6" s="19">
        <v>1.6999999999999999E-3</v>
      </c>
      <c r="Q6" s="19">
        <f t="shared" si="2"/>
        <v>1.7</v>
      </c>
      <c r="R6" s="12"/>
    </row>
    <row r="7" spans="1:18" s="1" customFormat="1" ht="36">
      <c r="A7" s="6"/>
      <c r="B7" s="7">
        <f>ROW(B7)-ROW($B$2)</f>
        <v>5</v>
      </c>
      <c r="C7" s="8" t="s">
        <v>17</v>
      </c>
      <c r="D7" s="9" t="s">
        <v>51</v>
      </c>
      <c r="E7" s="9" t="s">
        <v>52</v>
      </c>
      <c r="F7" s="9" t="s">
        <v>38</v>
      </c>
      <c r="G7" s="9" t="s">
        <v>53</v>
      </c>
      <c r="H7" s="9" t="s">
        <v>31</v>
      </c>
      <c r="I7" s="9" t="s">
        <v>23</v>
      </c>
      <c r="J7" s="9" t="s">
        <v>54</v>
      </c>
      <c r="K7" s="9" t="s">
        <v>33</v>
      </c>
      <c r="L7" s="9">
        <v>21</v>
      </c>
      <c r="M7" s="9">
        <f t="shared" si="1"/>
        <v>10500</v>
      </c>
      <c r="N7" s="9">
        <v>10500</v>
      </c>
      <c r="O7" s="18" t="s">
        <v>26</v>
      </c>
      <c r="P7" s="17">
        <v>2E-3</v>
      </c>
      <c r="Q7" s="17">
        <f t="shared" si="2"/>
        <v>21</v>
      </c>
      <c r="R7" s="9"/>
    </row>
    <row r="8" spans="1:18" s="1" customFormat="1">
      <c r="A8" s="6"/>
      <c r="B8" s="10">
        <f t="shared" si="0"/>
        <v>6</v>
      </c>
      <c r="C8" s="11" t="s">
        <v>17</v>
      </c>
      <c r="D8" s="12" t="s">
        <v>56</v>
      </c>
      <c r="E8" s="12" t="s">
        <v>57</v>
      </c>
      <c r="F8" s="12" t="s">
        <v>46</v>
      </c>
      <c r="G8" s="12" t="s">
        <v>58</v>
      </c>
      <c r="H8" s="12" t="s">
        <v>31</v>
      </c>
      <c r="I8" s="9" t="s">
        <v>23</v>
      </c>
      <c r="J8" s="12" t="s">
        <v>59</v>
      </c>
      <c r="K8" s="12" t="s">
        <v>41</v>
      </c>
      <c r="L8" s="12">
        <v>4</v>
      </c>
      <c r="M8" s="9">
        <f t="shared" si="1"/>
        <v>2000</v>
      </c>
      <c r="N8" s="12">
        <v>2000</v>
      </c>
      <c r="O8" s="18" t="s">
        <v>26</v>
      </c>
      <c r="P8" s="19">
        <v>3.3E-3</v>
      </c>
      <c r="Q8" s="19">
        <f t="shared" si="2"/>
        <v>6.6</v>
      </c>
      <c r="R8" s="12"/>
    </row>
    <row r="9" spans="1:18" s="1" customFormat="1">
      <c r="A9" s="6"/>
      <c r="B9" s="7">
        <f>ROW(B9)-ROW($B$2)</f>
        <v>7</v>
      </c>
      <c r="C9" s="8" t="s">
        <v>17</v>
      </c>
      <c r="D9" s="9" t="s">
        <v>61</v>
      </c>
      <c r="E9" s="9" t="s">
        <v>62</v>
      </c>
      <c r="F9" s="9" t="s">
        <v>20</v>
      </c>
      <c r="G9" s="13" t="s">
        <v>63</v>
      </c>
      <c r="H9" s="9" t="s">
        <v>64</v>
      </c>
      <c r="I9" s="9" t="s">
        <v>1287</v>
      </c>
      <c r="J9" s="9" t="s">
        <v>23</v>
      </c>
      <c r="K9" s="9" t="s">
        <v>66</v>
      </c>
      <c r="L9" s="9">
        <v>1</v>
      </c>
      <c r="M9" s="9">
        <f t="shared" si="1"/>
        <v>500</v>
      </c>
      <c r="N9" s="9">
        <v>500</v>
      </c>
      <c r="O9" s="18" t="s">
        <v>1288</v>
      </c>
      <c r="P9" s="17">
        <v>0.28573999999999999</v>
      </c>
      <c r="Q9" s="17">
        <f t="shared" si="2"/>
        <v>142.87</v>
      </c>
      <c r="R9" s="9"/>
    </row>
    <row r="10" spans="1:18" s="1" customFormat="1">
      <c r="A10" s="6"/>
      <c r="B10" s="10">
        <f t="shared" si="0"/>
        <v>8</v>
      </c>
      <c r="C10" s="11" t="s">
        <v>17</v>
      </c>
      <c r="D10" s="12" t="s">
        <v>68</v>
      </c>
      <c r="E10" s="12" t="s">
        <v>69</v>
      </c>
      <c r="F10" s="12" t="s">
        <v>46</v>
      </c>
      <c r="G10" s="12" t="s">
        <v>70</v>
      </c>
      <c r="H10" s="12" t="s">
        <v>71</v>
      </c>
      <c r="I10" s="12" t="s">
        <v>23</v>
      </c>
      <c r="J10" s="12" t="s">
        <v>72</v>
      </c>
      <c r="K10" s="12" t="s">
        <v>73</v>
      </c>
      <c r="L10" s="12">
        <v>2</v>
      </c>
      <c r="M10" s="9">
        <f t="shared" si="1"/>
        <v>1000</v>
      </c>
      <c r="N10" s="12">
        <v>1000</v>
      </c>
      <c r="O10" s="18" t="s">
        <v>26</v>
      </c>
      <c r="P10" s="19">
        <v>7.1999999999999998E-3</v>
      </c>
      <c r="Q10" s="19">
        <f t="shared" si="2"/>
        <v>7.2</v>
      </c>
      <c r="R10" s="12"/>
    </row>
    <row r="11" spans="1:18" s="1" customFormat="1" ht="36">
      <c r="A11" s="6"/>
      <c r="B11" s="7">
        <f>ROW(B11)-ROW($B$2)</f>
        <v>9</v>
      </c>
      <c r="C11" s="11" t="s">
        <v>17</v>
      </c>
      <c r="D11" s="9" t="s">
        <v>75</v>
      </c>
      <c r="E11" s="9" t="s">
        <v>76</v>
      </c>
      <c r="F11" s="9" t="s">
        <v>46</v>
      </c>
      <c r="G11" s="9" t="s">
        <v>77</v>
      </c>
      <c r="H11" s="9" t="s">
        <v>71</v>
      </c>
      <c r="I11" s="12" t="s">
        <v>23</v>
      </c>
      <c r="J11" s="9" t="s">
        <v>78</v>
      </c>
      <c r="K11" s="9" t="s">
        <v>33</v>
      </c>
      <c r="L11" s="9">
        <v>15</v>
      </c>
      <c r="M11" s="9">
        <f t="shared" si="1"/>
        <v>7500</v>
      </c>
      <c r="N11" s="9">
        <v>7500</v>
      </c>
      <c r="O11" s="18" t="s">
        <v>26</v>
      </c>
      <c r="P11" s="17">
        <v>5.1900000000000002E-2</v>
      </c>
      <c r="Q11" s="17">
        <f t="shared" si="2"/>
        <v>389.25</v>
      </c>
      <c r="R11" s="9"/>
    </row>
    <row r="12" spans="1:18" s="1" customFormat="1" ht="36">
      <c r="A12" s="6"/>
      <c r="B12" s="10">
        <f t="shared" si="0"/>
        <v>10</v>
      </c>
      <c r="C12" s="11" t="s">
        <v>17</v>
      </c>
      <c r="D12" s="12" t="s">
        <v>81</v>
      </c>
      <c r="E12" s="12" t="s">
        <v>82</v>
      </c>
      <c r="F12" s="9" t="s">
        <v>20</v>
      </c>
      <c r="G12" s="12" t="s">
        <v>83</v>
      </c>
      <c r="H12" s="12" t="s">
        <v>84</v>
      </c>
      <c r="I12" s="12" t="s">
        <v>23</v>
      </c>
      <c r="J12" s="12" t="s">
        <v>85</v>
      </c>
      <c r="K12" s="12" t="s">
        <v>86</v>
      </c>
      <c r="L12" s="12">
        <v>1</v>
      </c>
      <c r="M12" s="9">
        <f t="shared" si="1"/>
        <v>500</v>
      </c>
      <c r="N12" s="12">
        <v>500</v>
      </c>
      <c r="O12" s="18" t="s">
        <v>26</v>
      </c>
      <c r="P12" s="19">
        <v>0.19020000000000001</v>
      </c>
      <c r="Q12" s="19">
        <f t="shared" si="2"/>
        <v>95.100000000000009</v>
      </c>
      <c r="R12" s="12"/>
    </row>
    <row r="13" spans="1:18" s="1" customFormat="1" ht="24">
      <c r="A13" s="6"/>
      <c r="B13" s="7">
        <f>ROW(B13)-ROW($B$2)</f>
        <v>11</v>
      </c>
      <c r="C13" s="11" t="s">
        <v>17</v>
      </c>
      <c r="D13" s="9" t="s">
        <v>89</v>
      </c>
      <c r="E13" s="9" t="s">
        <v>90</v>
      </c>
      <c r="F13" s="9" t="s">
        <v>38</v>
      </c>
      <c r="G13" s="9" t="s">
        <v>91</v>
      </c>
      <c r="H13" s="9" t="s">
        <v>31</v>
      </c>
      <c r="I13" s="12" t="s">
        <v>23</v>
      </c>
      <c r="J13" s="9" t="s">
        <v>92</v>
      </c>
      <c r="K13" s="9" t="s">
        <v>93</v>
      </c>
      <c r="L13" s="9">
        <v>1</v>
      </c>
      <c r="M13" s="9">
        <f t="shared" si="1"/>
        <v>500</v>
      </c>
      <c r="N13" s="9">
        <v>500</v>
      </c>
      <c r="O13" s="18" t="s">
        <v>26</v>
      </c>
      <c r="P13" s="17" t="s">
        <v>94</v>
      </c>
      <c r="Q13" s="17">
        <f t="shared" si="2"/>
        <v>1.3</v>
      </c>
      <c r="R13" s="9"/>
    </row>
    <row r="14" spans="1:18" s="1" customFormat="1">
      <c r="A14" s="6"/>
      <c r="B14" s="10">
        <f t="shared" si="0"/>
        <v>12</v>
      </c>
      <c r="C14" s="11" t="s">
        <v>17</v>
      </c>
      <c r="D14" s="12" t="s">
        <v>95</v>
      </c>
      <c r="E14" s="12" t="s">
        <v>96</v>
      </c>
      <c r="F14" s="12" t="s">
        <v>97</v>
      </c>
      <c r="G14" s="12" t="s">
        <v>98</v>
      </c>
      <c r="H14" s="12" t="s">
        <v>31</v>
      </c>
      <c r="I14" s="12" t="s">
        <v>23</v>
      </c>
      <c r="J14" s="12" t="s">
        <v>99</v>
      </c>
      <c r="K14" s="12" t="s">
        <v>100</v>
      </c>
      <c r="L14" s="12">
        <v>4</v>
      </c>
      <c r="M14" s="9">
        <f t="shared" si="1"/>
        <v>2000</v>
      </c>
      <c r="N14" s="12">
        <v>2000</v>
      </c>
      <c r="O14" s="18" t="s">
        <v>26</v>
      </c>
      <c r="P14" s="19">
        <v>8.0000000000000004E-4</v>
      </c>
      <c r="Q14" s="19">
        <f t="shared" si="2"/>
        <v>1.6</v>
      </c>
      <c r="R14" s="12"/>
    </row>
    <row r="15" spans="1:18" s="1" customFormat="1">
      <c r="A15" s="6"/>
      <c r="B15" s="7">
        <f>ROW(B15)-ROW($B$2)</f>
        <v>13</v>
      </c>
      <c r="C15" s="11" t="s">
        <v>17</v>
      </c>
      <c r="D15" s="9" t="s">
        <v>102</v>
      </c>
      <c r="E15" s="9" t="s">
        <v>103</v>
      </c>
      <c r="F15" s="9" t="s">
        <v>38</v>
      </c>
      <c r="G15" s="9" t="s">
        <v>104</v>
      </c>
      <c r="H15" s="9" t="s">
        <v>31</v>
      </c>
      <c r="I15" s="12" t="s">
        <v>23</v>
      </c>
      <c r="J15" s="9" t="s">
        <v>105</v>
      </c>
      <c r="K15" s="9" t="s">
        <v>41</v>
      </c>
      <c r="L15" s="9">
        <v>5</v>
      </c>
      <c r="M15" s="9">
        <f t="shared" si="1"/>
        <v>2500</v>
      </c>
      <c r="N15" s="9">
        <v>2500</v>
      </c>
      <c r="O15" s="18" t="s">
        <v>26</v>
      </c>
      <c r="P15" s="17">
        <v>1.4800000000000001E-2</v>
      </c>
      <c r="Q15" s="17">
        <f t="shared" si="2"/>
        <v>37</v>
      </c>
      <c r="R15" s="9"/>
    </row>
    <row r="16" spans="1:18" s="1" customFormat="1">
      <c r="A16" s="6"/>
      <c r="B16" s="10">
        <f t="shared" si="0"/>
        <v>14</v>
      </c>
      <c r="C16" s="11" t="s">
        <v>17</v>
      </c>
      <c r="D16" s="12" t="s">
        <v>108</v>
      </c>
      <c r="E16" s="12" t="s">
        <v>109</v>
      </c>
      <c r="F16" s="12" t="s">
        <v>29</v>
      </c>
      <c r="G16" s="12" t="s">
        <v>110</v>
      </c>
      <c r="H16" s="12" t="s">
        <v>31</v>
      </c>
      <c r="I16" s="12" t="s">
        <v>23</v>
      </c>
      <c r="J16" s="12" t="s">
        <v>111</v>
      </c>
      <c r="K16" s="12" t="s">
        <v>112</v>
      </c>
      <c r="L16" s="12">
        <v>1</v>
      </c>
      <c r="M16" s="9">
        <f t="shared" si="1"/>
        <v>500</v>
      </c>
      <c r="N16" s="12">
        <v>500</v>
      </c>
      <c r="O16" s="18" t="s">
        <v>26</v>
      </c>
      <c r="P16" s="19">
        <v>2.2100000000000002E-2</v>
      </c>
      <c r="Q16" s="19">
        <f t="shared" si="2"/>
        <v>11.05</v>
      </c>
      <c r="R16" s="12"/>
    </row>
    <row r="17" spans="1:18" s="1" customFormat="1">
      <c r="A17" s="6"/>
      <c r="B17" s="7">
        <f>ROW(B17)-ROW($B$2)</f>
        <v>15</v>
      </c>
      <c r="C17" s="11" t="s">
        <v>17</v>
      </c>
      <c r="D17" s="9" t="s">
        <v>115</v>
      </c>
      <c r="E17" s="9" t="s">
        <v>116</v>
      </c>
      <c r="F17" s="9" t="s">
        <v>46</v>
      </c>
      <c r="G17" s="9" t="s">
        <v>117</v>
      </c>
      <c r="H17" s="9" t="s">
        <v>31</v>
      </c>
      <c r="I17" s="12" t="s">
        <v>23</v>
      </c>
      <c r="J17" s="9" t="s">
        <v>118</v>
      </c>
      <c r="K17" s="9" t="s">
        <v>119</v>
      </c>
      <c r="L17" s="9">
        <v>2</v>
      </c>
      <c r="M17" s="9">
        <f t="shared" si="1"/>
        <v>1000</v>
      </c>
      <c r="N17" s="9">
        <v>1000</v>
      </c>
      <c r="O17" s="18" t="s">
        <v>26</v>
      </c>
      <c r="P17" s="17">
        <v>8.9999999999999998E-4</v>
      </c>
      <c r="Q17" s="17">
        <f t="shared" si="2"/>
        <v>0.9</v>
      </c>
      <c r="R17" s="9"/>
    </row>
    <row r="18" spans="1:18" s="1" customFormat="1">
      <c r="A18" s="6"/>
      <c r="B18" s="10">
        <f t="shared" si="0"/>
        <v>16</v>
      </c>
      <c r="C18" s="11" t="s">
        <v>17</v>
      </c>
      <c r="D18" s="12" t="s">
        <v>121</v>
      </c>
      <c r="E18" s="12" t="s">
        <v>122</v>
      </c>
      <c r="F18" s="12" t="s">
        <v>46</v>
      </c>
      <c r="G18" s="12" t="s">
        <v>123</v>
      </c>
      <c r="H18" s="12" t="s">
        <v>31</v>
      </c>
      <c r="I18" s="12" t="s">
        <v>23</v>
      </c>
      <c r="J18" s="12" t="s">
        <v>124</v>
      </c>
      <c r="K18" s="12" t="s">
        <v>33</v>
      </c>
      <c r="L18" s="12">
        <v>6</v>
      </c>
      <c r="M18" s="9">
        <f t="shared" si="1"/>
        <v>3000</v>
      </c>
      <c r="N18" s="12">
        <v>3000</v>
      </c>
      <c r="O18" s="18" t="s">
        <v>26</v>
      </c>
      <c r="P18" s="19">
        <v>1.1000000000000001E-3</v>
      </c>
      <c r="Q18" s="19">
        <f t="shared" si="2"/>
        <v>3.3000000000000003</v>
      </c>
      <c r="R18" s="12"/>
    </row>
    <row r="19" spans="1:18" s="1" customFormat="1">
      <c r="A19" s="6"/>
      <c r="B19" s="7">
        <f>ROW(B19)-ROW($B$2)</f>
        <v>17</v>
      </c>
      <c r="C19" s="11" t="s">
        <v>17</v>
      </c>
      <c r="D19" s="9" t="s">
        <v>126</v>
      </c>
      <c r="E19" s="9" t="s">
        <v>127</v>
      </c>
      <c r="F19" s="9" t="s">
        <v>38</v>
      </c>
      <c r="G19" s="9" t="s">
        <v>128</v>
      </c>
      <c r="H19" s="9" t="s">
        <v>129</v>
      </c>
      <c r="I19" s="12" t="s">
        <v>23</v>
      </c>
      <c r="J19" s="9" t="s">
        <v>130</v>
      </c>
      <c r="K19" s="9" t="s">
        <v>25</v>
      </c>
      <c r="L19" s="9">
        <v>1</v>
      </c>
      <c r="M19" s="9">
        <f t="shared" si="1"/>
        <v>500</v>
      </c>
      <c r="N19" s="9">
        <v>500</v>
      </c>
      <c r="O19" s="18" t="s">
        <v>26</v>
      </c>
      <c r="P19" s="17">
        <v>2.98E-2</v>
      </c>
      <c r="Q19" s="17">
        <f t="shared" si="2"/>
        <v>14.9</v>
      </c>
      <c r="R19" s="9"/>
    </row>
    <row r="20" spans="1:18" s="1" customFormat="1">
      <c r="A20" s="6"/>
      <c r="B20" s="10">
        <f t="shared" si="0"/>
        <v>18</v>
      </c>
      <c r="C20" s="11" t="s">
        <v>17</v>
      </c>
      <c r="D20" s="12" t="s">
        <v>133</v>
      </c>
      <c r="E20" s="12" t="s">
        <v>134</v>
      </c>
      <c r="F20" s="12" t="s">
        <v>135</v>
      </c>
      <c r="G20" s="12" t="s">
        <v>136</v>
      </c>
      <c r="H20" s="12" t="s">
        <v>137</v>
      </c>
      <c r="I20" s="12" t="s">
        <v>23</v>
      </c>
      <c r="J20" s="12" t="s">
        <v>138</v>
      </c>
      <c r="K20" s="12" t="s">
        <v>139</v>
      </c>
      <c r="L20" s="12">
        <v>5</v>
      </c>
      <c r="M20" s="9">
        <f t="shared" si="1"/>
        <v>2500</v>
      </c>
      <c r="N20" s="12">
        <v>2500</v>
      </c>
      <c r="O20" s="18" t="s">
        <v>26</v>
      </c>
      <c r="P20" s="19">
        <v>7.6100000000000001E-2</v>
      </c>
      <c r="Q20" s="19">
        <f t="shared" si="2"/>
        <v>190.25</v>
      </c>
      <c r="R20" s="12"/>
    </row>
    <row r="21" spans="1:18" s="1" customFormat="1">
      <c r="A21" s="6"/>
      <c r="B21" s="7">
        <f>ROW(B21)-ROW($B$2)</f>
        <v>19</v>
      </c>
      <c r="C21" s="11" t="s">
        <v>17</v>
      </c>
      <c r="D21" s="9" t="s">
        <v>142</v>
      </c>
      <c r="E21" s="9" t="s">
        <v>143</v>
      </c>
      <c r="F21" s="9" t="s">
        <v>20</v>
      </c>
      <c r="G21" s="9" t="s">
        <v>144</v>
      </c>
      <c r="H21" s="9" t="s">
        <v>64</v>
      </c>
      <c r="I21" s="12" t="s">
        <v>23</v>
      </c>
      <c r="J21" s="9" t="s">
        <v>145</v>
      </c>
      <c r="K21" s="9" t="s">
        <v>146</v>
      </c>
      <c r="L21" s="9">
        <v>1</v>
      </c>
      <c r="M21" s="9">
        <f t="shared" si="1"/>
        <v>500</v>
      </c>
      <c r="N21" s="9">
        <v>500</v>
      </c>
      <c r="O21" s="18" t="s">
        <v>26</v>
      </c>
      <c r="P21" s="17">
        <v>0.21929999999999999</v>
      </c>
      <c r="Q21" s="17">
        <f t="shared" si="2"/>
        <v>109.64999999999999</v>
      </c>
      <c r="R21" s="9"/>
    </row>
    <row r="22" spans="1:18" s="1" customFormat="1">
      <c r="A22" s="6"/>
      <c r="B22" s="10">
        <f t="shared" si="0"/>
        <v>20</v>
      </c>
      <c r="C22" s="11" t="s">
        <v>17</v>
      </c>
      <c r="D22" s="12" t="s">
        <v>148</v>
      </c>
      <c r="E22" s="12" t="s">
        <v>149</v>
      </c>
      <c r="F22" s="12" t="s">
        <v>38</v>
      </c>
      <c r="G22" s="12" t="s">
        <v>150</v>
      </c>
      <c r="H22" s="12" t="s">
        <v>31</v>
      </c>
      <c r="I22" s="12" t="s">
        <v>23</v>
      </c>
      <c r="J22" s="12" t="s">
        <v>151</v>
      </c>
      <c r="K22" s="12" t="s">
        <v>25</v>
      </c>
      <c r="L22" s="12">
        <v>1</v>
      </c>
      <c r="M22" s="9">
        <f t="shared" si="1"/>
        <v>500</v>
      </c>
      <c r="N22" s="12">
        <v>500</v>
      </c>
      <c r="O22" s="18" t="s">
        <v>26</v>
      </c>
      <c r="P22" s="19">
        <v>9.9699999999999997E-2</v>
      </c>
      <c r="Q22" s="19">
        <f t="shared" si="2"/>
        <v>49.85</v>
      </c>
      <c r="R22" s="12"/>
    </row>
    <row r="23" spans="1:18" s="1" customFormat="1">
      <c r="A23" s="6"/>
      <c r="B23" s="7">
        <f>ROW(B23)-ROW($B$2)</f>
        <v>21</v>
      </c>
      <c r="C23" s="11" t="s">
        <v>17</v>
      </c>
      <c r="D23" s="9" t="s">
        <v>153</v>
      </c>
      <c r="E23" s="9" t="s">
        <v>154</v>
      </c>
      <c r="F23" s="9" t="s">
        <v>46</v>
      </c>
      <c r="G23" s="9" t="s">
        <v>155</v>
      </c>
      <c r="H23" s="9" t="s">
        <v>156</v>
      </c>
      <c r="I23" s="12" t="s">
        <v>23</v>
      </c>
      <c r="J23" s="9" t="s">
        <v>157</v>
      </c>
      <c r="K23" s="9" t="s">
        <v>33</v>
      </c>
      <c r="L23" s="9">
        <v>1</v>
      </c>
      <c r="M23" s="9">
        <f t="shared" si="1"/>
        <v>500</v>
      </c>
      <c r="N23" s="9">
        <v>500</v>
      </c>
      <c r="O23" s="18" t="s">
        <v>26</v>
      </c>
      <c r="P23" s="17">
        <v>3.5000000000000001E-3</v>
      </c>
      <c r="Q23" s="17">
        <f t="shared" si="2"/>
        <v>1.75</v>
      </c>
      <c r="R23" s="9"/>
    </row>
    <row r="24" spans="1:18" s="1" customFormat="1">
      <c r="A24" s="6"/>
      <c r="B24" s="10">
        <f t="shared" si="0"/>
        <v>22</v>
      </c>
      <c r="C24" s="11" t="s">
        <v>17</v>
      </c>
      <c r="D24" s="12" t="s">
        <v>159</v>
      </c>
      <c r="E24" s="12" t="s">
        <v>160</v>
      </c>
      <c r="F24" s="12" t="s">
        <v>38</v>
      </c>
      <c r="G24" s="12" t="s">
        <v>161</v>
      </c>
      <c r="H24" s="12" t="s">
        <v>71</v>
      </c>
      <c r="I24" s="12" t="s">
        <v>23</v>
      </c>
      <c r="J24" s="12" t="s">
        <v>162</v>
      </c>
      <c r="K24" s="12" t="s">
        <v>25</v>
      </c>
      <c r="L24" s="12">
        <v>1</v>
      </c>
      <c r="M24" s="9">
        <f t="shared" si="1"/>
        <v>500</v>
      </c>
      <c r="N24" s="12">
        <v>500</v>
      </c>
      <c r="O24" s="18" t="s">
        <v>26</v>
      </c>
      <c r="P24" s="19">
        <v>0.80269999999999997</v>
      </c>
      <c r="Q24" s="19">
        <f t="shared" si="2"/>
        <v>401.34999999999997</v>
      </c>
      <c r="R24" s="12"/>
    </row>
    <row r="25" spans="1:18" s="1" customFormat="1">
      <c r="A25" s="6"/>
      <c r="B25" s="7">
        <f>ROW(B25)-ROW($B$2)</f>
        <v>23</v>
      </c>
      <c r="C25" s="11" t="s">
        <v>17</v>
      </c>
      <c r="D25" s="9" t="s">
        <v>164</v>
      </c>
      <c r="E25" s="9" t="s">
        <v>165</v>
      </c>
      <c r="F25" s="9" t="s">
        <v>46</v>
      </c>
      <c r="G25" s="9" t="s">
        <v>166</v>
      </c>
      <c r="H25" s="9" t="s">
        <v>129</v>
      </c>
      <c r="I25" s="12" t="s">
        <v>23</v>
      </c>
      <c r="J25" s="9" t="s">
        <v>167</v>
      </c>
      <c r="K25" s="9" t="s">
        <v>33</v>
      </c>
      <c r="L25" s="9">
        <v>2</v>
      </c>
      <c r="M25" s="9">
        <f t="shared" si="1"/>
        <v>1000</v>
      </c>
      <c r="N25" s="9">
        <v>1000</v>
      </c>
      <c r="O25" s="18" t="s">
        <v>26</v>
      </c>
      <c r="P25" s="17" t="s">
        <v>168</v>
      </c>
      <c r="Q25" s="17">
        <f t="shared" si="2"/>
        <v>9.6</v>
      </c>
      <c r="R25" s="9"/>
    </row>
    <row r="26" spans="1:18" s="1" customFormat="1">
      <c r="A26" s="6"/>
      <c r="B26" s="10">
        <f t="shared" si="0"/>
        <v>24</v>
      </c>
      <c r="C26" s="11" t="s">
        <v>17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173</v>
      </c>
      <c r="I26" s="12" t="s">
        <v>23</v>
      </c>
      <c r="J26" s="12" t="s">
        <v>174</v>
      </c>
      <c r="K26" s="12" t="s">
        <v>175</v>
      </c>
      <c r="L26" s="12">
        <v>1</v>
      </c>
      <c r="M26" s="9">
        <f t="shared" si="1"/>
        <v>500</v>
      </c>
      <c r="N26" s="12">
        <v>500</v>
      </c>
      <c r="O26" s="18" t="s">
        <v>26</v>
      </c>
      <c r="P26" s="19">
        <v>1.0351999999999999</v>
      </c>
      <c r="Q26" s="19">
        <f t="shared" si="2"/>
        <v>517.59999999999991</v>
      </c>
      <c r="R26" s="12"/>
    </row>
    <row r="27" spans="1:18" s="1" customFormat="1">
      <c r="A27" s="6"/>
      <c r="B27" s="7">
        <f>ROW(B27)-ROW($B$2)</f>
        <v>25</v>
      </c>
      <c r="C27" s="11" t="s">
        <v>17</v>
      </c>
      <c r="D27" s="9" t="s">
        <v>177</v>
      </c>
      <c r="E27" s="9" t="s">
        <v>178</v>
      </c>
      <c r="F27" s="9" t="s">
        <v>179</v>
      </c>
      <c r="G27" s="9" t="s">
        <v>180</v>
      </c>
      <c r="H27" s="9" t="s">
        <v>173</v>
      </c>
      <c r="I27" s="12" t="s">
        <v>23</v>
      </c>
      <c r="J27" s="9" t="s">
        <v>181</v>
      </c>
      <c r="K27" s="9" t="s">
        <v>66</v>
      </c>
      <c r="L27" s="9">
        <v>1</v>
      </c>
      <c r="M27" s="9">
        <f t="shared" si="1"/>
        <v>500</v>
      </c>
      <c r="N27" s="9">
        <v>500</v>
      </c>
      <c r="O27" s="18" t="s">
        <v>26</v>
      </c>
      <c r="P27" s="17">
        <v>0.19500000000000001</v>
      </c>
      <c r="Q27" s="17">
        <f t="shared" si="2"/>
        <v>97.5</v>
      </c>
      <c r="R27" s="9"/>
    </row>
    <row r="28" spans="1:18" s="1" customFormat="1">
      <c r="A28" s="6"/>
      <c r="B28" s="10">
        <f t="shared" si="0"/>
        <v>26</v>
      </c>
      <c r="C28" s="11" t="s">
        <v>17</v>
      </c>
      <c r="D28" s="12" t="s">
        <v>183</v>
      </c>
      <c r="E28" s="12" t="s">
        <v>184</v>
      </c>
      <c r="F28" s="12" t="s">
        <v>46</v>
      </c>
      <c r="G28" s="12" t="s">
        <v>185</v>
      </c>
      <c r="H28" s="12" t="s">
        <v>31</v>
      </c>
      <c r="I28" s="12" t="s">
        <v>23</v>
      </c>
      <c r="J28" s="12" t="s">
        <v>186</v>
      </c>
      <c r="K28" s="12" t="s">
        <v>25</v>
      </c>
      <c r="L28" s="12">
        <v>2</v>
      </c>
      <c r="M28" s="9">
        <f t="shared" si="1"/>
        <v>1000</v>
      </c>
      <c r="N28" s="12">
        <v>1000</v>
      </c>
      <c r="O28" s="18" t="s">
        <v>26</v>
      </c>
      <c r="P28" s="19">
        <v>1.77E-2</v>
      </c>
      <c r="Q28" s="19">
        <f t="shared" si="2"/>
        <v>17.7</v>
      </c>
      <c r="R28" s="12"/>
    </row>
    <row r="29" spans="1:18" s="1" customFormat="1">
      <c r="A29" s="6"/>
      <c r="B29" s="7">
        <f>ROW(B29)-ROW($B$2)</f>
        <v>27</v>
      </c>
      <c r="C29" s="11" t="s">
        <v>17</v>
      </c>
      <c r="D29" s="9" t="s">
        <v>188</v>
      </c>
      <c r="E29" s="9" t="s">
        <v>189</v>
      </c>
      <c r="F29" s="9" t="s">
        <v>190</v>
      </c>
      <c r="G29" s="9" t="s">
        <v>191</v>
      </c>
      <c r="H29" s="9" t="s">
        <v>129</v>
      </c>
      <c r="I29" s="12" t="s">
        <v>23</v>
      </c>
      <c r="J29" s="9" t="s">
        <v>192</v>
      </c>
      <c r="K29" s="9" t="s">
        <v>33</v>
      </c>
      <c r="L29" s="9">
        <v>1</v>
      </c>
      <c r="M29" s="9">
        <f t="shared" si="1"/>
        <v>500</v>
      </c>
      <c r="N29" s="9">
        <v>500</v>
      </c>
      <c r="O29" s="18" t="s">
        <v>26</v>
      </c>
      <c r="P29" s="17">
        <v>8.2000000000000007E-3</v>
      </c>
      <c r="Q29" s="17">
        <f t="shared" si="2"/>
        <v>4.1000000000000005</v>
      </c>
      <c r="R29" s="9"/>
    </row>
    <row r="30" spans="1:18" s="1" customFormat="1">
      <c r="A30" s="6"/>
      <c r="B30" s="10">
        <f t="shared" si="0"/>
        <v>28</v>
      </c>
      <c r="C30" s="11" t="s">
        <v>194</v>
      </c>
      <c r="D30" s="12" t="s">
        <v>195</v>
      </c>
      <c r="E30" s="12" t="s">
        <v>196</v>
      </c>
      <c r="F30" s="9" t="s">
        <v>20</v>
      </c>
      <c r="G30" s="12" t="s">
        <v>197</v>
      </c>
      <c r="H30" s="12" t="s">
        <v>173</v>
      </c>
      <c r="I30" s="12" t="s">
        <v>23</v>
      </c>
      <c r="J30" s="12" t="s">
        <v>23</v>
      </c>
      <c r="K30" s="12" t="s">
        <v>198</v>
      </c>
      <c r="L30" s="12">
        <v>1</v>
      </c>
      <c r="M30" s="9">
        <f t="shared" si="1"/>
        <v>500</v>
      </c>
      <c r="N30" s="12">
        <v>500</v>
      </c>
      <c r="O30" s="20" t="s">
        <v>67</v>
      </c>
      <c r="P30" s="19">
        <v>1.24935</v>
      </c>
      <c r="Q30" s="19">
        <f t="shared" si="2"/>
        <v>624.67499999999995</v>
      </c>
      <c r="R30" s="12"/>
    </row>
    <row r="31" spans="1:18" s="1" customFormat="1">
      <c r="A31" s="6"/>
      <c r="B31" s="7">
        <f>ROW(B31)-ROW($B$2)</f>
        <v>29</v>
      </c>
      <c r="C31" s="11" t="s">
        <v>17</v>
      </c>
      <c r="D31" s="9" t="s">
        <v>199</v>
      </c>
      <c r="E31" s="9" t="s">
        <v>200</v>
      </c>
      <c r="F31" s="9" t="s">
        <v>29</v>
      </c>
      <c r="G31" s="9" t="s">
        <v>201</v>
      </c>
      <c r="H31" s="9" t="s">
        <v>71</v>
      </c>
      <c r="I31" s="12" t="s">
        <v>23</v>
      </c>
      <c r="J31" s="9" t="s">
        <v>202</v>
      </c>
      <c r="K31" s="9" t="s">
        <v>203</v>
      </c>
      <c r="L31" s="9">
        <v>2</v>
      </c>
      <c r="M31" s="9">
        <f t="shared" si="1"/>
        <v>1000</v>
      </c>
      <c r="N31" s="9">
        <v>1000</v>
      </c>
      <c r="O31" s="18" t="s">
        <v>26</v>
      </c>
      <c r="P31" s="17">
        <v>1.5086999999999999</v>
      </c>
      <c r="Q31" s="17">
        <f t="shared" si="2"/>
        <v>1508.6999999999998</v>
      </c>
      <c r="R31" s="9"/>
    </row>
    <row r="32" spans="1:18" s="1" customFormat="1">
      <c r="A32" s="6"/>
      <c r="B32" s="10">
        <f t="shared" si="0"/>
        <v>30</v>
      </c>
      <c r="C32" s="11" t="s">
        <v>17</v>
      </c>
      <c r="D32" s="12" t="s">
        <v>205</v>
      </c>
      <c r="E32" s="12" t="s">
        <v>206</v>
      </c>
      <c r="F32" s="12" t="s">
        <v>38</v>
      </c>
      <c r="G32" s="12" t="s">
        <v>207</v>
      </c>
      <c r="H32" s="12" t="s">
        <v>31</v>
      </c>
      <c r="I32" s="12" t="s">
        <v>23</v>
      </c>
      <c r="J32" s="12" t="s">
        <v>208</v>
      </c>
      <c r="K32" s="12" t="s">
        <v>209</v>
      </c>
      <c r="L32" s="12">
        <v>1</v>
      </c>
      <c r="M32" s="9">
        <f t="shared" si="1"/>
        <v>500</v>
      </c>
      <c r="N32" s="12">
        <v>500</v>
      </c>
      <c r="O32" s="18" t="s">
        <v>26</v>
      </c>
      <c r="P32" s="19">
        <v>7.1000000000000004E-3</v>
      </c>
      <c r="Q32" s="19">
        <f t="shared" si="2"/>
        <v>3.5500000000000003</v>
      </c>
      <c r="R32" s="12"/>
    </row>
    <row r="33" spans="1:18" s="1" customFormat="1">
      <c r="A33" s="6"/>
      <c r="B33" s="7">
        <f>ROW(B33)-ROW($B$2)</f>
        <v>31</v>
      </c>
      <c r="C33" s="8" t="s">
        <v>17</v>
      </c>
      <c r="D33" s="9" t="s">
        <v>210</v>
      </c>
      <c r="E33" s="9" t="s">
        <v>211</v>
      </c>
      <c r="F33" s="9" t="s">
        <v>38</v>
      </c>
      <c r="G33" s="9" t="s">
        <v>212</v>
      </c>
      <c r="H33" s="9" t="s">
        <v>31</v>
      </c>
      <c r="I33" s="12" t="s">
        <v>23</v>
      </c>
      <c r="J33" s="9" t="s">
        <v>213</v>
      </c>
      <c r="K33" s="9" t="s">
        <v>214</v>
      </c>
      <c r="L33" s="9">
        <v>1</v>
      </c>
      <c r="M33" s="9">
        <f t="shared" si="1"/>
        <v>500</v>
      </c>
      <c r="N33" s="9">
        <v>500</v>
      </c>
      <c r="O33" s="18" t="s">
        <v>26</v>
      </c>
      <c r="P33" s="17">
        <v>2.7000000000000001E-3</v>
      </c>
      <c r="Q33" s="17">
        <f t="shared" si="2"/>
        <v>1.35</v>
      </c>
      <c r="R33" s="9"/>
    </row>
    <row r="34" spans="1:18" s="1" customFormat="1">
      <c r="A34" s="6"/>
      <c r="B34" s="10">
        <f t="shared" si="0"/>
        <v>32</v>
      </c>
      <c r="C34" s="11" t="s">
        <v>17</v>
      </c>
      <c r="D34" s="12" t="s">
        <v>215</v>
      </c>
      <c r="E34" s="12" t="s">
        <v>216</v>
      </c>
      <c r="F34" s="12" t="s">
        <v>38</v>
      </c>
      <c r="G34" s="12" t="s">
        <v>217</v>
      </c>
      <c r="H34" s="12" t="s">
        <v>31</v>
      </c>
      <c r="I34" s="12" t="s">
        <v>23</v>
      </c>
      <c r="J34" s="12" t="s">
        <v>218</v>
      </c>
      <c r="K34" s="12" t="s">
        <v>139</v>
      </c>
      <c r="L34" s="12">
        <v>2</v>
      </c>
      <c r="M34" s="9">
        <f t="shared" si="1"/>
        <v>1000</v>
      </c>
      <c r="N34" s="12">
        <v>1000</v>
      </c>
      <c r="O34" s="18" t="s">
        <v>26</v>
      </c>
      <c r="P34" s="19">
        <v>2.53E-2</v>
      </c>
      <c r="Q34" s="19">
        <f t="shared" si="2"/>
        <v>25.3</v>
      </c>
      <c r="R34" s="12"/>
    </row>
    <row r="35" spans="1:18" s="1" customFormat="1">
      <c r="A35" s="6"/>
      <c r="B35" s="7">
        <f>ROW(B35)-ROW($B$2)</f>
        <v>33</v>
      </c>
      <c r="C35" s="8" t="s">
        <v>17</v>
      </c>
      <c r="D35" s="9" t="s">
        <v>220</v>
      </c>
      <c r="E35" s="9" t="s">
        <v>221</v>
      </c>
      <c r="F35" s="9" t="s">
        <v>46</v>
      </c>
      <c r="G35" s="9" t="s">
        <v>222</v>
      </c>
      <c r="H35" s="9" t="s">
        <v>129</v>
      </c>
      <c r="I35" s="12" t="s">
        <v>23</v>
      </c>
      <c r="J35" s="9" t="s">
        <v>223</v>
      </c>
      <c r="K35" s="9" t="s">
        <v>224</v>
      </c>
      <c r="L35" s="9">
        <v>2</v>
      </c>
      <c r="M35" s="9">
        <f t="shared" si="1"/>
        <v>1000</v>
      </c>
      <c r="N35" s="9">
        <v>1000</v>
      </c>
      <c r="O35" s="18" t="s">
        <v>26</v>
      </c>
      <c r="P35" s="17">
        <v>1.15E-2</v>
      </c>
      <c r="Q35" s="17">
        <f t="shared" si="2"/>
        <v>11.5</v>
      </c>
      <c r="R35" s="9"/>
    </row>
    <row r="36" spans="1:18" s="1" customFormat="1">
      <c r="A36" s="6"/>
      <c r="B36" s="10">
        <f t="shared" si="0"/>
        <v>34</v>
      </c>
      <c r="C36" s="11" t="s">
        <v>17</v>
      </c>
      <c r="D36" s="12" t="s">
        <v>226</v>
      </c>
      <c r="E36" s="12" t="s">
        <v>227</v>
      </c>
      <c r="F36" s="12" t="s">
        <v>38</v>
      </c>
      <c r="G36" s="12" t="s">
        <v>228</v>
      </c>
      <c r="H36" s="12" t="s">
        <v>31</v>
      </c>
      <c r="I36" s="12" t="s">
        <v>23</v>
      </c>
      <c r="J36" s="12" t="s">
        <v>229</v>
      </c>
      <c r="K36" s="12" t="s">
        <v>119</v>
      </c>
      <c r="L36" s="12">
        <v>1</v>
      </c>
      <c r="M36" s="9">
        <f t="shared" si="1"/>
        <v>500</v>
      </c>
      <c r="N36" s="12">
        <v>500</v>
      </c>
      <c r="O36" s="18" t="s">
        <v>26</v>
      </c>
      <c r="P36" s="19">
        <v>3.2000000000000002E-3</v>
      </c>
      <c r="Q36" s="19">
        <f t="shared" si="2"/>
        <v>1.6</v>
      </c>
      <c r="R36" s="12"/>
    </row>
    <row r="37" spans="1:18" s="1" customFormat="1">
      <c r="A37" s="6"/>
      <c r="B37" s="7">
        <f>ROW(B37)-ROW($B$2)</f>
        <v>35</v>
      </c>
      <c r="C37" s="11" t="s">
        <v>17</v>
      </c>
      <c r="D37" s="9" t="s">
        <v>231</v>
      </c>
      <c r="E37" s="9" t="s">
        <v>232</v>
      </c>
      <c r="F37" s="9" t="s">
        <v>46</v>
      </c>
      <c r="G37" s="9" t="s">
        <v>233</v>
      </c>
      <c r="H37" s="9" t="s">
        <v>31</v>
      </c>
      <c r="I37" s="12" t="s">
        <v>23</v>
      </c>
      <c r="J37" s="9" t="s">
        <v>234</v>
      </c>
      <c r="K37" s="9" t="s">
        <v>33</v>
      </c>
      <c r="L37" s="9">
        <v>3</v>
      </c>
      <c r="M37" s="9">
        <f t="shared" si="1"/>
        <v>1500</v>
      </c>
      <c r="N37" s="9">
        <v>1500</v>
      </c>
      <c r="O37" s="18" t="s">
        <v>26</v>
      </c>
      <c r="P37" s="17">
        <v>1.1000000000000001E-3</v>
      </c>
      <c r="Q37" s="17">
        <f t="shared" si="2"/>
        <v>1.6500000000000001</v>
      </c>
      <c r="R37" s="9"/>
    </row>
    <row r="38" spans="1:18" s="1" customFormat="1">
      <c r="A38" s="6"/>
      <c r="B38" s="10">
        <f t="shared" si="0"/>
        <v>36</v>
      </c>
      <c r="C38" s="11" t="s">
        <v>17</v>
      </c>
      <c r="D38" s="12" t="s">
        <v>236</v>
      </c>
      <c r="E38" s="12" t="s">
        <v>237</v>
      </c>
      <c r="F38" s="12" t="s">
        <v>135</v>
      </c>
      <c r="G38" s="12" t="s">
        <v>238</v>
      </c>
      <c r="H38" s="12" t="s">
        <v>239</v>
      </c>
      <c r="I38" s="12" t="s">
        <v>23</v>
      </c>
      <c r="J38" s="12" t="s">
        <v>240</v>
      </c>
      <c r="K38" s="12" t="s">
        <v>25</v>
      </c>
      <c r="L38" s="12">
        <v>1</v>
      </c>
      <c r="M38" s="9">
        <f t="shared" si="1"/>
        <v>500</v>
      </c>
      <c r="N38" s="12">
        <v>500</v>
      </c>
      <c r="O38" s="18" t="s">
        <v>26</v>
      </c>
      <c r="P38" s="19">
        <v>3.5799999999999998E-2</v>
      </c>
      <c r="Q38" s="19">
        <f t="shared" si="2"/>
        <v>17.899999999999999</v>
      </c>
      <c r="R38" s="12"/>
    </row>
    <row r="39" spans="1:18" s="1" customFormat="1">
      <c r="A39" s="6"/>
      <c r="B39" s="7">
        <f>ROW(B39)-ROW($B$2)</f>
        <v>37</v>
      </c>
      <c r="C39" s="11" t="s">
        <v>17</v>
      </c>
      <c r="D39" s="9" t="s">
        <v>242</v>
      </c>
      <c r="E39" s="9" t="s">
        <v>243</v>
      </c>
      <c r="F39" s="9" t="s">
        <v>46</v>
      </c>
      <c r="G39" s="9" t="s">
        <v>244</v>
      </c>
      <c r="H39" s="9" t="s">
        <v>31</v>
      </c>
      <c r="I39" s="12" t="s">
        <v>23</v>
      </c>
      <c r="J39" s="9" t="s">
        <v>245</v>
      </c>
      <c r="K39" s="9" t="s">
        <v>41</v>
      </c>
      <c r="L39" s="9">
        <v>1</v>
      </c>
      <c r="M39" s="9">
        <f t="shared" si="1"/>
        <v>500</v>
      </c>
      <c r="N39" s="9">
        <v>500</v>
      </c>
      <c r="O39" s="18" t="s">
        <v>26</v>
      </c>
      <c r="P39" s="17">
        <v>7.6E-3</v>
      </c>
      <c r="Q39" s="17">
        <f t="shared" si="2"/>
        <v>3.8</v>
      </c>
      <c r="R39" s="9"/>
    </row>
    <row r="40" spans="1:18" s="1" customFormat="1">
      <c r="A40" s="6"/>
      <c r="B40" s="10">
        <f t="shared" si="0"/>
        <v>38</v>
      </c>
      <c r="C40" s="11" t="s">
        <v>17</v>
      </c>
      <c r="D40" s="12" t="s">
        <v>247</v>
      </c>
      <c r="E40" s="12" t="s">
        <v>248</v>
      </c>
      <c r="F40" s="12" t="s">
        <v>135</v>
      </c>
      <c r="G40" s="12" t="s">
        <v>249</v>
      </c>
      <c r="H40" s="12" t="s">
        <v>31</v>
      </c>
      <c r="I40" s="12" t="s">
        <v>23</v>
      </c>
      <c r="J40" s="12" t="s">
        <v>250</v>
      </c>
      <c r="K40" s="12" t="s">
        <v>25</v>
      </c>
      <c r="L40" s="12">
        <v>1</v>
      </c>
      <c r="M40" s="9">
        <f t="shared" si="1"/>
        <v>500</v>
      </c>
      <c r="N40" s="12">
        <v>500</v>
      </c>
      <c r="O40" s="18" t="s">
        <v>26</v>
      </c>
      <c r="P40" s="19">
        <v>2.2499999999999999E-2</v>
      </c>
      <c r="Q40" s="19">
        <f t="shared" si="2"/>
        <v>11.25</v>
      </c>
      <c r="R40" s="12"/>
    </row>
    <row r="41" spans="1:18" s="1" customFormat="1" ht="24">
      <c r="A41" s="6"/>
      <c r="B41" s="7">
        <f>ROW(B41)-ROW($B$2)</f>
        <v>39</v>
      </c>
      <c r="C41" s="8" t="s">
        <v>252</v>
      </c>
      <c r="D41" s="9" t="s">
        <v>253</v>
      </c>
      <c r="E41" s="9" t="s">
        <v>254</v>
      </c>
      <c r="F41" s="9" t="s">
        <v>255</v>
      </c>
      <c r="G41" s="9" t="s">
        <v>256</v>
      </c>
      <c r="H41" s="9" t="s">
        <v>257</v>
      </c>
      <c r="I41" s="12" t="s">
        <v>23</v>
      </c>
      <c r="J41" s="9" t="s">
        <v>258</v>
      </c>
      <c r="K41" s="9" t="s">
        <v>23</v>
      </c>
      <c r="L41" s="9">
        <v>1</v>
      </c>
      <c r="M41" s="9">
        <f t="shared" si="1"/>
        <v>500</v>
      </c>
      <c r="N41" s="9">
        <v>500</v>
      </c>
      <c r="O41" s="18" t="s">
        <v>26</v>
      </c>
      <c r="P41" s="17">
        <v>1.61E-2</v>
      </c>
      <c r="Q41" s="17">
        <f t="shared" si="2"/>
        <v>8.0500000000000007</v>
      </c>
      <c r="R41" s="9"/>
    </row>
    <row r="42" spans="1:18" s="1" customFormat="1">
      <c r="A42" s="6"/>
      <c r="B42" s="10">
        <f t="shared" si="0"/>
        <v>40</v>
      </c>
      <c r="C42" s="11" t="s">
        <v>260</v>
      </c>
      <c r="D42" s="12" t="s">
        <v>261</v>
      </c>
      <c r="E42" s="12" t="s">
        <v>262</v>
      </c>
      <c r="F42" s="12" t="s">
        <v>255</v>
      </c>
      <c r="G42" s="12" t="s">
        <v>263</v>
      </c>
      <c r="H42" s="12" t="s">
        <v>264</v>
      </c>
      <c r="I42" s="12" t="s">
        <v>23</v>
      </c>
      <c r="J42" s="12" t="s">
        <v>265</v>
      </c>
      <c r="K42" s="9" t="s">
        <v>23</v>
      </c>
      <c r="L42" s="12">
        <v>1</v>
      </c>
      <c r="M42" s="9">
        <f t="shared" si="1"/>
        <v>500</v>
      </c>
      <c r="N42" s="12">
        <v>500</v>
      </c>
      <c r="O42" s="18" t="s">
        <v>26</v>
      </c>
      <c r="P42" s="19">
        <v>7.9899999999999999E-2</v>
      </c>
      <c r="Q42" s="19">
        <f t="shared" si="2"/>
        <v>39.950000000000003</v>
      </c>
      <c r="R42" s="12"/>
    </row>
    <row r="43" spans="1:18" s="1" customFormat="1" ht="24">
      <c r="A43" s="6"/>
      <c r="B43" s="7">
        <f>ROW(B43)-ROW($B$2)</f>
        <v>41</v>
      </c>
      <c r="C43" s="8" t="s">
        <v>252</v>
      </c>
      <c r="D43" s="9" t="s">
        <v>267</v>
      </c>
      <c r="E43" s="9" t="s">
        <v>268</v>
      </c>
      <c r="F43" s="9" t="s">
        <v>269</v>
      </c>
      <c r="G43" s="9" t="s">
        <v>270</v>
      </c>
      <c r="H43" s="9" t="s">
        <v>271</v>
      </c>
      <c r="I43" s="12" t="s">
        <v>23</v>
      </c>
      <c r="J43" s="9" t="s">
        <v>272</v>
      </c>
      <c r="K43" s="9" t="s">
        <v>23</v>
      </c>
      <c r="L43" s="9">
        <v>2</v>
      </c>
      <c r="M43" s="9">
        <f t="shared" si="1"/>
        <v>1000</v>
      </c>
      <c r="N43" s="9">
        <v>1000</v>
      </c>
      <c r="O43" s="18" t="s">
        <v>26</v>
      </c>
      <c r="P43" s="17">
        <v>2.4E-2</v>
      </c>
      <c r="Q43" s="17">
        <f t="shared" si="2"/>
        <v>24</v>
      </c>
      <c r="R43" s="9"/>
    </row>
    <row r="44" spans="1:18" s="1" customFormat="1" ht="24">
      <c r="A44" s="6"/>
      <c r="B44" s="10">
        <f t="shared" si="0"/>
        <v>42</v>
      </c>
      <c r="C44" s="11" t="s">
        <v>252</v>
      </c>
      <c r="D44" s="12" t="s">
        <v>274</v>
      </c>
      <c r="E44" s="12" t="s">
        <v>275</v>
      </c>
      <c r="F44" s="12" t="s">
        <v>276</v>
      </c>
      <c r="G44" s="12" t="s">
        <v>277</v>
      </c>
      <c r="H44" s="12" t="s">
        <v>278</v>
      </c>
      <c r="I44" s="12" t="s">
        <v>23</v>
      </c>
      <c r="J44" s="12" t="s">
        <v>279</v>
      </c>
      <c r="K44" s="9" t="s">
        <v>23</v>
      </c>
      <c r="L44" s="12">
        <v>1</v>
      </c>
      <c r="M44" s="9">
        <f t="shared" si="1"/>
        <v>500</v>
      </c>
      <c r="N44" s="12">
        <v>500</v>
      </c>
      <c r="O44" s="18" t="s">
        <v>26</v>
      </c>
      <c r="P44" s="19">
        <v>5.67E-2</v>
      </c>
      <c r="Q44" s="19">
        <f t="shared" si="2"/>
        <v>28.35</v>
      </c>
      <c r="R44" s="12"/>
    </row>
    <row r="45" spans="1:18" s="1" customFormat="1" ht="24">
      <c r="A45" s="6"/>
      <c r="B45" s="7">
        <f>ROW(B45)-ROW($B$2)</f>
        <v>43</v>
      </c>
      <c r="C45" s="8" t="s">
        <v>252</v>
      </c>
      <c r="D45" s="9" t="s">
        <v>281</v>
      </c>
      <c r="E45" s="9" t="s">
        <v>282</v>
      </c>
      <c r="F45" s="9" t="s">
        <v>283</v>
      </c>
      <c r="G45" s="9" t="s">
        <v>284</v>
      </c>
      <c r="H45" s="9" t="s">
        <v>285</v>
      </c>
      <c r="I45" s="12" t="s">
        <v>23</v>
      </c>
      <c r="J45" s="9" t="s">
        <v>286</v>
      </c>
      <c r="K45" s="9" t="s">
        <v>23</v>
      </c>
      <c r="L45" s="9">
        <v>2</v>
      </c>
      <c r="M45" s="9">
        <f t="shared" si="1"/>
        <v>1000</v>
      </c>
      <c r="N45" s="9">
        <v>1000</v>
      </c>
      <c r="O45" s="18" t="s">
        <v>26</v>
      </c>
      <c r="P45" s="17">
        <v>3.0700000000000002E-2</v>
      </c>
      <c r="Q45" s="17">
        <f t="shared" si="2"/>
        <v>30.700000000000003</v>
      </c>
      <c r="R45" s="9"/>
    </row>
    <row r="46" spans="1:18" s="1" customFormat="1" ht="36">
      <c r="A46" s="6"/>
      <c r="B46" s="10">
        <f t="shared" si="0"/>
        <v>44</v>
      </c>
      <c r="C46" s="11" t="s">
        <v>252</v>
      </c>
      <c r="D46" s="12" t="s">
        <v>288</v>
      </c>
      <c r="E46" s="12" t="s">
        <v>289</v>
      </c>
      <c r="F46" s="12" t="s">
        <v>290</v>
      </c>
      <c r="G46" s="12" t="s">
        <v>291</v>
      </c>
      <c r="H46" s="12" t="s">
        <v>292</v>
      </c>
      <c r="I46" s="12" t="s">
        <v>23</v>
      </c>
      <c r="J46" s="12" t="s">
        <v>293</v>
      </c>
      <c r="K46" s="9" t="s">
        <v>23</v>
      </c>
      <c r="L46" s="12">
        <v>1</v>
      </c>
      <c r="M46" s="9">
        <f t="shared" si="1"/>
        <v>500</v>
      </c>
      <c r="N46" s="12">
        <v>500</v>
      </c>
      <c r="O46" s="18" t="s">
        <v>26</v>
      </c>
      <c r="P46" s="19">
        <v>4.1200000000000001E-2</v>
      </c>
      <c r="Q46" s="19">
        <f t="shared" si="2"/>
        <v>20.6</v>
      </c>
      <c r="R46" s="12"/>
    </row>
    <row r="47" spans="1:18" s="1" customFormat="1">
      <c r="A47" s="6"/>
      <c r="B47" s="7">
        <f>ROW(B47)-ROW($B$2)</f>
        <v>45</v>
      </c>
      <c r="C47" s="8" t="s">
        <v>252</v>
      </c>
      <c r="D47" s="9" t="s">
        <v>295</v>
      </c>
      <c r="E47" s="9" t="s">
        <v>296</v>
      </c>
      <c r="F47" s="9" t="s">
        <v>290</v>
      </c>
      <c r="G47" s="9" t="s">
        <v>297</v>
      </c>
      <c r="H47" s="9" t="s">
        <v>298</v>
      </c>
      <c r="I47" s="12" t="s">
        <v>23</v>
      </c>
      <c r="J47" s="9" t="s">
        <v>299</v>
      </c>
      <c r="K47" s="9" t="s">
        <v>23</v>
      </c>
      <c r="L47" s="9">
        <v>1</v>
      </c>
      <c r="M47" s="9">
        <f t="shared" si="1"/>
        <v>500</v>
      </c>
      <c r="N47" s="9">
        <v>500</v>
      </c>
      <c r="O47" s="18" t="s">
        <v>26</v>
      </c>
      <c r="P47" s="17">
        <v>2.4500000000000001E-2</v>
      </c>
      <c r="Q47" s="17">
        <f t="shared" si="2"/>
        <v>12.25</v>
      </c>
      <c r="R47" s="9"/>
    </row>
    <row r="48" spans="1:18" s="1" customFormat="1" ht="24">
      <c r="A48" s="6"/>
      <c r="B48" s="10">
        <f t="shared" si="0"/>
        <v>46</v>
      </c>
      <c r="C48" s="11" t="s">
        <v>252</v>
      </c>
      <c r="D48" s="12" t="s">
        <v>301</v>
      </c>
      <c r="E48" s="12" t="s">
        <v>302</v>
      </c>
      <c r="F48" s="12" t="s">
        <v>303</v>
      </c>
      <c r="G48" s="12" t="s">
        <v>304</v>
      </c>
      <c r="H48" s="12" t="s">
        <v>305</v>
      </c>
      <c r="I48" s="12" t="s">
        <v>23</v>
      </c>
      <c r="J48" s="12" t="s">
        <v>306</v>
      </c>
      <c r="K48" s="9" t="s">
        <v>23</v>
      </c>
      <c r="L48" s="12">
        <v>2</v>
      </c>
      <c r="M48" s="9">
        <f t="shared" si="1"/>
        <v>1000</v>
      </c>
      <c r="N48" s="12">
        <v>1000</v>
      </c>
      <c r="O48" s="18" t="s">
        <v>26</v>
      </c>
      <c r="P48" s="19">
        <v>1.2E-2</v>
      </c>
      <c r="Q48" s="19">
        <f t="shared" si="2"/>
        <v>12</v>
      </c>
      <c r="R48" s="12"/>
    </row>
    <row r="49" spans="1:18" s="1" customFormat="1" ht="36">
      <c r="A49" s="6"/>
      <c r="B49" s="7">
        <f>ROW(B49)-ROW($B$2)</f>
        <v>47</v>
      </c>
      <c r="C49" s="8" t="s">
        <v>252</v>
      </c>
      <c r="D49" s="9" t="s">
        <v>308</v>
      </c>
      <c r="E49" s="9" t="s">
        <v>309</v>
      </c>
      <c r="F49" s="9" t="s">
        <v>310</v>
      </c>
      <c r="G49" s="9" t="s">
        <v>311</v>
      </c>
      <c r="H49" s="9" t="s">
        <v>298</v>
      </c>
      <c r="I49" s="12" t="s">
        <v>23</v>
      </c>
      <c r="J49" s="9" t="s">
        <v>312</v>
      </c>
      <c r="K49" s="9" t="s">
        <v>23</v>
      </c>
      <c r="L49" s="9">
        <v>1</v>
      </c>
      <c r="M49" s="9">
        <f t="shared" si="1"/>
        <v>500</v>
      </c>
      <c r="N49" s="9">
        <v>500</v>
      </c>
      <c r="O49" s="18" t="s">
        <v>26</v>
      </c>
      <c r="P49" s="17">
        <v>9.7199999999999995E-2</v>
      </c>
      <c r="Q49" s="17">
        <f t="shared" si="2"/>
        <v>48.599999999999994</v>
      </c>
      <c r="R49" s="9"/>
    </row>
    <row r="50" spans="1:18" s="1" customFormat="1" ht="24">
      <c r="A50" s="6"/>
      <c r="B50" s="10">
        <f t="shared" si="0"/>
        <v>48</v>
      </c>
      <c r="C50" s="11" t="s">
        <v>305</v>
      </c>
      <c r="D50" s="12" t="s">
        <v>314</v>
      </c>
      <c r="E50" s="12" t="s">
        <v>315</v>
      </c>
      <c r="F50" s="12" t="s">
        <v>316</v>
      </c>
      <c r="G50" s="12" t="s">
        <v>317</v>
      </c>
      <c r="H50" s="12" t="s">
        <v>285</v>
      </c>
      <c r="I50" s="12" t="s">
        <v>23</v>
      </c>
      <c r="J50" s="12" t="s">
        <v>318</v>
      </c>
      <c r="K50" s="9" t="s">
        <v>23</v>
      </c>
      <c r="L50" s="12">
        <v>2</v>
      </c>
      <c r="M50" s="9">
        <f t="shared" si="1"/>
        <v>1000</v>
      </c>
      <c r="N50" s="12">
        <v>1000</v>
      </c>
      <c r="O50" s="18" t="s">
        <v>26</v>
      </c>
      <c r="P50" s="19">
        <v>0.58620000000000005</v>
      </c>
      <c r="Q50" s="19">
        <f t="shared" si="2"/>
        <v>586.20000000000005</v>
      </c>
      <c r="R50" s="12"/>
    </row>
    <row r="51" spans="1:18" s="1" customFormat="1">
      <c r="A51" s="6"/>
      <c r="B51" s="7">
        <f>ROW(B51)-ROW($B$2)</f>
        <v>49</v>
      </c>
      <c r="C51" s="8" t="s">
        <v>252</v>
      </c>
      <c r="D51" s="9" t="s">
        <v>320</v>
      </c>
      <c r="E51" s="9" t="s">
        <v>321</v>
      </c>
      <c r="F51" s="9" t="s">
        <v>322</v>
      </c>
      <c r="G51" s="9" t="s">
        <v>323</v>
      </c>
      <c r="H51" s="9" t="s">
        <v>324</v>
      </c>
      <c r="I51" s="12" t="s">
        <v>23</v>
      </c>
      <c r="J51" s="9" t="s">
        <v>325</v>
      </c>
      <c r="K51" s="9" t="s">
        <v>23</v>
      </c>
      <c r="L51" s="9">
        <v>1</v>
      </c>
      <c r="M51" s="9">
        <f t="shared" si="1"/>
        <v>500</v>
      </c>
      <c r="N51" s="9">
        <v>500</v>
      </c>
      <c r="O51" s="18" t="s">
        <v>26</v>
      </c>
      <c r="P51" s="17">
        <v>5.04E-2</v>
      </c>
      <c r="Q51" s="17">
        <f t="shared" si="2"/>
        <v>25.2</v>
      </c>
      <c r="R51" s="9"/>
    </row>
    <row r="52" spans="1:18" s="1" customFormat="1" ht="72">
      <c r="A52" s="6"/>
      <c r="B52" s="10">
        <f t="shared" si="0"/>
        <v>50</v>
      </c>
      <c r="C52" s="11" t="s">
        <v>327</v>
      </c>
      <c r="D52" s="12" t="s">
        <v>328</v>
      </c>
      <c r="E52" s="12" t="s">
        <v>329</v>
      </c>
      <c r="F52" s="12" t="s">
        <v>330</v>
      </c>
      <c r="G52" s="12" t="s">
        <v>331</v>
      </c>
      <c r="H52" s="12" t="s">
        <v>332</v>
      </c>
      <c r="I52" s="12" t="s">
        <v>23</v>
      </c>
      <c r="J52" s="12" t="s">
        <v>333</v>
      </c>
      <c r="K52" s="9" t="s">
        <v>23</v>
      </c>
      <c r="L52" s="12">
        <v>42</v>
      </c>
      <c r="M52" s="9">
        <f t="shared" si="1"/>
        <v>21000</v>
      </c>
      <c r="N52" s="12">
        <v>21000</v>
      </c>
      <c r="O52" s="18" t="s">
        <v>26</v>
      </c>
      <c r="P52" s="19">
        <v>4.3E-3</v>
      </c>
      <c r="Q52" s="19">
        <f t="shared" si="2"/>
        <v>90.3</v>
      </c>
      <c r="R52" s="12"/>
    </row>
    <row r="53" spans="1:18" s="1" customFormat="1" ht="36">
      <c r="A53" s="6"/>
      <c r="B53" s="7">
        <f>ROW(B53)-ROW($B$2)</f>
        <v>51</v>
      </c>
      <c r="C53" s="8" t="s">
        <v>252</v>
      </c>
      <c r="D53" s="9" t="s">
        <v>336</v>
      </c>
      <c r="E53" s="9" t="s">
        <v>337</v>
      </c>
      <c r="F53" s="9" t="s">
        <v>338</v>
      </c>
      <c r="G53" s="9" t="s">
        <v>339</v>
      </c>
      <c r="H53" s="9" t="s">
        <v>340</v>
      </c>
      <c r="I53" s="12" t="s">
        <v>23</v>
      </c>
      <c r="J53" s="9" t="s">
        <v>341</v>
      </c>
      <c r="K53" s="9" t="s">
        <v>23</v>
      </c>
      <c r="L53" s="9">
        <v>1</v>
      </c>
      <c r="M53" s="9">
        <f t="shared" si="1"/>
        <v>500</v>
      </c>
      <c r="N53" s="9">
        <v>500</v>
      </c>
      <c r="O53" s="18" t="s">
        <v>26</v>
      </c>
      <c r="P53" s="17">
        <v>6.8999999999999999E-3</v>
      </c>
      <c r="Q53" s="17">
        <f t="shared" si="2"/>
        <v>3.4499999999999997</v>
      </c>
      <c r="R53" s="9"/>
    </row>
    <row r="54" spans="1:18" s="1" customFormat="1">
      <c r="A54" s="6"/>
      <c r="B54" s="10">
        <f t="shared" si="0"/>
        <v>52</v>
      </c>
      <c r="C54" s="11" t="s">
        <v>252</v>
      </c>
      <c r="D54" s="12" t="s">
        <v>343</v>
      </c>
      <c r="E54" s="12" t="s">
        <v>344</v>
      </c>
      <c r="F54" s="12" t="s">
        <v>345</v>
      </c>
      <c r="G54" s="12" t="s">
        <v>346</v>
      </c>
      <c r="H54" s="12" t="s">
        <v>347</v>
      </c>
      <c r="I54" s="12" t="s">
        <v>23</v>
      </c>
      <c r="J54" s="12" t="s">
        <v>348</v>
      </c>
      <c r="K54" s="9" t="s">
        <v>23</v>
      </c>
      <c r="L54" s="12">
        <v>2</v>
      </c>
      <c r="M54" s="9">
        <f t="shared" si="1"/>
        <v>1000</v>
      </c>
      <c r="N54" s="12">
        <v>1000</v>
      </c>
      <c r="O54" s="18" t="s">
        <v>26</v>
      </c>
      <c r="P54" s="19">
        <v>2.64E-2</v>
      </c>
      <c r="Q54" s="19">
        <f t="shared" si="2"/>
        <v>26.4</v>
      </c>
      <c r="R54" s="12"/>
    </row>
    <row r="55" spans="1:18" s="1" customFormat="1">
      <c r="A55" s="6"/>
      <c r="B55" s="7">
        <f>ROW(B55)-ROW($B$2)</f>
        <v>53</v>
      </c>
      <c r="C55" s="8" t="s">
        <v>350</v>
      </c>
      <c r="D55" s="9" t="s">
        <v>351</v>
      </c>
      <c r="E55" s="9" t="s">
        <v>352</v>
      </c>
      <c r="F55" s="9" t="s">
        <v>290</v>
      </c>
      <c r="G55" s="9" t="s">
        <v>353</v>
      </c>
      <c r="H55" s="9" t="s">
        <v>354</v>
      </c>
      <c r="I55" s="12" t="s">
        <v>23</v>
      </c>
      <c r="J55" s="9" t="s">
        <v>355</v>
      </c>
      <c r="K55" s="9" t="s">
        <v>23</v>
      </c>
      <c r="L55" s="9">
        <v>1</v>
      </c>
      <c r="M55" s="9">
        <f t="shared" si="1"/>
        <v>500</v>
      </c>
      <c r="N55" s="9">
        <v>500</v>
      </c>
      <c r="O55" s="18" t="s">
        <v>26</v>
      </c>
      <c r="P55" s="17" t="s">
        <v>1201</v>
      </c>
      <c r="Q55" s="17">
        <f t="shared" si="2"/>
        <v>37.049999999999997</v>
      </c>
      <c r="R55" s="9"/>
    </row>
    <row r="56" spans="1:18" s="1" customFormat="1">
      <c r="A56" s="6"/>
      <c r="B56" s="10">
        <f t="shared" si="0"/>
        <v>54</v>
      </c>
      <c r="C56" s="11" t="s">
        <v>252</v>
      </c>
      <c r="D56" s="12" t="s">
        <v>357</v>
      </c>
      <c r="E56" s="12" t="s">
        <v>358</v>
      </c>
      <c r="F56" s="12" t="s">
        <v>303</v>
      </c>
      <c r="G56" s="12" t="s">
        <v>359</v>
      </c>
      <c r="H56" s="12" t="s">
        <v>305</v>
      </c>
      <c r="I56" s="12" t="s">
        <v>23</v>
      </c>
      <c r="J56" s="12" t="s">
        <v>360</v>
      </c>
      <c r="K56" s="9" t="s">
        <v>23</v>
      </c>
      <c r="L56" s="12">
        <v>1</v>
      </c>
      <c r="M56" s="9">
        <f t="shared" si="1"/>
        <v>500</v>
      </c>
      <c r="N56" s="12">
        <v>500</v>
      </c>
      <c r="O56" s="18" t="s">
        <v>26</v>
      </c>
      <c r="P56" s="19" t="s">
        <v>361</v>
      </c>
      <c r="Q56" s="19">
        <f t="shared" si="2"/>
        <v>13.5</v>
      </c>
      <c r="R56" s="12"/>
    </row>
    <row r="57" spans="1:18" s="1" customFormat="1" ht="36">
      <c r="A57" s="6"/>
      <c r="B57" s="7">
        <f>ROW(B57)-ROW($B$2)</f>
        <v>55</v>
      </c>
      <c r="C57" s="8" t="s">
        <v>362</v>
      </c>
      <c r="D57" s="9" t="s">
        <v>363</v>
      </c>
      <c r="E57" s="9" t="s">
        <v>364</v>
      </c>
      <c r="F57" s="9" t="s">
        <v>365</v>
      </c>
      <c r="G57" s="9" t="s">
        <v>366</v>
      </c>
      <c r="H57" s="9" t="s">
        <v>367</v>
      </c>
      <c r="I57" s="12" t="s">
        <v>23</v>
      </c>
      <c r="J57" s="9" t="s">
        <v>368</v>
      </c>
      <c r="K57" s="9" t="s">
        <v>23</v>
      </c>
      <c r="L57" s="9">
        <v>3</v>
      </c>
      <c r="M57" s="9">
        <f t="shared" si="1"/>
        <v>1500</v>
      </c>
      <c r="N57" s="9">
        <v>1500</v>
      </c>
      <c r="O57" s="18" t="s">
        <v>26</v>
      </c>
      <c r="P57" s="17">
        <v>1.78E-2</v>
      </c>
      <c r="Q57" s="17">
        <f t="shared" si="2"/>
        <v>26.7</v>
      </c>
      <c r="R57" s="9"/>
    </row>
    <row r="58" spans="1:18" s="1" customFormat="1">
      <c r="A58" s="6"/>
      <c r="B58" s="10">
        <f t="shared" si="0"/>
        <v>56</v>
      </c>
      <c r="C58" s="11" t="s">
        <v>305</v>
      </c>
      <c r="D58" s="12" t="s">
        <v>370</v>
      </c>
      <c r="E58" s="12" t="s">
        <v>371</v>
      </c>
      <c r="F58" s="12" t="s">
        <v>372</v>
      </c>
      <c r="G58" s="12" t="s">
        <v>373</v>
      </c>
      <c r="H58" s="12" t="s">
        <v>305</v>
      </c>
      <c r="I58" s="12" t="s">
        <v>23</v>
      </c>
      <c r="J58" s="12" t="s">
        <v>374</v>
      </c>
      <c r="K58" s="9" t="s">
        <v>23</v>
      </c>
      <c r="L58" s="12">
        <v>1</v>
      </c>
      <c r="M58" s="9">
        <f t="shared" si="1"/>
        <v>500</v>
      </c>
      <c r="N58" s="12">
        <v>500</v>
      </c>
      <c r="O58" s="18" t="s">
        <v>26</v>
      </c>
      <c r="P58" s="19">
        <v>2.9600000000000001E-2</v>
      </c>
      <c r="Q58" s="19">
        <f t="shared" si="2"/>
        <v>14.8</v>
      </c>
      <c r="R58" s="12"/>
    </row>
    <row r="59" spans="1:18" s="1" customFormat="1">
      <c r="A59" s="6"/>
      <c r="B59" s="7">
        <f>ROW(B59)-ROW($B$2)</f>
        <v>57</v>
      </c>
      <c r="C59" s="8" t="s">
        <v>376</v>
      </c>
      <c r="D59" s="9" t="s">
        <v>377</v>
      </c>
      <c r="E59" s="9" t="s">
        <v>378</v>
      </c>
      <c r="F59" s="9" t="s">
        <v>20</v>
      </c>
      <c r="G59" s="9" t="s">
        <v>379</v>
      </c>
      <c r="H59" s="9" t="s">
        <v>380</v>
      </c>
      <c r="I59" s="12" t="s">
        <v>23</v>
      </c>
      <c r="J59" s="9" t="s">
        <v>381</v>
      </c>
      <c r="K59" s="9" t="s">
        <v>23</v>
      </c>
      <c r="L59" s="9">
        <v>1</v>
      </c>
      <c r="M59" s="9">
        <f t="shared" si="1"/>
        <v>500</v>
      </c>
      <c r="N59" s="9">
        <v>500</v>
      </c>
      <c r="O59" s="18" t="s">
        <v>26</v>
      </c>
      <c r="P59" s="17">
        <v>0.2903</v>
      </c>
      <c r="Q59" s="17">
        <f t="shared" si="2"/>
        <v>145.15</v>
      </c>
      <c r="R59" s="9"/>
    </row>
    <row r="60" spans="1:18" s="1" customFormat="1" ht="48">
      <c r="A60" s="6"/>
      <c r="B60" s="10">
        <f t="shared" si="0"/>
        <v>58</v>
      </c>
      <c r="C60" s="11" t="s">
        <v>383</v>
      </c>
      <c r="D60" s="12" t="s">
        <v>384</v>
      </c>
      <c r="E60" s="12" t="s">
        <v>385</v>
      </c>
      <c r="F60" s="9" t="s">
        <v>20</v>
      </c>
      <c r="G60" s="12" t="s">
        <v>386</v>
      </c>
      <c r="H60" s="12" t="s">
        <v>387</v>
      </c>
      <c r="I60" s="12" t="s">
        <v>23</v>
      </c>
      <c r="J60" s="12" t="s">
        <v>388</v>
      </c>
      <c r="K60" s="9" t="s">
        <v>23</v>
      </c>
      <c r="L60" s="12">
        <v>1</v>
      </c>
      <c r="M60" s="9">
        <f t="shared" si="1"/>
        <v>500</v>
      </c>
      <c r="N60" s="12">
        <v>500</v>
      </c>
      <c r="O60" s="18" t="s">
        <v>26</v>
      </c>
      <c r="P60" s="19">
        <v>0.36780000000000002</v>
      </c>
      <c r="Q60" s="19">
        <f t="shared" si="2"/>
        <v>183.9</v>
      </c>
      <c r="R60" s="12"/>
    </row>
    <row r="61" spans="1:18" s="1" customFormat="1">
      <c r="A61" s="6"/>
      <c r="B61" s="7">
        <f>ROW(B61)-ROW($B$2)</f>
        <v>59</v>
      </c>
      <c r="C61" s="8" t="s">
        <v>390</v>
      </c>
      <c r="D61" s="9" t="s">
        <v>391</v>
      </c>
      <c r="E61" s="9" t="s">
        <v>392</v>
      </c>
      <c r="F61" s="9" t="s">
        <v>20</v>
      </c>
      <c r="G61" s="9" t="s">
        <v>393</v>
      </c>
      <c r="H61" s="9" t="s">
        <v>394</v>
      </c>
      <c r="I61" s="12" t="s">
        <v>23</v>
      </c>
      <c r="J61" s="9" t="s">
        <v>23</v>
      </c>
      <c r="K61" s="9" t="s">
        <v>23</v>
      </c>
      <c r="L61" s="9">
        <v>9</v>
      </c>
      <c r="M61" s="9">
        <f t="shared" si="1"/>
        <v>4500</v>
      </c>
      <c r="N61" s="9">
        <v>4500</v>
      </c>
      <c r="O61" s="21" t="s">
        <v>395</v>
      </c>
      <c r="P61" s="22">
        <v>0.24</v>
      </c>
      <c r="Q61" s="17">
        <f t="shared" si="2"/>
        <v>1080</v>
      </c>
      <c r="R61" s="9"/>
    </row>
    <row r="62" spans="1:18" s="1" customFormat="1" ht="24">
      <c r="A62" s="6"/>
      <c r="B62" s="10">
        <f t="shared" si="0"/>
        <v>60</v>
      </c>
      <c r="C62" s="11" t="s">
        <v>396</v>
      </c>
      <c r="D62" s="12" t="s">
        <v>397</v>
      </c>
      <c r="E62" s="12" t="s">
        <v>398</v>
      </c>
      <c r="F62" s="9" t="s">
        <v>20</v>
      </c>
      <c r="G62" s="12" t="s">
        <v>399</v>
      </c>
      <c r="H62" s="12" t="s">
        <v>380</v>
      </c>
      <c r="I62" s="12" t="s">
        <v>23</v>
      </c>
      <c r="J62" s="12" t="s">
        <v>400</v>
      </c>
      <c r="K62" s="12" t="s">
        <v>23</v>
      </c>
      <c r="L62" s="12">
        <v>1</v>
      </c>
      <c r="M62" s="9">
        <f t="shared" si="1"/>
        <v>500</v>
      </c>
      <c r="N62" s="12">
        <v>500</v>
      </c>
      <c r="O62" s="18" t="s">
        <v>26</v>
      </c>
      <c r="P62" s="22">
        <v>0.15110000000000001</v>
      </c>
      <c r="Q62" s="19">
        <f t="shared" si="2"/>
        <v>75.550000000000011</v>
      </c>
      <c r="R62" s="12"/>
    </row>
    <row r="63" spans="1:18" s="1" customFormat="1">
      <c r="A63" s="6"/>
      <c r="B63" s="7">
        <f>ROW(B63)-ROW($B$2)</f>
        <v>61</v>
      </c>
      <c r="C63" s="8" t="s">
        <v>390</v>
      </c>
      <c r="D63" s="9" t="s">
        <v>402</v>
      </c>
      <c r="E63" s="9" t="s">
        <v>403</v>
      </c>
      <c r="F63" s="9" t="s">
        <v>20</v>
      </c>
      <c r="G63" s="9" t="s">
        <v>404</v>
      </c>
      <c r="H63" s="9" t="s">
        <v>405</v>
      </c>
      <c r="I63" s="12" t="s">
        <v>23</v>
      </c>
      <c r="J63" s="9" t="s">
        <v>23</v>
      </c>
      <c r="K63" s="9" t="s">
        <v>23</v>
      </c>
      <c r="L63" s="9">
        <v>1</v>
      </c>
      <c r="M63" s="9">
        <f t="shared" si="1"/>
        <v>500</v>
      </c>
      <c r="N63" s="9">
        <v>500</v>
      </c>
      <c r="O63" s="21" t="s">
        <v>395</v>
      </c>
      <c r="P63" s="22">
        <v>0.19700000000000001</v>
      </c>
      <c r="Q63" s="17">
        <f t="shared" si="2"/>
        <v>98.5</v>
      </c>
      <c r="R63" s="9"/>
    </row>
    <row r="64" spans="1:18" s="1" customFormat="1">
      <c r="A64" s="6"/>
      <c r="B64" s="10">
        <f t="shared" si="0"/>
        <v>62</v>
      </c>
      <c r="C64" s="11" t="s">
        <v>406</v>
      </c>
      <c r="D64" s="12" t="s">
        <v>407</v>
      </c>
      <c r="E64" s="12" t="s">
        <v>408</v>
      </c>
      <c r="F64" s="9" t="s">
        <v>20</v>
      </c>
      <c r="G64" s="12">
        <v>22112032</v>
      </c>
      <c r="H64" s="12" t="s">
        <v>409</v>
      </c>
      <c r="I64" s="12" t="s">
        <v>23</v>
      </c>
      <c r="J64" s="12" t="s">
        <v>410</v>
      </c>
      <c r="K64" s="12" t="s">
        <v>23</v>
      </c>
      <c r="L64" s="12">
        <v>1</v>
      </c>
      <c r="M64" s="9">
        <f t="shared" si="1"/>
        <v>500</v>
      </c>
      <c r="N64" s="12">
        <v>500</v>
      </c>
      <c r="O64" s="18" t="s">
        <v>26</v>
      </c>
      <c r="P64" s="19">
        <v>0.19819999999999999</v>
      </c>
      <c r="Q64" s="19">
        <f t="shared" si="2"/>
        <v>99.1</v>
      </c>
      <c r="R64" s="12"/>
    </row>
    <row r="65" spans="1:18" s="1" customFormat="1">
      <c r="A65" s="6"/>
      <c r="B65" s="7">
        <f>ROW(B65)-ROW($B$2)</f>
        <v>63</v>
      </c>
      <c r="C65" s="8" t="s">
        <v>406</v>
      </c>
      <c r="D65" s="9" t="s">
        <v>412</v>
      </c>
      <c r="E65" s="9" t="s">
        <v>413</v>
      </c>
      <c r="F65" s="9" t="s">
        <v>20</v>
      </c>
      <c r="G65" s="9">
        <v>22112022</v>
      </c>
      <c r="H65" s="9" t="s">
        <v>409</v>
      </c>
      <c r="I65" s="12" t="s">
        <v>23</v>
      </c>
      <c r="J65" s="9" t="s">
        <v>414</v>
      </c>
      <c r="K65" s="12" t="s">
        <v>23</v>
      </c>
      <c r="L65" s="9">
        <v>1</v>
      </c>
      <c r="M65" s="9">
        <f t="shared" si="1"/>
        <v>500</v>
      </c>
      <c r="N65" s="9">
        <v>500</v>
      </c>
      <c r="O65" s="18" t="s">
        <v>26</v>
      </c>
      <c r="P65" s="17">
        <v>0.14369999999999999</v>
      </c>
      <c r="Q65" s="17">
        <f t="shared" si="2"/>
        <v>71.849999999999994</v>
      </c>
      <c r="R65" s="9"/>
    </row>
    <row r="66" spans="1:18" s="1" customFormat="1" ht="60">
      <c r="A66" s="6"/>
      <c r="B66" s="10">
        <f t="shared" si="0"/>
        <v>64</v>
      </c>
      <c r="C66" s="11" t="s">
        <v>416</v>
      </c>
      <c r="D66" s="12" t="s">
        <v>417</v>
      </c>
      <c r="E66" s="12" t="s">
        <v>418</v>
      </c>
      <c r="F66" s="9" t="s">
        <v>20</v>
      </c>
      <c r="G66" s="12" t="s">
        <v>419</v>
      </c>
      <c r="H66" s="12" t="s">
        <v>420</v>
      </c>
      <c r="I66" s="12" t="s">
        <v>23</v>
      </c>
      <c r="J66" s="12" t="s">
        <v>421</v>
      </c>
      <c r="K66" s="12" t="s">
        <v>23</v>
      </c>
      <c r="L66" s="12">
        <v>3</v>
      </c>
      <c r="M66" s="9">
        <f t="shared" si="1"/>
        <v>1500</v>
      </c>
      <c r="N66" s="12">
        <v>1500</v>
      </c>
      <c r="O66" s="18" t="s">
        <v>26</v>
      </c>
      <c r="P66" s="19">
        <v>0.1193</v>
      </c>
      <c r="Q66" s="19">
        <f t="shared" si="2"/>
        <v>178.95000000000002</v>
      </c>
      <c r="R66" s="12"/>
    </row>
    <row r="67" spans="1:18" s="1" customFormat="1" ht="48">
      <c r="A67" s="6"/>
      <c r="B67" s="7">
        <f>ROW(B67)-ROW($B$2)</f>
        <v>65</v>
      </c>
      <c r="C67" s="8" t="s">
        <v>424</v>
      </c>
      <c r="D67" s="9" t="s">
        <v>425</v>
      </c>
      <c r="E67" s="9" t="s">
        <v>426</v>
      </c>
      <c r="F67" s="9" t="s">
        <v>427</v>
      </c>
      <c r="G67" s="9" t="s">
        <v>428</v>
      </c>
      <c r="H67" s="9" t="s">
        <v>429</v>
      </c>
      <c r="I67" s="12" t="s">
        <v>23</v>
      </c>
      <c r="J67" s="9" t="s">
        <v>430</v>
      </c>
      <c r="K67" s="12" t="s">
        <v>23</v>
      </c>
      <c r="L67" s="9">
        <v>2</v>
      </c>
      <c r="M67" s="9">
        <f t="shared" si="1"/>
        <v>1000</v>
      </c>
      <c r="N67" s="9">
        <v>1000</v>
      </c>
      <c r="O67" s="18" t="s">
        <v>26</v>
      </c>
      <c r="P67" s="17">
        <v>1.4200000000000001E-2</v>
      </c>
      <c r="Q67" s="17">
        <f t="shared" si="2"/>
        <v>14.200000000000001</v>
      </c>
      <c r="R67" s="9"/>
    </row>
    <row r="68" spans="1:18" s="1" customFormat="1" ht="48">
      <c r="A68" s="6"/>
      <c r="B68" s="10">
        <f t="shared" si="0"/>
        <v>66</v>
      </c>
      <c r="C68" s="11" t="s">
        <v>255</v>
      </c>
      <c r="D68" s="12" t="s">
        <v>432</v>
      </c>
      <c r="E68" s="12" t="s">
        <v>433</v>
      </c>
      <c r="F68" s="9" t="s">
        <v>20</v>
      </c>
      <c r="G68" s="12" t="s">
        <v>434</v>
      </c>
      <c r="H68" s="12" t="s">
        <v>435</v>
      </c>
      <c r="I68" s="12" t="s">
        <v>23</v>
      </c>
      <c r="J68" s="12" t="s">
        <v>436</v>
      </c>
      <c r="K68" s="12" t="s">
        <v>23</v>
      </c>
      <c r="L68" s="12">
        <v>1</v>
      </c>
      <c r="M68" s="9">
        <f t="shared" ref="M68:M131" si="3">L68*500</f>
        <v>500</v>
      </c>
      <c r="N68" s="12">
        <v>500</v>
      </c>
      <c r="O68" s="18" t="s">
        <v>26</v>
      </c>
      <c r="P68" s="19">
        <v>0.54990000000000006</v>
      </c>
      <c r="Q68" s="19">
        <f t="shared" ref="Q68:Q86" si="4">P68*N68</f>
        <v>274.95000000000005</v>
      </c>
      <c r="R68" s="12"/>
    </row>
    <row r="69" spans="1:18" s="1" customFormat="1">
      <c r="A69" s="6"/>
      <c r="B69" s="7">
        <f>ROW(B69)-ROW($B$2)</f>
        <v>67</v>
      </c>
      <c r="C69" s="8" t="s">
        <v>390</v>
      </c>
      <c r="D69" s="9" t="s">
        <v>438</v>
      </c>
      <c r="E69" s="9" t="s">
        <v>392</v>
      </c>
      <c r="F69" s="9" t="s">
        <v>20</v>
      </c>
      <c r="G69" s="9" t="s">
        <v>439</v>
      </c>
      <c r="H69" s="9" t="s">
        <v>394</v>
      </c>
      <c r="I69" s="12" t="s">
        <v>23</v>
      </c>
      <c r="J69" s="9" t="s">
        <v>23</v>
      </c>
      <c r="K69" s="9" t="s">
        <v>23</v>
      </c>
      <c r="L69" s="9">
        <v>1</v>
      </c>
      <c r="M69" s="9">
        <f t="shared" si="3"/>
        <v>500</v>
      </c>
      <c r="N69" s="9">
        <v>500</v>
      </c>
      <c r="O69" s="18" t="s">
        <v>395</v>
      </c>
      <c r="P69" s="17">
        <v>0.39800000000000002</v>
      </c>
      <c r="Q69" s="17">
        <f t="shared" si="4"/>
        <v>199</v>
      </c>
      <c r="R69" s="9"/>
    </row>
    <row r="70" spans="1:18" s="1" customFormat="1" ht="60">
      <c r="A70" s="6"/>
      <c r="B70" s="10">
        <f t="shared" si="0"/>
        <v>68</v>
      </c>
      <c r="C70" s="11" t="s">
        <v>440</v>
      </c>
      <c r="D70" s="12" t="s">
        <v>441</v>
      </c>
      <c r="E70" s="12" t="s">
        <v>442</v>
      </c>
      <c r="F70" s="9" t="s">
        <v>20</v>
      </c>
      <c r="G70" s="12" t="s">
        <v>443</v>
      </c>
      <c r="H70" s="12" t="s">
        <v>420</v>
      </c>
      <c r="I70" s="12" t="s">
        <v>23</v>
      </c>
      <c r="J70" s="12" t="s">
        <v>444</v>
      </c>
      <c r="K70" s="9" t="s">
        <v>23</v>
      </c>
      <c r="L70" s="12">
        <v>2</v>
      </c>
      <c r="M70" s="9">
        <f t="shared" si="3"/>
        <v>1000</v>
      </c>
      <c r="N70" s="12">
        <v>1000</v>
      </c>
      <c r="O70" s="18" t="s">
        <v>26</v>
      </c>
      <c r="P70" s="19">
        <v>7.7499999999999999E-2</v>
      </c>
      <c r="Q70" s="19">
        <f t="shared" si="4"/>
        <v>77.5</v>
      </c>
      <c r="R70" s="12"/>
    </row>
    <row r="71" spans="1:18" s="1" customFormat="1" ht="60">
      <c r="A71" s="6"/>
      <c r="B71" s="7">
        <f>ROW(B71)-ROW($B$2)</f>
        <v>69</v>
      </c>
      <c r="C71" s="8" t="s">
        <v>416</v>
      </c>
      <c r="D71" s="9" t="s">
        <v>446</v>
      </c>
      <c r="E71" s="9" t="s">
        <v>447</v>
      </c>
      <c r="F71" s="9" t="s">
        <v>20</v>
      </c>
      <c r="G71" s="9" t="s">
        <v>448</v>
      </c>
      <c r="H71" s="9" t="s">
        <v>420</v>
      </c>
      <c r="I71" s="12" t="s">
        <v>23</v>
      </c>
      <c r="J71" s="9" t="s">
        <v>449</v>
      </c>
      <c r="K71" s="9" t="s">
        <v>23</v>
      </c>
      <c r="L71" s="9">
        <v>1</v>
      </c>
      <c r="M71" s="9">
        <f t="shared" si="3"/>
        <v>500</v>
      </c>
      <c r="N71" s="9">
        <v>500</v>
      </c>
      <c r="O71" s="18" t="s">
        <v>26</v>
      </c>
      <c r="P71" s="17">
        <v>0.1391</v>
      </c>
      <c r="Q71" s="17">
        <f t="shared" si="4"/>
        <v>69.55</v>
      </c>
      <c r="R71" s="9"/>
    </row>
    <row r="72" spans="1:18" s="1" customFormat="1" ht="24">
      <c r="A72" s="6"/>
      <c r="B72" s="10">
        <f t="shared" si="0"/>
        <v>70</v>
      </c>
      <c r="C72" s="11" t="s">
        <v>451</v>
      </c>
      <c r="D72" s="12" t="s">
        <v>452</v>
      </c>
      <c r="E72" s="12" t="s">
        <v>453</v>
      </c>
      <c r="F72" s="9" t="s">
        <v>20</v>
      </c>
      <c r="G72" s="12" t="s">
        <v>454</v>
      </c>
      <c r="H72" s="12" t="s">
        <v>455</v>
      </c>
      <c r="I72" s="12" t="s">
        <v>23</v>
      </c>
      <c r="J72" s="12" t="s">
        <v>456</v>
      </c>
      <c r="K72" s="9" t="s">
        <v>23</v>
      </c>
      <c r="L72" s="12">
        <v>1</v>
      </c>
      <c r="M72" s="9">
        <f t="shared" si="3"/>
        <v>500</v>
      </c>
      <c r="N72" s="12">
        <v>500</v>
      </c>
      <c r="O72" s="18" t="s">
        <v>26</v>
      </c>
      <c r="P72" s="19">
        <v>1.2023999999999999</v>
      </c>
      <c r="Q72" s="19">
        <f t="shared" si="4"/>
        <v>601.19999999999993</v>
      </c>
      <c r="R72" s="12"/>
    </row>
    <row r="73" spans="1:18" s="1" customFormat="1">
      <c r="A73" s="6"/>
      <c r="B73" s="7">
        <f>ROW(B73)-ROW($B$2)</f>
        <v>71</v>
      </c>
      <c r="C73" s="8" t="s">
        <v>390</v>
      </c>
      <c r="D73" s="9" t="s">
        <v>458</v>
      </c>
      <c r="E73" s="9" t="s">
        <v>392</v>
      </c>
      <c r="F73" s="9" t="s">
        <v>20</v>
      </c>
      <c r="G73" s="9" t="s">
        <v>459</v>
      </c>
      <c r="H73" s="9" t="s">
        <v>394</v>
      </c>
      <c r="I73" s="12" t="s">
        <v>23</v>
      </c>
      <c r="J73" s="9" t="s">
        <v>23</v>
      </c>
      <c r="K73" s="9" t="s">
        <v>23</v>
      </c>
      <c r="L73" s="9">
        <v>2</v>
      </c>
      <c r="M73" s="9">
        <f t="shared" si="3"/>
        <v>1000</v>
      </c>
      <c r="N73" s="9">
        <v>1000</v>
      </c>
      <c r="O73" s="18" t="s">
        <v>395</v>
      </c>
      <c r="P73" s="17">
        <v>0.46800000000000003</v>
      </c>
      <c r="Q73" s="17">
        <f t="shared" si="4"/>
        <v>468</v>
      </c>
      <c r="R73" s="9"/>
    </row>
    <row r="74" spans="1:18" s="1" customFormat="1" ht="60">
      <c r="A74" s="6"/>
      <c r="B74" s="10">
        <f t="shared" si="0"/>
        <v>72</v>
      </c>
      <c r="C74" s="11" t="s">
        <v>460</v>
      </c>
      <c r="D74" s="12" t="s">
        <v>461</v>
      </c>
      <c r="E74" s="12" t="s">
        <v>462</v>
      </c>
      <c r="F74" s="12" t="s">
        <v>463</v>
      </c>
      <c r="G74" s="12" t="s">
        <v>464</v>
      </c>
      <c r="H74" s="12" t="s">
        <v>465</v>
      </c>
      <c r="I74" s="12" t="s">
        <v>23</v>
      </c>
      <c r="J74" s="12" t="s">
        <v>466</v>
      </c>
      <c r="K74" s="9" t="s">
        <v>23</v>
      </c>
      <c r="L74" s="12">
        <v>2</v>
      </c>
      <c r="M74" s="9">
        <f t="shared" si="3"/>
        <v>1000</v>
      </c>
      <c r="N74" s="9">
        <v>1000</v>
      </c>
      <c r="O74" s="18" t="s">
        <v>26</v>
      </c>
      <c r="P74" s="17">
        <v>2.1899999999999999E-2</v>
      </c>
      <c r="Q74" s="19">
        <f t="shared" si="4"/>
        <v>21.9</v>
      </c>
      <c r="R74" s="12"/>
    </row>
    <row r="75" spans="1:18" s="1" customFormat="1">
      <c r="A75" s="6"/>
      <c r="B75" s="7">
        <f>ROW(B75)-ROW($B$2)</f>
        <v>73</v>
      </c>
      <c r="C75" s="8" t="s">
        <v>468</v>
      </c>
      <c r="D75" s="9" t="s">
        <v>469</v>
      </c>
      <c r="E75" s="9" t="s">
        <v>470</v>
      </c>
      <c r="F75" s="9" t="s">
        <v>471</v>
      </c>
      <c r="G75" s="9" t="s">
        <v>472</v>
      </c>
      <c r="H75" s="9" t="s">
        <v>473</v>
      </c>
      <c r="I75" s="12" t="s">
        <v>23</v>
      </c>
      <c r="J75" s="9" t="s">
        <v>474</v>
      </c>
      <c r="K75" s="9" t="s">
        <v>475</v>
      </c>
      <c r="L75" s="9">
        <v>1</v>
      </c>
      <c r="M75" s="9">
        <f t="shared" si="3"/>
        <v>500</v>
      </c>
      <c r="N75" s="12">
        <v>500</v>
      </c>
      <c r="O75" s="18" t="s">
        <v>26</v>
      </c>
      <c r="P75" s="19">
        <v>2.86E-2</v>
      </c>
      <c r="Q75" s="17">
        <f t="shared" si="4"/>
        <v>14.3</v>
      </c>
      <c r="R75" s="9"/>
    </row>
    <row r="76" spans="1:18" s="1" customFormat="1" ht="36">
      <c r="A76" s="6"/>
      <c r="B76" s="10">
        <f t="shared" si="0"/>
        <v>74</v>
      </c>
      <c r="C76" s="11" t="s">
        <v>468</v>
      </c>
      <c r="D76" s="12" t="s">
        <v>477</v>
      </c>
      <c r="E76" s="12" t="s">
        <v>478</v>
      </c>
      <c r="F76" s="9" t="s">
        <v>20</v>
      </c>
      <c r="G76" s="12" t="s">
        <v>479</v>
      </c>
      <c r="H76" s="12" t="s">
        <v>71</v>
      </c>
      <c r="I76" s="12" t="s">
        <v>23</v>
      </c>
      <c r="J76" s="12" t="s">
        <v>480</v>
      </c>
      <c r="K76" s="12" t="s">
        <v>481</v>
      </c>
      <c r="L76" s="12">
        <v>1</v>
      </c>
      <c r="M76" s="9">
        <f t="shared" si="3"/>
        <v>500</v>
      </c>
      <c r="N76" s="9">
        <v>500</v>
      </c>
      <c r="O76" s="18" t="s">
        <v>26</v>
      </c>
      <c r="P76" s="17">
        <v>0.22520000000000001</v>
      </c>
      <c r="Q76" s="19">
        <f t="shared" si="4"/>
        <v>112.60000000000001</v>
      </c>
      <c r="R76" s="12"/>
    </row>
    <row r="77" spans="1:18" s="1" customFormat="1" ht="24">
      <c r="A77" s="6"/>
      <c r="B77" s="7">
        <f>ROW(B77)-ROW($B$2)</f>
        <v>75</v>
      </c>
      <c r="C77" s="8" t="s">
        <v>468</v>
      </c>
      <c r="D77" s="9" t="s">
        <v>483</v>
      </c>
      <c r="E77" s="9" t="s">
        <v>484</v>
      </c>
      <c r="F77" s="9" t="s">
        <v>20</v>
      </c>
      <c r="G77" s="9" t="s">
        <v>485</v>
      </c>
      <c r="H77" s="9" t="s">
        <v>486</v>
      </c>
      <c r="I77" s="12" t="s">
        <v>23</v>
      </c>
      <c r="J77" s="9" t="s">
        <v>487</v>
      </c>
      <c r="K77" s="9" t="s">
        <v>488</v>
      </c>
      <c r="L77" s="9">
        <v>1</v>
      </c>
      <c r="M77" s="9">
        <f t="shared" si="3"/>
        <v>500</v>
      </c>
      <c r="N77" s="12">
        <v>500</v>
      </c>
      <c r="O77" s="18" t="s">
        <v>26</v>
      </c>
      <c r="P77" s="19">
        <v>0.16789999999999999</v>
      </c>
      <c r="Q77" s="17">
        <f t="shared" si="4"/>
        <v>83.95</v>
      </c>
      <c r="R77" s="9"/>
    </row>
    <row r="78" spans="1:18" s="1" customFormat="1" ht="24">
      <c r="A78" s="6"/>
      <c r="B78" s="10">
        <f t="shared" si="0"/>
        <v>76</v>
      </c>
      <c r="C78" s="11" t="s">
        <v>468</v>
      </c>
      <c r="D78" s="12" t="s">
        <v>490</v>
      </c>
      <c r="E78" s="12" t="s">
        <v>491</v>
      </c>
      <c r="F78" s="9" t="s">
        <v>20</v>
      </c>
      <c r="G78" s="12" t="s">
        <v>492</v>
      </c>
      <c r="H78" s="12" t="s">
        <v>486</v>
      </c>
      <c r="I78" s="12" t="s">
        <v>23</v>
      </c>
      <c r="J78" s="12" t="s">
        <v>493</v>
      </c>
      <c r="K78" s="12" t="s">
        <v>494</v>
      </c>
      <c r="L78" s="12">
        <v>1</v>
      </c>
      <c r="M78" s="9">
        <f t="shared" si="3"/>
        <v>500</v>
      </c>
      <c r="N78" s="9">
        <v>500</v>
      </c>
      <c r="O78" s="18" t="s">
        <v>26</v>
      </c>
      <c r="P78" s="17">
        <v>4.2299999999999997E-2</v>
      </c>
      <c r="Q78" s="19">
        <f t="shared" si="4"/>
        <v>21.15</v>
      </c>
      <c r="R78" s="12"/>
    </row>
    <row r="79" spans="1:18" s="1" customFormat="1">
      <c r="A79" s="6"/>
      <c r="B79" s="7">
        <f>ROW(B79)-ROW($B$2)</f>
        <v>77</v>
      </c>
      <c r="C79" s="8" t="s">
        <v>468</v>
      </c>
      <c r="D79" s="9" t="s">
        <v>496</v>
      </c>
      <c r="E79" s="9" t="s">
        <v>497</v>
      </c>
      <c r="F79" s="9" t="s">
        <v>20</v>
      </c>
      <c r="G79" s="9" t="s">
        <v>498</v>
      </c>
      <c r="H79" s="9" t="s">
        <v>499</v>
      </c>
      <c r="I79" s="12" t="s">
        <v>23</v>
      </c>
      <c r="J79" s="9" t="s">
        <v>23</v>
      </c>
      <c r="K79" s="9" t="s">
        <v>500</v>
      </c>
      <c r="L79" s="9">
        <v>1</v>
      </c>
      <c r="M79" s="9">
        <f t="shared" si="3"/>
        <v>500</v>
      </c>
      <c r="N79" s="12">
        <v>500</v>
      </c>
      <c r="O79" s="18" t="s">
        <v>26</v>
      </c>
      <c r="P79" s="19">
        <v>0.1295</v>
      </c>
      <c r="Q79" s="17">
        <f t="shared" si="4"/>
        <v>64.75</v>
      </c>
      <c r="R79" s="9"/>
    </row>
    <row r="80" spans="1:18" s="1" customFormat="1">
      <c r="A80" s="6"/>
      <c r="B80" s="10">
        <f t="shared" si="0"/>
        <v>78</v>
      </c>
      <c r="C80" s="11" t="s">
        <v>468</v>
      </c>
      <c r="D80" s="12" t="s">
        <v>502</v>
      </c>
      <c r="E80" s="12" t="s">
        <v>503</v>
      </c>
      <c r="F80" s="12" t="s">
        <v>504</v>
      </c>
      <c r="G80" s="12" t="s">
        <v>505</v>
      </c>
      <c r="H80" s="12" t="s">
        <v>129</v>
      </c>
      <c r="I80" s="12" t="s">
        <v>23</v>
      </c>
      <c r="J80" s="9" t="s">
        <v>506</v>
      </c>
      <c r="K80" s="12" t="s">
        <v>507</v>
      </c>
      <c r="L80" s="12">
        <v>1</v>
      </c>
      <c r="M80" s="9">
        <f t="shared" si="3"/>
        <v>500</v>
      </c>
      <c r="N80" s="9">
        <v>500</v>
      </c>
      <c r="O80" s="18" t="s">
        <v>26</v>
      </c>
      <c r="P80" s="17">
        <v>8.2699999999999996E-2</v>
      </c>
      <c r="Q80" s="19">
        <f t="shared" si="4"/>
        <v>41.349999999999994</v>
      </c>
      <c r="R80" s="12"/>
    </row>
    <row r="81" spans="1:18" s="1" customFormat="1">
      <c r="A81" s="6"/>
      <c r="B81" s="7">
        <f>ROW(B81)-ROW($B$2)</f>
        <v>79</v>
      </c>
      <c r="C81" s="8" t="s">
        <v>509</v>
      </c>
      <c r="D81" s="9" t="s">
        <v>510</v>
      </c>
      <c r="E81" s="9" t="s">
        <v>511</v>
      </c>
      <c r="F81" s="9" t="s">
        <v>512</v>
      </c>
      <c r="G81" s="9" t="s">
        <v>513</v>
      </c>
      <c r="H81" s="9" t="s">
        <v>514</v>
      </c>
      <c r="I81" s="12" t="s">
        <v>23</v>
      </c>
      <c r="J81" s="9" t="s">
        <v>23</v>
      </c>
      <c r="K81" s="9" t="s">
        <v>23</v>
      </c>
      <c r="L81" s="9">
        <v>3</v>
      </c>
      <c r="M81" s="9">
        <f t="shared" si="3"/>
        <v>1500</v>
      </c>
      <c r="N81" s="9">
        <v>1500</v>
      </c>
      <c r="O81" s="18" t="s">
        <v>67</v>
      </c>
      <c r="P81" s="17">
        <v>8.3979999999999999E-2</v>
      </c>
      <c r="Q81" s="17">
        <f t="shared" si="4"/>
        <v>125.97</v>
      </c>
      <c r="R81" s="9"/>
    </row>
    <row r="82" spans="1:18" s="1" customFormat="1">
      <c r="A82" s="6"/>
      <c r="B82" s="10">
        <f t="shared" si="0"/>
        <v>80</v>
      </c>
      <c r="C82" s="11" t="s">
        <v>515</v>
      </c>
      <c r="D82" s="12" t="s">
        <v>516</v>
      </c>
      <c r="E82" s="12" t="s">
        <v>517</v>
      </c>
      <c r="F82" s="9" t="s">
        <v>20</v>
      </c>
      <c r="G82" s="12" t="s">
        <v>518</v>
      </c>
      <c r="H82" s="12" t="s">
        <v>519</v>
      </c>
      <c r="I82" s="12" t="s">
        <v>23</v>
      </c>
      <c r="J82" s="12" t="s">
        <v>520</v>
      </c>
      <c r="K82" s="12" t="s">
        <v>23</v>
      </c>
      <c r="L82" s="12">
        <v>1</v>
      </c>
      <c r="M82" s="9">
        <f t="shared" si="3"/>
        <v>500</v>
      </c>
      <c r="N82" s="9">
        <v>500</v>
      </c>
      <c r="O82" s="18" t="s">
        <v>26</v>
      </c>
      <c r="P82" s="17">
        <v>6.4199999999999993E-2</v>
      </c>
      <c r="Q82" s="19">
        <f t="shared" si="4"/>
        <v>32.099999999999994</v>
      </c>
      <c r="R82" s="12"/>
    </row>
    <row r="83" spans="1:18" s="1" customFormat="1" ht="24">
      <c r="A83" s="6"/>
      <c r="B83" s="7">
        <f>ROW(B83)-ROW($B$2)</f>
        <v>81</v>
      </c>
      <c r="C83" s="8" t="s">
        <v>509</v>
      </c>
      <c r="D83" s="9" t="s">
        <v>522</v>
      </c>
      <c r="E83" s="9" t="s">
        <v>523</v>
      </c>
      <c r="F83" s="9" t="s">
        <v>524</v>
      </c>
      <c r="G83" s="9" t="s">
        <v>525</v>
      </c>
      <c r="H83" s="9" t="s">
        <v>526</v>
      </c>
      <c r="I83" s="12" t="s">
        <v>23</v>
      </c>
      <c r="J83" s="9" t="s">
        <v>527</v>
      </c>
      <c r="K83" s="12" t="s">
        <v>23</v>
      </c>
      <c r="L83" s="9">
        <v>1</v>
      </c>
      <c r="M83" s="9">
        <f t="shared" si="3"/>
        <v>500</v>
      </c>
      <c r="N83" s="12">
        <v>500</v>
      </c>
      <c r="O83" s="18" t="s">
        <v>26</v>
      </c>
      <c r="P83" s="19">
        <v>2.1000000000000001E-2</v>
      </c>
      <c r="Q83" s="17">
        <f t="shared" si="4"/>
        <v>10.5</v>
      </c>
      <c r="R83" s="9"/>
    </row>
    <row r="84" spans="1:18" s="1" customFormat="1" ht="24">
      <c r="A84" s="6"/>
      <c r="B84" s="10">
        <f t="shared" si="0"/>
        <v>82</v>
      </c>
      <c r="C84" s="11" t="s">
        <v>509</v>
      </c>
      <c r="D84" s="12" t="s">
        <v>529</v>
      </c>
      <c r="E84" s="12" t="s">
        <v>530</v>
      </c>
      <c r="F84" s="12" t="s">
        <v>512</v>
      </c>
      <c r="G84" s="12" t="s">
        <v>531</v>
      </c>
      <c r="H84" s="12" t="s">
        <v>532</v>
      </c>
      <c r="I84" s="12" t="s">
        <v>23</v>
      </c>
      <c r="J84" s="12" t="s">
        <v>533</v>
      </c>
      <c r="K84" s="12" t="s">
        <v>23</v>
      </c>
      <c r="L84" s="12">
        <v>1</v>
      </c>
      <c r="M84" s="9">
        <f t="shared" si="3"/>
        <v>500</v>
      </c>
      <c r="N84" s="9">
        <v>500</v>
      </c>
      <c r="O84" s="18" t="s">
        <v>26</v>
      </c>
      <c r="P84" s="17">
        <v>3.2199999999999999E-2</v>
      </c>
      <c r="Q84" s="19">
        <f t="shared" si="4"/>
        <v>16.100000000000001</v>
      </c>
      <c r="R84" s="12"/>
    </row>
    <row r="85" spans="1:18" s="1" customFormat="1" ht="24">
      <c r="A85" s="6"/>
      <c r="B85" s="7">
        <f>ROW(B85)-ROW($B$2)</f>
        <v>83</v>
      </c>
      <c r="C85" s="8" t="s">
        <v>509</v>
      </c>
      <c r="D85" s="9" t="s">
        <v>535</v>
      </c>
      <c r="E85" s="9" t="s">
        <v>536</v>
      </c>
      <c r="F85" s="9" t="s">
        <v>524</v>
      </c>
      <c r="G85" s="13" t="s">
        <v>537</v>
      </c>
      <c r="H85" s="9" t="s">
        <v>532</v>
      </c>
      <c r="I85" s="12" t="s">
        <v>1220</v>
      </c>
      <c r="J85" s="9" t="s">
        <v>1221</v>
      </c>
      <c r="K85" s="12" t="s">
        <v>23</v>
      </c>
      <c r="L85" s="9">
        <v>1</v>
      </c>
      <c r="M85" s="9">
        <f t="shared" si="3"/>
        <v>500</v>
      </c>
      <c r="N85" s="9">
        <v>500</v>
      </c>
      <c r="O85" s="18" t="s">
        <v>26</v>
      </c>
      <c r="P85" s="19">
        <v>1.95E-2</v>
      </c>
      <c r="Q85" s="17">
        <f t="shared" si="4"/>
        <v>9.75</v>
      </c>
      <c r="R85" s="9"/>
    </row>
    <row r="86" spans="1:18" s="1" customFormat="1" ht="24">
      <c r="A86" s="6"/>
      <c r="B86" s="10">
        <f t="shared" si="0"/>
        <v>84</v>
      </c>
      <c r="C86" s="11" t="s">
        <v>539</v>
      </c>
      <c r="D86" s="12" t="s">
        <v>540</v>
      </c>
      <c r="E86" s="12" t="s">
        <v>541</v>
      </c>
      <c r="F86" s="9" t="s">
        <v>20</v>
      </c>
      <c r="G86" s="12" t="s">
        <v>542</v>
      </c>
      <c r="H86" s="12" t="s">
        <v>543</v>
      </c>
      <c r="I86" s="12" t="s">
        <v>23</v>
      </c>
      <c r="J86" s="12" t="s">
        <v>544</v>
      </c>
      <c r="K86" s="12" t="s">
        <v>23</v>
      </c>
      <c r="L86" s="12">
        <v>1</v>
      </c>
      <c r="M86" s="9">
        <f t="shared" si="3"/>
        <v>500</v>
      </c>
      <c r="N86" s="9">
        <v>500</v>
      </c>
      <c r="O86" s="18" t="s">
        <v>26</v>
      </c>
      <c r="P86" s="17">
        <v>0.22969999999999999</v>
      </c>
      <c r="Q86" s="19">
        <f t="shared" si="4"/>
        <v>114.85</v>
      </c>
      <c r="R86" s="12"/>
    </row>
    <row r="87" spans="1:18" s="1" customFormat="1">
      <c r="A87" s="6"/>
      <c r="B87" s="7">
        <f>ROW(B87)-ROW($B$2)</f>
        <v>85</v>
      </c>
      <c r="C87" s="8" t="s">
        <v>546</v>
      </c>
      <c r="D87" s="13" t="s">
        <v>547</v>
      </c>
      <c r="E87" s="13" t="s">
        <v>548</v>
      </c>
      <c r="F87" s="13" t="s">
        <v>20</v>
      </c>
      <c r="G87" s="13" t="s">
        <v>549</v>
      </c>
      <c r="H87" s="13" t="s">
        <v>23</v>
      </c>
      <c r="I87" s="13" t="s">
        <v>23</v>
      </c>
      <c r="J87" s="13" t="s">
        <v>23</v>
      </c>
      <c r="K87" s="23" t="s">
        <v>23</v>
      </c>
      <c r="L87" s="13">
        <v>6</v>
      </c>
      <c r="M87" s="9">
        <f t="shared" si="3"/>
        <v>3000</v>
      </c>
      <c r="N87" s="13" t="s">
        <v>23</v>
      </c>
      <c r="O87" s="13" t="s">
        <v>23</v>
      </c>
      <c r="P87" s="24" t="s">
        <v>23</v>
      </c>
      <c r="Q87" s="24" t="s">
        <v>23</v>
      </c>
      <c r="R87" s="27" t="s">
        <v>550</v>
      </c>
    </row>
    <row r="88" spans="1:18" s="1" customFormat="1" ht="24">
      <c r="A88" s="6"/>
      <c r="B88" s="10">
        <f t="shared" si="0"/>
        <v>86</v>
      </c>
      <c r="C88" s="11" t="s">
        <v>551</v>
      </c>
      <c r="D88" s="12" t="s">
        <v>552</v>
      </c>
      <c r="E88" s="12" t="s">
        <v>553</v>
      </c>
      <c r="F88" s="12" t="s">
        <v>554</v>
      </c>
      <c r="G88" s="12" t="s">
        <v>555</v>
      </c>
      <c r="H88" s="12" t="s">
        <v>278</v>
      </c>
      <c r="I88" s="12" t="s">
        <v>23</v>
      </c>
      <c r="J88" s="12" t="s">
        <v>556</v>
      </c>
      <c r="K88" s="12" t="s">
        <v>23</v>
      </c>
      <c r="L88" s="12">
        <v>2</v>
      </c>
      <c r="M88" s="9">
        <f t="shared" si="3"/>
        <v>1000</v>
      </c>
      <c r="N88" s="9">
        <v>1000</v>
      </c>
      <c r="O88" s="18" t="s">
        <v>26</v>
      </c>
      <c r="P88" s="17">
        <v>3.8199999999999998E-2</v>
      </c>
      <c r="Q88" s="19">
        <f t="shared" ref="Q88:Q114" si="5">P88*N88</f>
        <v>38.199999999999996</v>
      </c>
      <c r="R88" s="12"/>
    </row>
    <row r="89" spans="1:18" s="1" customFormat="1">
      <c r="A89" s="6"/>
      <c r="B89" s="7">
        <f>ROW(B89)-ROW($B$2)</f>
        <v>87</v>
      </c>
      <c r="C89" s="8" t="s">
        <v>558</v>
      </c>
      <c r="D89" s="9" t="s">
        <v>559</v>
      </c>
      <c r="E89" s="9" t="s">
        <v>560</v>
      </c>
      <c r="F89" s="9" t="s">
        <v>345</v>
      </c>
      <c r="G89" s="9" t="s">
        <v>561</v>
      </c>
      <c r="H89" s="9" t="s">
        <v>562</v>
      </c>
      <c r="I89" s="12" t="s">
        <v>23</v>
      </c>
      <c r="J89" s="9" t="s">
        <v>563</v>
      </c>
      <c r="K89" s="12" t="s">
        <v>23</v>
      </c>
      <c r="L89" s="9">
        <v>3</v>
      </c>
      <c r="M89" s="9">
        <f t="shared" si="3"/>
        <v>1500</v>
      </c>
      <c r="N89" s="12">
        <v>1500</v>
      </c>
      <c r="O89" s="18" t="s">
        <v>26</v>
      </c>
      <c r="P89" s="19">
        <v>7.9000000000000008E-3</v>
      </c>
      <c r="Q89" s="17">
        <f t="shared" si="5"/>
        <v>11.850000000000001</v>
      </c>
      <c r="R89" s="9"/>
    </row>
    <row r="90" spans="1:18" s="1" customFormat="1">
      <c r="A90" s="6"/>
      <c r="B90" s="10">
        <f t="shared" si="0"/>
        <v>88</v>
      </c>
      <c r="C90" s="11" t="s">
        <v>551</v>
      </c>
      <c r="D90" s="12" t="s">
        <v>564</v>
      </c>
      <c r="E90" s="12" t="s">
        <v>565</v>
      </c>
      <c r="F90" s="12" t="s">
        <v>345</v>
      </c>
      <c r="G90" s="12" t="s">
        <v>566</v>
      </c>
      <c r="H90" s="12" t="s">
        <v>567</v>
      </c>
      <c r="I90" s="12" t="s">
        <v>23</v>
      </c>
      <c r="J90" s="12" t="s">
        <v>568</v>
      </c>
      <c r="K90" s="12" t="s">
        <v>23</v>
      </c>
      <c r="L90" s="12">
        <v>1</v>
      </c>
      <c r="M90" s="9">
        <f t="shared" si="3"/>
        <v>500</v>
      </c>
      <c r="N90" s="9">
        <v>500</v>
      </c>
      <c r="O90" s="18" t="s">
        <v>26</v>
      </c>
      <c r="P90" s="17">
        <v>0.1133</v>
      </c>
      <c r="Q90" s="19">
        <f t="shared" si="5"/>
        <v>56.65</v>
      </c>
      <c r="R90" s="12"/>
    </row>
    <row r="91" spans="1:18" s="1" customFormat="1" ht="24">
      <c r="A91" s="6"/>
      <c r="B91" s="7">
        <f>ROW(B91)-ROW($B$2)</f>
        <v>89</v>
      </c>
      <c r="C91" s="8" t="s">
        <v>551</v>
      </c>
      <c r="D91" s="9" t="s">
        <v>570</v>
      </c>
      <c r="E91" s="9" t="s">
        <v>571</v>
      </c>
      <c r="F91" s="9" t="s">
        <v>572</v>
      </c>
      <c r="G91" s="9" t="s">
        <v>573</v>
      </c>
      <c r="H91" s="9" t="s">
        <v>574</v>
      </c>
      <c r="I91" s="12" t="s">
        <v>23</v>
      </c>
      <c r="J91" s="9" t="s">
        <v>575</v>
      </c>
      <c r="K91" s="12" t="s">
        <v>23</v>
      </c>
      <c r="L91" s="9">
        <v>2</v>
      </c>
      <c r="M91" s="9">
        <f t="shared" si="3"/>
        <v>1000</v>
      </c>
      <c r="N91" s="12">
        <v>1000</v>
      </c>
      <c r="O91" s="18" t="s">
        <v>26</v>
      </c>
      <c r="P91" s="19">
        <v>0.34079999999999999</v>
      </c>
      <c r="Q91" s="17">
        <f t="shared" si="5"/>
        <v>340.8</v>
      </c>
      <c r="R91" s="9"/>
    </row>
    <row r="92" spans="1:18" s="1" customFormat="1" ht="24">
      <c r="A92" s="6"/>
      <c r="B92" s="10">
        <f t="shared" si="0"/>
        <v>90</v>
      </c>
      <c r="C92" s="11" t="s">
        <v>551</v>
      </c>
      <c r="D92" s="12" t="s">
        <v>577</v>
      </c>
      <c r="E92" s="12" t="s">
        <v>578</v>
      </c>
      <c r="F92" s="12" t="s">
        <v>345</v>
      </c>
      <c r="G92" s="12" t="s">
        <v>579</v>
      </c>
      <c r="H92" s="12" t="s">
        <v>580</v>
      </c>
      <c r="I92" s="12" t="s">
        <v>23</v>
      </c>
      <c r="J92" s="12" t="s">
        <v>581</v>
      </c>
      <c r="K92" s="12" t="s">
        <v>23</v>
      </c>
      <c r="L92" s="12">
        <v>1</v>
      </c>
      <c r="M92" s="9">
        <f t="shared" si="3"/>
        <v>500</v>
      </c>
      <c r="N92" s="9">
        <v>500</v>
      </c>
      <c r="O92" s="18" t="s">
        <v>26</v>
      </c>
      <c r="P92" s="17">
        <v>3.39E-2</v>
      </c>
      <c r="Q92" s="19">
        <f t="shared" si="5"/>
        <v>16.95</v>
      </c>
      <c r="R92" s="12"/>
    </row>
    <row r="93" spans="1:18" s="1" customFormat="1">
      <c r="A93" s="6"/>
      <c r="B93" s="7">
        <f>ROW(B93)-ROW($B$2)</f>
        <v>91</v>
      </c>
      <c r="C93" s="8" t="s">
        <v>551</v>
      </c>
      <c r="D93" s="9" t="s">
        <v>583</v>
      </c>
      <c r="E93" s="9" t="s">
        <v>584</v>
      </c>
      <c r="F93" s="9" t="s">
        <v>345</v>
      </c>
      <c r="G93" s="9" t="s">
        <v>585</v>
      </c>
      <c r="H93" s="9" t="s">
        <v>305</v>
      </c>
      <c r="I93" s="12" t="s">
        <v>23</v>
      </c>
      <c r="J93" s="9" t="s">
        <v>586</v>
      </c>
      <c r="K93" s="12" t="s">
        <v>23</v>
      </c>
      <c r="L93" s="9">
        <v>1</v>
      </c>
      <c r="M93" s="9">
        <f t="shared" si="3"/>
        <v>500</v>
      </c>
      <c r="N93" s="12">
        <v>500</v>
      </c>
      <c r="O93" s="18" t="s">
        <v>26</v>
      </c>
      <c r="P93" s="19">
        <v>2.2700000000000001E-2</v>
      </c>
      <c r="Q93" s="17">
        <f t="shared" si="5"/>
        <v>11.350000000000001</v>
      </c>
      <c r="R93" s="9"/>
    </row>
    <row r="94" spans="1:18" s="1" customFormat="1">
      <c r="A94" s="6"/>
      <c r="B94" s="10">
        <f t="shared" si="0"/>
        <v>92</v>
      </c>
      <c r="C94" s="11" t="s">
        <v>588</v>
      </c>
      <c r="D94" s="12" t="s">
        <v>589</v>
      </c>
      <c r="E94" s="12" t="s">
        <v>590</v>
      </c>
      <c r="F94" s="12" t="s">
        <v>591</v>
      </c>
      <c r="G94" s="12" t="s">
        <v>592</v>
      </c>
      <c r="H94" s="12" t="s">
        <v>593</v>
      </c>
      <c r="I94" s="12" t="s">
        <v>23</v>
      </c>
      <c r="J94" s="12" t="s">
        <v>23</v>
      </c>
      <c r="K94" s="12" t="s">
        <v>23</v>
      </c>
      <c r="L94" s="12">
        <v>1</v>
      </c>
      <c r="M94" s="9">
        <f t="shared" si="3"/>
        <v>500</v>
      </c>
      <c r="N94" s="9">
        <v>500</v>
      </c>
      <c r="O94" s="18" t="s">
        <v>67</v>
      </c>
      <c r="P94" s="17">
        <v>1.05514</v>
      </c>
      <c r="Q94" s="19">
        <f t="shared" si="5"/>
        <v>527.56999999999994</v>
      </c>
      <c r="R94" s="12"/>
    </row>
    <row r="95" spans="1:18" s="1" customFormat="1">
      <c r="A95" s="6"/>
      <c r="B95" s="7">
        <f>ROW(B95)-ROW($B$2)</f>
        <v>93</v>
      </c>
      <c r="C95" s="8" t="s">
        <v>551</v>
      </c>
      <c r="D95" s="9" t="s">
        <v>595</v>
      </c>
      <c r="E95" s="9" t="s">
        <v>596</v>
      </c>
      <c r="F95" s="9" t="s">
        <v>276</v>
      </c>
      <c r="G95" s="9" t="s">
        <v>597</v>
      </c>
      <c r="H95" s="9" t="s">
        <v>347</v>
      </c>
      <c r="I95" s="12" t="s">
        <v>23</v>
      </c>
      <c r="J95" s="9" t="s">
        <v>598</v>
      </c>
      <c r="K95" s="12" t="s">
        <v>23</v>
      </c>
      <c r="L95" s="9">
        <v>1</v>
      </c>
      <c r="M95" s="9">
        <f t="shared" si="3"/>
        <v>500</v>
      </c>
      <c r="N95" s="12">
        <v>500</v>
      </c>
      <c r="O95" s="18" t="s">
        <v>26</v>
      </c>
      <c r="P95" s="19">
        <v>1.9199999999999998E-2</v>
      </c>
      <c r="Q95" s="17">
        <f t="shared" si="5"/>
        <v>9.6</v>
      </c>
      <c r="R95" s="9"/>
    </row>
    <row r="96" spans="1:18" s="1" customFormat="1" ht="36">
      <c r="A96" s="6"/>
      <c r="B96" s="10">
        <f t="shared" si="0"/>
        <v>94</v>
      </c>
      <c r="C96" s="11" t="s">
        <v>551</v>
      </c>
      <c r="D96" s="12" t="s">
        <v>599</v>
      </c>
      <c r="E96" s="12" t="s">
        <v>600</v>
      </c>
      <c r="F96" s="12" t="s">
        <v>345</v>
      </c>
      <c r="G96" s="12" t="s">
        <v>601</v>
      </c>
      <c r="H96" s="12" t="s">
        <v>257</v>
      </c>
      <c r="I96" s="12" t="s">
        <v>23</v>
      </c>
      <c r="J96" s="12" t="s">
        <v>602</v>
      </c>
      <c r="K96" s="12" t="s">
        <v>23</v>
      </c>
      <c r="L96" s="12">
        <v>1</v>
      </c>
      <c r="M96" s="9">
        <f t="shared" si="3"/>
        <v>500</v>
      </c>
      <c r="N96" s="9">
        <v>500</v>
      </c>
      <c r="O96" s="18" t="s">
        <v>26</v>
      </c>
      <c r="P96" s="17">
        <v>0.02</v>
      </c>
      <c r="Q96" s="19">
        <f t="shared" si="5"/>
        <v>10</v>
      </c>
      <c r="R96" s="12"/>
    </row>
    <row r="97" spans="1:18" s="1" customFormat="1">
      <c r="A97" s="6"/>
      <c r="B97" s="7">
        <f>ROW(B97)-ROW($B$2)</f>
        <v>95</v>
      </c>
      <c r="C97" s="8" t="s">
        <v>588</v>
      </c>
      <c r="D97" s="9" t="s">
        <v>604</v>
      </c>
      <c r="E97" s="9" t="s">
        <v>605</v>
      </c>
      <c r="F97" s="9" t="s">
        <v>345</v>
      </c>
      <c r="G97" s="9" t="s">
        <v>606</v>
      </c>
      <c r="H97" s="9" t="s">
        <v>305</v>
      </c>
      <c r="I97" s="12" t="s">
        <v>23</v>
      </c>
      <c r="J97" s="9" t="s">
        <v>607</v>
      </c>
      <c r="K97" s="12" t="s">
        <v>23</v>
      </c>
      <c r="L97" s="9">
        <v>1</v>
      </c>
      <c r="M97" s="9">
        <f t="shared" si="3"/>
        <v>500</v>
      </c>
      <c r="N97" s="12">
        <v>500</v>
      </c>
      <c r="O97" s="18" t="s">
        <v>26</v>
      </c>
      <c r="P97" s="19">
        <v>1.7399999999999999E-2</v>
      </c>
      <c r="Q97" s="17">
        <f t="shared" si="5"/>
        <v>8.6999999999999993</v>
      </c>
      <c r="R97" s="9"/>
    </row>
    <row r="98" spans="1:18" s="1" customFormat="1" ht="36">
      <c r="A98" s="6"/>
      <c r="B98" s="10">
        <f t="shared" si="0"/>
        <v>96</v>
      </c>
      <c r="C98" s="11" t="s">
        <v>609</v>
      </c>
      <c r="D98" s="12" t="s">
        <v>610</v>
      </c>
      <c r="E98" s="12" t="s">
        <v>611</v>
      </c>
      <c r="F98" s="12" t="s">
        <v>612</v>
      </c>
      <c r="G98" s="12" t="s">
        <v>613</v>
      </c>
      <c r="H98" s="12" t="s">
        <v>614</v>
      </c>
      <c r="I98" s="12" t="s">
        <v>23</v>
      </c>
      <c r="J98" s="12" t="s">
        <v>615</v>
      </c>
      <c r="K98" s="12" t="s">
        <v>616</v>
      </c>
      <c r="L98" s="12">
        <v>1</v>
      </c>
      <c r="M98" s="9">
        <f t="shared" si="3"/>
        <v>500</v>
      </c>
      <c r="N98" s="12">
        <v>500</v>
      </c>
      <c r="O98" s="18" t="s">
        <v>26</v>
      </c>
      <c r="P98" s="17">
        <v>1.1999999999999999E-3</v>
      </c>
      <c r="Q98" s="19">
        <f t="shared" si="5"/>
        <v>0.6</v>
      </c>
      <c r="R98" s="12"/>
    </row>
    <row r="99" spans="1:18" s="1" customFormat="1" ht="36">
      <c r="A99" s="6"/>
      <c r="B99" s="7">
        <f>ROW(B99)-ROW($B$2)</f>
        <v>97</v>
      </c>
      <c r="C99" s="8" t="s">
        <v>609</v>
      </c>
      <c r="D99" s="9" t="s">
        <v>618</v>
      </c>
      <c r="E99" s="9" t="s">
        <v>619</v>
      </c>
      <c r="F99" s="9" t="s">
        <v>612</v>
      </c>
      <c r="G99" s="9" t="s">
        <v>620</v>
      </c>
      <c r="H99" s="9" t="s">
        <v>621</v>
      </c>
      <c r="I99" s="12" t="s">
        <v>23</v>
      </c>
      <c r="J99" s="9" t="s">
        <v>622</v>
      </c>
      <c r="K99" s="9" t="s">
        <v>623</v>
      </c>
      <c r="L99" s="9">
        <v>1</v>
      </c>
      <c r="M99" s="9">
        <f t="shared" si="3"/>
        <v>500</v>
      </c>
      <c r="N99" s="12">
        <v>500</v>
      </c>
      <c r="O99" s="18" t="s">
        <v>26</v>
      </c>
      <c r="P99" s="19" t="s">
        <v>158</v>
      </c>
      <c r="Q99" s="17">
        <f t="shared" si="5"/>
        <v>2.2999999999999998</v>
      </c>
      <c r="R99" s="9"/>
    </row>
    <row r="100" spans="1:18" s="1" customFormat="1">
      <c r="A100" s="6"/>
      <c r="B100" s="10">
        <f t="shared" si="0"/>
        <v>98</v>
      </c>
      <c r="C100" s="8" t="s">
        <v>609</v>
      </c>
      <c r="D100" s="12" t="s">
        <v>624</v>
      </c>
      <c r="E100" s="12" t="s">
        <v>625</v>
      </c>
      <c r="F100" s="12" t="s">
        <v>612</v>
      </c>
      <c r="G100" s="12" t="s">
        <v>626</v>
      </c>
      <c r="H100" s="12" t="s">
        <v>31</v>
      </c>
      <c r="I100" s="12" t="s">
        <v>23</v>
      </c>
      <c r="J100" s="12" t="s">
        <v>627</v>
      </c>
      <c r="K100" s="12" t="s">
        <v>628</v>
      </c>
      <c r="L100" s="12">
        <v>1</v>
      </c>
      <c r="M100" s="9">
        <f t="shared" si="3"/>
        <v>500</v>
      </c>
      <c r="N100" s="12">
        <v>500</v>
      </c>
      <c r="O100" s="18" t="s">
        <v>26</v>
      </c>
      <c r="P100" s="17" t="s">
        <v>617</v>
      </c>
      <c r="Q100" s="19">
        <f t="shared" si="5"/>
        <v>0.6</v>
      </c>
      <c r="R100" s="12"/>
    </row>
    <row r="101" spans="1:18" s="1" customFormat="1">
      <c r="A101" s="6"/>
      <c r="B101" s="7">
        <f>ROW(B101)-ROW($B$2)</f>
        <v>99</v>
      </c>
      <c r="C101" s="8" t="s">
        <v>609</v>
      </c>
      <c r="D101" s="9" t="s">
        <v>629</v>
      </c>
      <c r="E101" s="9" t="s">
        <v>630</v>
      </c>
      <c r="F101" s="9" t="s">
        <v>612</v>
      </c>
      <c r="G101" s="9" t="s">
        <v>631</v>
      </c>
      <c r="H101" s="9" t="s">
        <v>31</v>
      </c>
      <c r="I101" s="12" t="s">
        <v>23</v>
      </c>
      <c r="J101" s="9" t="s">
        <v>632</v>
      </c>
      <c r="K101" s="9" t="s">
        <v>633</v>
      </c>
      <c r="L101" s="9">
        <v>2</v>
      </c>
      <c r="M101" s="9">
        <f t="shared" si="3"/>
        <v>1000</v>
      </c>
      <c r="N101" s="12">
        <v>1000</v>
      </c>
      <c r="O101" s="18" t="s">
        <v>26</v>
      </c>
      <c r="P101" s="19" t="s">
        <v>120</v>
      </c>
      <c r="Q101" s="17">
        <f t="shared" si="5"/>
        <v>1.1000000000000001</v>
      </c>
      <c r="R101" s="9"/>
    </row>
    <row r="102" spans="1:18" s="1" customFormat="1">
      <c r="A102" s="6"/>
      <c r="B102" s="10">
        <f t="shared" si="0"/>
        <v>100</v>
      </c>
      <c r="C102" s="8" t="s">
        <v>609</v>
      </c>
      <c r="D102" s="12" t="s">
        <v>634</v>
      </c>
      <c r="E102" s="12" t="s">
        <v>635</v>
      </c>
      <c r="F102" s="12" t="s">
        <v>612</v>
      </c>
      <c r="G102" s="12" t="s">
        <v>636</v>
      </c>
      <c r="H102" s="12" t="s">
        <v>31</v>
      </c>
      <c r="I102" s="12" t="s">
        <v>23</v>
      </c>
      <c r="J102" s="12" t="s">
        <v>637</v>
      </c>
      <c r="K102" s="12" t="s">
        <v>633</v>
      </c>
      <c r="L102" s="12">
        <v>2</v>
      </c>
      <c r="M102" s="9">
        <f t="shared" si="3"/>
        <v>1000</v>
      </c>
      <c r="N102" s="12">
        <v>1000</v>
      </c>
      <c r="O102" s="18" t="s">
        <v>26</v>
      </c>
      <c r="P102" s="17" t="s">
        <v>1230</v>
      </c>
      <c r="Q102" s="19">
        <f t="shared" si="5"/>
        <v>18.399999999999999</v>
      </c>
      <c r="R102" s="12"/>
    </row>
    <row r="103" spans="1:18" s="1" customFormat="1">
      <c r="A103" s="6"/>
      <c r="B103" s="7">
        <f>ROW(B103)-ROW($B$2)</f>
        <v>101</v>
      </c>
      <c r="C103" s="8" t="s">
        <v>609</v>
      </c>
      <c r="D103" s="9" t="s">
        <v>639</v>
      </c>
      <c r="E103" s="9" t="s">
        <v>640</v>
      </c>
      <c r="F103" s="9" t="s">
        <v>612</v>
      </c>
      <c r="G103" s="9" t="s">
        <v>641</v>
      </c>
      <c r="H103" s="9" t="s">
        <v>31</v>
      </c>
      <c r="I103" s="12" t="s">
        <v>23</v>
      </c>
      <c r="J103" s="9" t="s">
        <v>642</v>
      </c>
      <c r="K103" s="9" t="s">
        <v>643</v>
      </c>
      <c r="L103" s="9">
        <v>2</v>
      </c>
      <c r="M103" s="9">
        <f t="shared" si="3"/>
        <v>1000</v>
      </c>
      <c r="N103" s="12">
        <v>1000</v>
      </c>
      <c r="O103" s="18" t="s">
        <v>26</v>
      </c>
      <c r="P103" s="19" t="s">
        <v>1231</v>
      </c>
      <c r="Q103" s="17">
        <f t="shared" si="5"/>
        <v>19.2</v>
      </c>
      <c r="R103" s="9"/>
    </row>
    <row r="104" spans="1:18" s="1" customFormat="1">
      <c r="A104" s="6"/>
      <c r="B104" s="10">
        <f t="shared" si="0"/>
        <v>102</v>
      </c>
      <c r="C104" s="8" t="s">
        <v>609</v>
      </c>
      <c r="D104" s="12" t="s">
        <v>645</v>
      </c>
      <c r="E104" s="12" t="s">
        <v>646</v>
      </c>
      <c r="F104" s="12" t="s">
        <v>612</v>
      </c>
      <c r="G104" s="12" t="s">
        <v>647</v>
      </c>
      <c r="H104" s="12" t="s">
        <v>31</v>
      </c>
      <c r="I104" s="12" t="s">
        <v>23</v>
      </c>
      <c r="J104" s="12" t="s">
        <v>648</v>
      </c>
      <c r="K104" s="12" t="s">
        <v>649</v>
      </c>
      <c r="L104" s="12">
        <v>2</v>
      </c>
      <c r="M104" s="9">
        <f t="shared" si="3"/>
        <v>1000</v>
      </c>
      <c r="N104" s="12">
        <v>1000</v>
      </c>
      <c r="O104" s="18" t="s">
        <v>26</v>
      </c>
      <c r="P104" s="17" t="s">
        <v>617</v>
      </c>
      <c r="Q104" s="19">
        <f t="shared" si="5"/>
        <v>1.2</v>
      </c>
      <c r="R104" s="12"/>
    </row>
    <row r="105" spans="1:18" s="1" customFormat="1" ht="48">
      <c r="A105" s="6"/>
      <c r="B105" s="7">
        <f>ROW(B105)-ROW($B$2)</f>
        <v>103</v>
      </c>
      <c r="C105" s="8" t="s">
        <v>609</v>
      </c>
      <c r="D105" s="9" t="s">
        <v>650</v>
      </c>
      <c r="E105" s="9" t="s">
        <v>651</v>
      </c>
      <c r="F105" s="9" t="s">
        <v>652</v>
      </c>
      <c r="G105" s="9" t="s">
        <v>653</v>
      </c>
      <c r="H105" s="9" t="s">
        <v>614</v>
      </c>
      <c r="I105" s="12" t="s">
        <v>23</v>
      </c>
      <c r="J105" s="9" t="s">
        <v>654</v>
      </c>
      <c r="K105" s="9" t="s">
        <v>655</v>
      </c>
      <c r="L105" s="9">
        <v>1</v>
      </c>
      <c r="M105" s="9">
        <f t="shared" si="3"/>
        <v>500</v>
      </c>
      <c r="N105" s="9">
        <v>500</v>
      </c>
      <c r="O105" s="18" t="s">
        <v>26</v>
      </c>
      <c r="P105" s="19" t="s">
        <v>125</v>
      </c>
      <c r="Q105" s="17">
        <f t="shared" si="5"/>
        <v>0.9</v>
      </c>
      <c r="R105" s="9"/>
    </row>
    <row r="106" spans="1:18" s="1" customFormat="1">
      <c r="A106" s="6"/>
      <c r="B106" s="10">
        <f t="shared" si="0"/>
        <v>104</v>
      </c>
      <c r="C106" s="8" t="s">
        <v>609</v>
      </c>
      <c r="D106" s="12" t="s">
        <v>656</v>
      </c>
      <c r="E106" s="12" t="s">
        <v>657</v>
      </c>
      <c r="F106" s="12" t="s">
        <v>612</v>
      </c>
      <c r="G106" s="12" t="s">
        <v>658</v>
      </c>
      <c r="H106" s="12" t="s">
        <v>31</v>
      </c>
      <c r="I106" s="12" t="s">
        <v>23</v>
      </c>
      <c r="J106" s="12" t="s">
        <v>659</v>
      </c>
      <c r="K106" s="12" t="s">
        <v>660</v>
      </c>
      <c r="L106" s="12">
        <v>1</v>
      </c>
      <c r="M106" s="9">
        <f t="shared" si="3"/>
        <v>500</v>
      </c>
      <c r="N106" s="9">
        <v>500</v>
      </c>
      <c r="O106" s="18" t="s">
        <v>26</v>
      </c>
      <c r="P106" s="17" t="s">
        <v>617</v>
      </c>
      <c r="Q106" s="19">
        <f t="shared" si="5"/>
        <v>0.6</v>
      </c>
      <c r="R106" s="12"/>
    </row>
    <row r="107" spans="1:18" s="1" customFormat="1">
      <c r="A107" s="6"/>
      <c r="B107" s="7">
        <f>ROW(B107)-ROW($B$2)</f>
        <v>105</v>
      </c>
      <c r="C107" s="8" t="s">
        <v>609</v>
      </c>
      <c r="D107" s="9" t="s">
        <v>661</v>
      </c>
      <c r="E107" s="9" t="s">
        <v>662</v>
      </c>
      <c r="F107" s="9" t="s">
        <v>612</v>
      </c>
      <c r="G107" s="9" t="s">
        <v>663</v>
      </c>
      <c r="H107" s="9" t="s">
        <v>31</v>
      </c>
      <c r="I107" s="12" t="s">
        <v>23</v>
      </c>
      <c r="J107" s="9" t="s">
        <v>664</v>
      </c>
      <c r="K107" s="9" t="s">
        <v>665</v>
      </c>
      <c r="L107" s="9">
        <v>2</v>
      </c>
      <c r="M107" s="9">
        <f t="shared" si="3"/>
        <v>1000</v>
      </c>
      <c r="N107" s="12">
        <v>1000</v>
      </c>
      <c r="O107" s="18" t="s">
        <v>26</v>
      </c>
      <c r="P107" s="19" t="s">
        <v>666</v>
      </c>
      <c r="Q107" s="17">
        <f t="shared" si="5"/>
        <v>5.3</v>
      </c>
      <c r="R107" s="9"/>
    </row>
    <row r="108" spans="1:18" s="1" customFormat="1">
      <c r="A108" s="6"/>
      <c r="B108" s="10">
        <f t="shared" si="0"/>
        <v>106</v>
      </c>
      <c r="C108" s="8" t="s">
        <v>609</v>
      </c>
      <c r="D108" s="12" t="s">
        <v>667</v>
      </c>
      <c r="E108" s="12" t="s">
        <v>668</v>
      </c>
      <c r="F108" s="12" t="s">
        <v>612</v>
      </c>
      <c r="G108" s="12" t="s">
        <v>669</v>
      </c>
      <c r="H108" s="12" t="s">
        <v>31</v>
      </c>
      <c r="I108" s="12" t="s">
        <v>23</v>
      </c>
      <c r="J108" s="12" t="s">
        <v>670</v>
      </c>
      <c r="K108" s="12" t="s">
        <v>671</v>
      </c>
      <c r="L108" s="12">
        <v>3</v>
      </c>
      <c r="M108" s="9">
        <f t="shared" si="3"/>
        <v>1500</v>
      </c>
      <c r="N108" s="9">
        <v>1500</v>
      </c>
      <c r="O108" s="18" t="s">
        <v>26</v>
      </c>
      <c r="P108" s="17" t="s">
        <v>617</v>
      </c>
      <c r="Q108" s="19">
        <f t="shared" si="5"/>
        <v>1.7999999999999998</v>
      </c>
      <c r="R108" s="12"/>
    </row>
    <row r="109" spans="1:18" s="1" customFormat="1" ht="36">
      <c r="A109" s="6"/>
      <c r="B109" s="7">
        <f>ROW(B109)-ROW($B$2)</f>
        <v>107</v>
      </c>
      <c r="C109" s="8" t="s">
        <v>609</v>
      </c>
      <c r="D109" s="9" t="s">
        <v>672</v>
      </c>
      <c r="E109" s="9" t="s">
        <v>673</v>
      </c>
      <c r="F109" s="9" t="s">
        <v>674</v>
      </c>
      <c r="G109" s="9" t="s">
        <v>675</v>
      </c>
      <c r="H109" s="9" t="s">
        <v>31</v>
      </c>
      <c r="I109" s="12" t="s">
        <v>23</v>
      </c>
      <c r="J109" s="9" t="s">
        <v>676</v>
      </c>
      <c r="K109" s="9" t="s">
        <v>633</v>
      </c>
      <c r="L109" s="9">
        <v>17</v>
      </c>
      <c r="M109" s="9">
        <f t="shared" si="3"/>
        <v>8500</v>
      </c>
      <c r="N109" s="12">
        <v>8500</v>
      </c>
      <c r="O109" s="18" t="s">
        <v>26</v>
      </c>
      <c r="P109" s="19" t="s">
        <v>1233</v>
      </c>
      <c r="Q109" s="17">
        <f t="shared" si="5"/>
        <v>4.25</v>
      </c>
      <c r="R109" s="9"/>
    </row>
    <row r="110" spans="1:18" s="1" customFormat="1">
      <c r="A110" s="6"/>
      <c r="B110" s="10">
        <f t="shared" si="0"/>
        <v>108</v>
      </c>
      <c r="C110" s="8" t="s">
        <v>609</v>
      </c>
      <c r="D110" s="12" t="s">
        <v>678</v>
      </c>
      <c r="E110" s="12" t="s">
        <v>679</v>
      </c>
      <c r="F110" s="12" t="s">
        <v>612</v>
      </c>
      <c r="G110" s="9" t="s">
        <v>680</v>
      </c>
      <c r="H110" s="9" t="s">
        <v>681</v>
      </c>
      <c r="I110" s="12" t="s">
        <v>23</v>
      </c>
      <c r="J110" s="12" t="s">
        <v>682</v>
      </c>
      <c r="K110" s="12" t="s">
        <v>683</v>
      </c>
      <c r="L110" s="12">
        <v>4</v>
      </c>
      <c r="M110" s="9">
        <f t="shared" si="3"/>
        <v>2000</v>
      </c>
      <c r="N110" s="9">
        <v>2000</v>
      </c>
      <c r="O110" s="18" t="s">
        <v>26</v>
      </c>
      <c r="P110" s="17">
        <v>1.35E-2</v>
      </c>
      <c r="Q110" s="19">
        <f t="shared" si="5"/>
        <v>27</v>
      </c>
      <c r="R110" s="12"/>
    </row>
    <row r="111" spans="1:18" s="1" customFormat="1">
      <c r="A111" s="6"/>
      <c r="B111" s="7">
        <f>ROW(B111)-ROW($B$2)</f>
        <v>109</v>
      </c>
      <c r="C111" s="8" t="s">
        <v>609</v>
      </c>
      <c r="D111" s="9" t="s">
        <v>685</v>
      </c>
      <c r="E111" s="9" t="s">
        <v>686</v>
      </c>
      <c r="F111" s="9" t="s">
        <v>612</v>
      </c>
      <c r="G111" s="9" t="s">
        <v>687</v>
      </c>
      <c r="H111" s="9" t="s">
        <v>31</v>
      </c>
      <c r="I111" s="12" t="s">
        <v>23</v>
      </c>
      <c r="J111" s="9" t="s">
        <v>688</v>
      </c>
      <c r="K111" s="9" t="s">
        <v>689</v>
      </c>
      <c r="L111" s="9">
        <v>1</v>
      </c>
      <c r="M111" s="9">
        <f t="shared" si="3"/>
        <v>500</v>
      </c>
      <c r="N111" s="12">
        <v>500</v>
      </c>
      <c r="O111" s="18" t="s">
        <v>26</v>
      </c>
      <c r="P111" s="19" t="s">
        <v>690</v>
      </c>
      <c r="Q111" s="17">
        <f t="shared" si="5"/>
        <v>4.1000000000000005</v>
      </c>
      <c r="R111" s="9"/>
    </row>
    <row r="112" spans="1:18" s="1" customFormat="1">
      <c r="A112" s="6"/>
      <c r="B112" s="10">
        <f t="shared" si="0"/>
        <v>110</v>
      </c>
      <c r="C112" s="8" t="s">
        <v>609</v>
      </c>
      <c r="D112" s="12" t="s">
        <v>691</v>
      </c>
      <c r="E112" s="12" t="s">
        <v>692</v>
      </c>
      <c r="F112" s="12" t="s">
        <v>612</v>
      </c>
      <c r="G112" s="12" t="s">
        <v>693</v>
      </c>
      <c r="H112" s="12" t="s">
        <v>31</v>
      </c>
      <c r="I112" s="12" t="s">
        <v>23</v>
      </c>
      <c r="J112" s="12" t="s">
        <v>694</v>
      </c>
      <c r="K112" s="12" t="s">
        <v>695</v>
      </c>
      <c r="L112" s="12">
        <v>4</v>
      </c>
      <c r="M112" s="9">
        <f t="shared" si="3"/>
        <v>2000</v>
      </c>
      <c r="N112" s="9">
        <v>2000</v>
      </c>
      <c r="O112" s="18" t="s">
        <v>26</v>
      </c>
      <c r="P112" s="17" t="s">
        <v>617</v>
      </c>
      <c r="Q112" s="19">
        <f t="shared" si="5"/>
        <v>2.4</v>
      </c>
      <c r="R112" s="12"/>
    </row>
    <row r="113" spans="1:18" s="1" customFormat="1">
      <c r="A113" s="6"/>
      <c r="B113" s="7">
        <f>ROW(B113)-ROW($B$2)</f>
        <v>111</v>
      </c>
      <c r="C113" s="8" t="s">
        <v>609</v>
      </c>
      <c r="D113" s="9" t="s">
        <v>696</v>
      </c>
      <c r="E113" s="9" t="s">
        <v>697</v>
      </c>
      <c r="F113" s="9" t="s">
        <v>612</v>
      </c>
      <c r="G113" s="9" t="s">
        <v>698</v>
      </c>
      <c r="H113" s="9" t="s">
        <v>31</v>
      </c>
      <c r="I113" s="12" t="s">
        <v>23</v>
      </c>
      <c r="J113" s="9" t="s">
        <v>699</v>
      </c>
      <c r="K113" s="9" t="s">
        <v>683</v>
      </c>
      <c r="L113" s="9">
        <v>7</v>
      </c>
      <c r="M113" s="9">
        <f t="shared" si="3"/>
        <v>3500</v>
      </c>
      <c r="N113" s="12">
        <v>3500</v>
      </c>
      <c r="O113" s="18" t="s">
        <v>26</v>
      </c>
      <c r="P113" s="19">
        <v>8.0000000000000004E-4</v>
      </c>
      <c r="Q113" s="17">
        <f t="shared" si="5"/>
        <v>2.8000000000000003</v>
      </c>
      <c r="R113" s="9"/>
    </row>
    <row r="114" spans="1:18" s="1" customFormat="1">
      <c r="A114" s="6"/>
      <c r="B114" s="10">
        <f t="shared" si="0"/>
        <v>112</v>
      </c>
      <c r="C114" s="8" t="s">
        <v>609</v>
      </c>
      <c r="D114" s="12" t="s">
        <v>700</v>
      </c>
      <c r="E114" s="12" t="s">
        <v>701</v>
      </c>
      <c r="F114" s="12" t="s">
        <v>612</v>
      </c>
      <c r="G114" s="12" t="s">
        <v>702</v>
      </c>
      <c r="H114" s="12" t="s">
        <v>31</v>
      </c>
      <c r="I114" s="12" t="s">
        <v>23</v>
      </c>
      <c r="J114" s="12" t="s">
        <v>703</v>
      </c>
      <c r="K114" s="12" t="s">
        <v>704</v>
      </c>
      <c r="L114" s="12">
        <v>2</v>
      </c>
      <c r="M114" s="9">
        <f t="shared" si="3"/>
        <v>1000</v>
      </c>
      <c r="N114" s="9">
        <v>1000</v>
      </c>
      <c r="O114" s="18" t="s">
        <v>26</v>
      </c>
      <c r="P114" s="17" t="s">
        <v>617</v>
      </c>
      <c r="Q114" s="19">
        <f t="shared" si="5"/>
        <v>1.2</v>
      </c>
      <c r="R114" s="12"/>
    </row>
    <row r="115" spans="1:18" s="1" customFormat="1">
      <c r="A115" s="6"/>
      <c r="B115" s="7">
        <f>ROW(B115)-ROW($B$2)</f>
        <v>113</v>
      </c>
      <c r="C115" s="8" t="s">
        <v>609</v>
      </c>
      <c r="D115" s="13" t="s">
        <v>705</v>
      </c>
      <c r="E115" s="13" t="s">
        <v>706</v>
      </c>
      <c r="F115" s="13" t="s">
        <v>674</v>
      </c>
      <c r="G115" s="13" t="s">
        <v>707</v>
      </c>
      <c r="H115" s="13" t="s">
        <v>31</v>
      </c>
      <c r="I115" s="12" t="s">
        <v>23</v>
      </c>
      <c r="J115" s="13" t="s">
        <v>708</v>
      </c>
      <c r="K115" s="13" t="s">
        <v>709</v>
      </c>
      <c r="L115" s="13">
        <v>1</v>
      </c>
      <c r="M115" s="9">
        <f t="shared" si="3"/>
        <v>500</v>
      </c>
      <c r="N115" s="23" t="s">
        <v>42</v>
      </c>
      <c r="O115" s="25" t="s">
        <v>26</v>
      </c>
      <c r="P115" s="26" t="s">
        <v>23</v>
      </c>
      <c r="Q115" s="24" t="s">
        <v>23</v>
      </c>
      <c r="R115" s="27" t="s">
        <v>550</v>
      </c>
    </row>
    <row r="116" spans="1:18" s="1" customFormat="1">
      <c r="A116" s="6"/>
      <c r="B116" s="10">
        <f t="shared" si="0"/>
        <v>114</v>
      </c>
      <c r="C116" s="8" t="s">
        <v>609</v>
      </c>
      <c r="D116" s="23" t="s">
        <v>710</v>
      </c>
      <c r="E116" s="23" t="s">
        <v>711</v>
      </c>
      <c r="F116" s="23" t="s">
        <v>612</v>
      </c>
      <c r="G116" s="23" t="s">
        <v>712</v>
      </c>
      <c r="H116" s="23" t="s">
        <v>31</v>
      </c>
      <c r="I116" s="12" t="s">
        <v>23</v>
      </c>
      <c r="J116" s="23" t="s">
        <v>713</v>
      </c>
      <c r="K116" s="23" t="s">
        <v>709</v>
      </c>
      <c r="L116" s="23">
        <v>7</v>
      </c>
      <c r="M116" s="9">
        <f t="shared" si="3"/>
        <v>3500</v>
      </c>
      <c r="N116" s="13" t="s">
        <v>1235</v>
      </c>
      <c r="O116" s="25" t="s">
        <v>26</v>
      </c>
      <c r="P116" s="24" t="s">
        <v>23</v>
      </c>
      <c r="Q116" s="26" t="s">
        <v>23</v>
      </c>
      <c r="R116" s="27" t="s">
        <v>550</v>
      </c>
    </row>
    <row r="117" spans="1:18" s="1" customFormat="1" ht="84">
      <c r="A117" s="6"/>
      <c r="B117" s="7">
        <f>ROW(B117)-ROW($B$2)</f>
        <v>115</v>
      </c>
      <c r="C117" s="8" t="s">
        <v>609</v>
      </c>
      <c r="D117" s="9" t="s">
        <v>714</v>
      </c>
      <c r="E117" s="9" t="s">
        <v>711</v>
      </c>
      <c r="F117" s="9" t="s">
        <v>612</v>
      </c>
      <c r="G117" s="9" t="s">
        <v>712</v>
      </c>
      <c r="H117" s="9" t="s">
        <v>31</v>
      </c>
      <c r="I117" s="12" t="s">
        <v>23</v>
      </c>
      <c r="J117" s="9" t="s">
        <v>713</v>
      </c>
      <c r="K117" s="9" t="s">
        <v>715</v>
      </c>
      <c r="L117" s="9">
        <v>44</v>
      </c>
      <c r="M117" s="9">
        <f t="shared" si="3"/>
        <v>22000</v>
      </c>
      <c r="N117" s="12">
        <v>22000</v>
      </c>
      <c r="O117" s="18" t="s">
        <v>26</v>
      </c>
      <c r="P117" s="19">
        <v>6.9999999999999999E-4</v>
      </c>
      <c r="Q117" s="17">
        <f>P117*N117</f>
        <v>15.4</v>
      </c>
      <c r="R117" s="9"/>
    </row>
    <row r="118" spans="1:18" s="1" customFormat="1">
      <c r="A118" s="6"/>
      <c r="B118" s="10">
        <f t="shared" si="0"/>
        <v>116</v>
      </c>
      <c r="C118" s="8" t="s">
        <v>609</v>
      </c>
      <c r="D118" s="12" t="s">
        <v>717</v>
      </c>
      <c r="E118" s="12" t="s">
        <v>718</v>
      </c>
      <c r="F118" s="12" t="s">
        <v>612</v>
      </c>
      <c r="G118" s="12" t="s">
        <v>719</v>
      </c>
      <c r="H118" s="12" t="s">
        <v>31</v>
      </c>
      <c r="I118" s="12" t="s">
        <v>23</v>
      </c>
      <c r="J118" s="12" t="s">
        <v>720</v>
      </c>
      <c r="K118" s="12" t="s">
        <v>649</v>
      </c>
      <c r="L118" s="12">
        <v>1</v>
      </c>
      <c r="M118" s="9">
        <f t="shared" si="3"/>
        <v>500</v>
      </c>
      <c r="N118" s="9">
        <v>500</v>
      </c>
      <c r="O118" s="18" t="s">
        <v>26</v>
      </c>
      <c r="P118" s="17">
        <v>1.5800000000000002E-2</v>
      </c>
      <c r="Q118" s="19">
        <f t="shared" ref="Q118:Q143" si="6">P118*N118</f>
        <v>7.9</v>
      </c>
      <c r="R118" s="12"/>
    </row>
    <row r="119" spans="1:18" s="1" customFormat="1">
      <c r="A119" s="6"/>
      <c r="B119" s="7">
        <f>ROW(B119)-ROW($B$2)</f>
        <v>117</v>
      </c>
      <c r="C119" s="8" t="s">
        <v>609</v>
      </c>
      <c r="D119" s="9" t="s">
        <v>722</v>
      </c>
      <c r="E119" s="9" t="s">
        <v>723</v>
      </c>
      <c r="F119" s="9" t="s">
        <v>724</v>
      </c>
      <c r="G119" s="9" t="s">
        <v>725</v>
      </c>
      <c r="H119" s="9" t="s">
        <v>31</v>
      </c>
      <c r="I119" s="12" t="s">
        <v>23</v>
      </c>
      <c r="J119" s="9" t="s">
        <v>726</v>
      </c>
      <c r="K119" s="9" t="s">
        <v>727</v>
      </c>
      <c r="L119" s="9">
        <v>1</v>
      </c>
      <c r="M119" s="9">
        <f t="shared" si="3"/>
        <v>500</v>
      </c>
      <c r="N119" s="12">
        <v>500</v>
      </c>
      <c r="O119" s="18" t="s">
        <v>26</v>
      </c>
      <c r="P119" s="19" t="s">
        <v>50</v>
      </c>
      <c r="Q119" s="17">
        <f t="shared" si="6"/>
        <v>1.1000000000000001</v>
      </c>
      <c r="R119" s="9"/>
    </row>
    <row r="120" spans="1:18" s="1" customFormat="1">
      <c r="A120" s="6"/>
      <c r="B120" s="10">
        <f t="shared" si="0"/>
        <v>118</v>
      </c>
      <c r="C120" s="8" t="s">
        <v>609</v>
      </c>
      <c r="D120" s="12" t="s">
        <v>728</v>
      </c>
      <c r="E120" s="12" t="s">
        <v>729</v>
      </c>
      <c r="F120" s="12" t="s">
        <v>612</v>
      </c>
      <c r="G120" s="12" t="s">
        <v>730</v>
      </c>
      <c r="H120" s="12" t="s">
        <v>31</v>
      </c>
      <c r="I120" s="12" t="s">
        <v>23</v>
      </c>
      <c r="J120" s="12" t="s">
        <v>731</v>
      </c>
      <c r="K120" s="12" t="s">
        <v>732</v>
      </c>
      <c r="L120" s="12">
        <v>4</v>
      </c>
      <c r="M120" s="9">
        <f t="shared" si="3"/>
        <v>2000</v>
      </c>
      <c r="N120" s="9">
        <v>2000</v>
      </c>
      <c r="O120" s="18" t="s">
        <v>26</v>
      </c>
      <c r="P120" s="17" t="s">
        <v>120</v>
      </c>
      <c r="Q120" s="19">
        <f t="shared" si="6"/>
        <v>2.2000000000000002</v>
      </c>
      <c r="R120" s="12"/>
    </row>
    <row r="121" spans="1:18" s="1" customFormat="1">
      <c r="A121" s="6"/>
      <c r="B121" s="7">
        <f>ROW(B121)-ROW($B$2)</f>
        <v>119</v>
      </c>
      <c r="C121" s="8" t="s">
        <v>609</v>
      </c>
      <c r="D121" s="9" t="s">
        <v>733</v>
      </c>
      <c r="E121" s="9" t="s">
        <v>734</v>
      </c>
      <c r="F121" s="9" t="s">
        <v>612</v>
      </c>
      <c r="G121" s="9" t="s">
        <v>735</v>
      </c>
      <c r="H121" s="9" t="s">
        <v>31</v>
      </c>
      <c r="I121" s="12" t="s">
        <v>23</v>
      </c>
      <c r="J121" s="9" t="s">
        <v>736</v>
      </c>
      <c r="K121" s="9" t="s">
        <v>737</v>
      </c>
      <c r="L121" s="9">
        <v>1</v>
      </c>
      <c r="M121" s="9">
        <f t="shared" si="3"/>
        <v>500</v>
      </c>
      <c r="N121" s="12">
        <v>500</v>
      </c>
      <c r="O121" s="18" t="s">
        <v>26</v>
      </c>
      <c r="P121" s="19">
        <v>1.9199999999999998E-2</v>
      </c>
      <c r="Q121" s="17">
        <f t="shared" si="6"/>
        <v>9.6</v>
      </c>
      <c r="R121" s="9"/>
    </row>
    <row r="122" spans="1:18" s="1" customFormat="1">
      <c r="A122" s="6"/>
      <c r="B122" s="10">
        <f t="shared" si="0"/>
        <v>120</v>
      </c>
      <c r="C122" s="8" t="s">
        <v>609</v>
      </c>
      <c r="D122" s="12" t="s">
        <v>739</v>
      </c>
      <c r="E122" s="12" t="s">
        <v>740</v>
      </c>
      <c r="F122" s="12" t="s">
        <v>652</v>
      </c>
      <c r="G122" s="12" t="s">
        <v>741</v>
      </c>
      <c r="H122" s="12" t="s">
        <v>742</v>
      </c>
      <c r="I122" s="12" t="s">
        <v>23</v>
      </c>
      <c r="J122" s="12" t="s">
        <v>743</v>
      </c>
      <c r="K122" s="12" t="s">
        <v>744</v>
      </c>
      <c r="L122" s="12">
        <v>2</v>
      </c>
      <c r="M122" s="9">
        <f t="shared" si="3"/>
        <v>1000</v>
      </c>
      <c r="N122" s="9">
        <v>1000</v>
      </c>
      <c r="O122" s="18" t="s">
        <v>26</v>
      </c>
      <c r="P122" s="17">
        <v>3.5700000000000003E-2</v>
      </c>
      <c r="Q122" s="19">
        <f t="shared" si="6"/>
        <v>35.700000000000003</v>
      </c>
      <c r="R122" s="12"/>
    </row>
    <row r="123" spans="1:18" s="1" customFormat="1">
      <c r="A123" s="6"/>
      <c r="B123" s="7">
        <f>ROW(B123)-ROW($B$2)</f>
        <v>121</v>
      </c>
      <c r="C123" s="8" t="s">
        <v>609</v>
      </c>
      <c r="D123" s="9" t="s">
        <v>746</v>
      </c>
      <c r="E123" s="9" t="s">
        <v>747</v>
      </c>
      <c r="F123" s="9" t="s">
        <v>612</v>
      </c>
      <c r="G123" s="9" t="s">
        <v>748</v>
      </c>
      <c r="H123" s="9" t="s">
        <v>31</v>
      </c>
      <c r="I123" s="12" t="s">
        <v>23</v>
      </c>
      <c r="J123" s="9" t="s">
        <v>749</v>
      </c>
      <c r="K123" s="9" t="s">
        <v>750</v>
      </c>
      <c r="L123" s="9">
        <v>2</v>
      </c>
      <c r="M123" s="9">
        <f t="shared" si="3"/>
        <v>1000</v>
      </c>
      <c r="N123" s="9">
        <v>1000</v>
      </c>
      <c r="O123" s="18" t="s">
        <v>26</v>
      </c>
      <c r="P123" s="19" t="s">
        <v>617</v>
      </c>
      <c r="Q123" s="17">
        <f t="shared" si="6"/>
        <v>1.2</v>
      </c>
      <c r="R123" s="9"/>
    </row>
    <row r="124" spans="1:18" s="1" customFormat="1">
      <c r="A124" s="6"/>
      <c r="B124" s="10">
        <f t="shared" si="0"/>
        <v>122</v>
      </c>
      <c r="C124" s="8" t="s">
        <v>609</v>
      </c>
      <c r="D124" s="12" t="s">
        <v>751</v>
      </c>
      <c r="E124" s="12" t="s">
        <v>752</v>
      </c>
      <c r="F124" s="12" t="s">
        <v>724</v>
      </c>
      <c r="G124" s="12" t="s">
        <v>753</v>
      </c>
      <c r="H124" s="12" t="s">
        <v>31</v>
      </c>
      <c r="I124" s="12" t="s">
        <v>23</v>
      </c>
      <c r="J124" s="12" t="s">
        <v>754</v>
      </c>
      <c r="K124" s="12" t="s">
        <v>755</v>
      </c>
      <c r="L124" s="12">
        <v>1</v>
      </c>
      <c r="M124" s="9">
        <f t="shared" si="3"/>
        <v>500</v>
      </c>
      <c r="N124" s="9">
        <v>500</v>
      </c>
      <c r="O124" s="18" t="s">
        <v>26</v>
      </c>
      <c r="P124" s="17" t="s">
        <v>756</v>
      </c>
      <c r="Q124" s="19">
        <f t="shared" si="6"/>
        <v>2.4499999999999997</v>
      </c>
      <c r="R124" s="12"/>
    </row>
    <row r="125" spans="1:18" s="1" customFormat="1">
      <c r="A125" s="6"/>
      <c r="B125" s="7">
        <f>ROW(B125)-ROW($B$2)</f>
        <v>123</v>
      </c>
      <c r="C125" s="8" t="s">
        <v>609</v>
      </c>
      <c r="D125" s="9" t="s">
        <v>757</v>
      </c>
      <c r="E125" s="9" t="s">
        <v>758</v>
      </c>
      <c r="F125" s="9" t="s">
        <v>674</v>
      </c>
      <c r="G125" s="9" t="s">
        <v>759</v>
      </c>
      <c r="H125" s="9" t="s">
        <v>31</v>
      </c>
      <c r="I125" s="12" t="s">
        <v>23</v>
      </c>
      <c r="J125" s="9" t="s">
        <v>760</v>
      </c>
      <c r="K125" s="9" t="s">
        <v>761</v>
      </c>
      <c r="L125" s="9">
        <v>1</v>
      </c>
      <c r="M125" s="9">
        <f t="shared" si="3"/>
        <v>500</v>
      </c>
      <c r="N125" s="9">
        <v>500</v>
      </c>
      <c r="O125" s="18" t="s">
        <v>26</v>
      </c>
      <c r="P125" s="19">
        <v>3.1899999999999998E-2</v>
      </c>
      <c r="Q125" s="17">
        <f t="shared" si="6"/>
        <v>15.95</v>
      </c>
      <c r="R125" s="9"/>
    </row>
    <row r="126" spans="1:18" s="1" customFormat="1">
      <c r="A126" s="6"/>
      <c r="B126" s="10">
        <f t="shared" si="0"/>
        <v>124</v>
      </c>
      <c r="C126" s="8" t="s">
        <v>609</v>
      </c>
      <c r="D126" s="12" t="s">
        <v>763</v>
      </c>
      <c r="E126" s="12" t="s">
        <v>764</v>
      </c>
      <c r="F126" s="12" t="s">
        <v>674</v>
      </c>
      <c r="G126" s="12" t="s">
        <v>765</v>
      </c>
      <c r="H126" s="12" t="s">
        <v>31</v>
      </c>
      <c r="I126" s="12" t="s">
        <v>23</v>
      </c>
      <c r="J126" s="12" t="s">
        <v>766</v>
      </c>
      <c r="K126" s="12" t="s">
        <v>767</v>
      </c>
      <c r="L126" s="12">
        <v>1</v>
      </c>
      <c r="M126" s="9">
        <f t="shared" si="3"/>
        <v>500</v>
      </c>
      <c r="N126" s="9">
        <v>500</v>
      </c>
      <c r="O126" s="18" t="s">
        <v>26</v>
      </c>
      <c r="P126" s="17">
        <v>1.6199999999999999E-2</v>
      </c>
      <c r="Q126" s="19">
        <f t="shared" si="6"/>
        <v>8.1</v>
      </c>
      <c r="R126" s="12"/>
    </row>
    <row r="127" spans="1:18" s="1" customFormat="1">
      <c r="A127" s="6"/>
      <c r="B127" s="7">
        <f>ROW(B127)-ROW($B$2)</f>
        <v>125</v>
      </c>
      <c r="C127" s="8" t="s">
        <v>609</v>
      </c>
      <c r="D127" s="9" t="s">
        <v>769</v>
      </c>
      <c r="E127" s="9" t="s">
        <v>770</v>
      </c>
      <c r="F127" s="9" t="s">
        <v>612</v>
      </c>
      <c r="G127" s="9" t="s">
        <v>771</v>
      </c>
      <c r="H127" s="9" t="s">
        <v>31</v>
      </c>
      <c r="I127" s="12" t="s">
        <v>23</v>
      </c>
      <c r="J127" s="9" t="s">
        <v>772</v>
      </c>
      <c r="K127" s="9" t="s">
        <v>773</v>
      </c>
      <c r="L127" s="9">
        <v>1</v>
      </c>
      <c r="M127" s="9">
        <f t="shared" si="3"/>
        <v>500</v>
      </c>
      <c r="N127" s="9">
        <v>500</v>
      </c>
      <c r="O127" s="18" t="s">
        <v>26</v>
      </c>
      <c r="P127" s="19">
        <v>4.7399999999999998E-2</v>
      </c>
      <c r="Q127" s="17">
        <f t="shared" si="6"/>
        <v>23.7</v>
      </c>
      <c r="R127" s="9"/>
    </row>
    <row r="128" spans="1:18" s="1" customFormat="1" ht="24">
      <c r="A128" s="6"/>
      <c r="B128" s="10">
        <f t="shared" si="0"/>
        <v>126</v>
      </c>
      <c r="C128" s="8" t="s">
        <v>609</v>
      </c>
      <c r="D128" s="12" t="s">
        <v>775</v>
      </c>
      <c r="E128" s="12" t="s">
        <v>776</v>
      </c>
      <c r="F128" s="12" t="s">
        <v>674</v>
      </c>
      <c r="G128" s="12" t="s">
        <v>777</v>
      </c>
      <c r="H128" s="12" t="s">
        <v>31</v>
      </c>
      <c r="I128" s="12" t="s">
        <v>23</v>
      </c>
      <c r="J128" s="12" t="s">
        <v>778</v>
      </c>
      <c r="K128" s="12" t="s">
        <v>715</v>
      </c>
      <c r="L128" s="12">
        <v>10</v>
      </c>
      <c r="M128" s="9">
        <f t="shared" si="3"/>
        <v>5000</v>
      </c>
      <c r="N128" s="9">
        <v>5000</v>
      </c>
      <c r="O128" s="18" t="s">
        <v>26</v>
      </c>
      <c r="P128" s="17">
        <v>5.0000000000000001E-4</v>
      </c>
      <c r="Q128" s="19">
        <f t="shared" si="6"/>
        <v>2.5</v>
      </c>
      <c r="R128" s="12"/>
    </row>
    <row r="129" spans="1:18" s="1" customFormat="1">
      <c r="A129" s="6"/>
      <c r="B129" s="7">
        <f>ROW(B129)-ROW($B$2)</f>
        <v>127</v>
      </c>
      <c r="C129" s="8" t="s">
        <v>609</v>
      </c>
      <c r="D129" s="9" t="s">
        <v>780</v>
      </c>
      <c r="E129" s="9" t="s">
        <v>781</v>
      </c>
      <c r="F129" s="9" t="s">
        <v>724</v>
      </c>
      <c r="G129" s="9" t="s">
        <v>782</v>
      </c>
      <c r="H129" s="9" t="s">
        <v>31</v>
      </c>
      <c r="I129" s="12" t="s">
        <v>23</v>
      </c>
      <c r="J129" s="9" t="s">
        <v>783</v>
      </c>
      <c r="K129" s="9" t="s">
        <v>784</v>
      </c>
      <c r="L129" s="9">
        <v>1</v>
      </c>
      <c r="M129" s="9">
        <f t="shared" si="3"/>
        <v>500</v>
      </c>
      <c r="N129" s="12">
        <v>500</v>
      </c>
      <c r="O129" s="18" t="s">
        <v>26</v>
      </c>
      <c r="P129" s="19" t="s">
        <v>785</v>
      </c>
      <c r="Q129" s="17">
        <f t="shared" si="6"/>
        <v>1.35</v>
      </c>
      <c r="R129" s="9"/>
    </row>
    <row r="130" spans="1:18" s="1" customFormat="1">
      <c r="A130" s="6"/>
      <c r="B130" s="10">
        <f t="shared" si="0"/>
        <v>128</v>
      </c>
      <c r="C130" s="8" t="s">
        <v>609</v>
      </c>
      <c r="D130" s="12" t="s">
        <v>786</v>
      </c>
      <c r="E130" s="12" t="s">
        <v>787</v>
      </c>
      <c r="F130" s="12" t="s">
        <v>612</v>
      </c>
      <c r="G130" s="12" t="s">
        <v>788</v>
      </c>
      <c r="H130" s="12" t="s">
        <v>31</v>
      </c>
      <c r="I130" s="12" t="s">
        <v>23</v>
      </c>
      <c r="J130" s="12" t="s">
        <v>789</v>
      </c>
      <c r="K130" s="12" t="s">
        <v>790</v>
      </c>
      <c r="L130" s="12">
        <v>1</v>
      </c>
      <c r="M130" s="9">
        <f t="shared" si="3"/>
        <v>500</v>
      </c>
      <c r="N130" s="9">
        <v>500</v>
      </c>
      <c r="O130" s="18" t="s">
        <v>26</v>
      </c>
      <c r="P130" s="17" t="s">
        <v>617</v>
      </c>
      <c r="Q130" s="19">
        <f t="shared" si="6"/>
        <v>0.6</v>
      </c>
      <c r="R130" s="12"/>
    </row>
    <row r="131" spans="1:18" s="1" customFormat="1" ht="36">
      <c r="A131" s="6"/>
      <c r="B131" s="7">
        <f>ROW(B131)-ROW($B$2)</f>
        <v>129</v>
      </c>
      <c r="C131" s="8" t="s">
        <v>609</v>
      </c>
      <c r="D131" s="9" t="s">
        <v>791</v>
      </c>
      <c r="E131" s="9" t="s">
        <v>792</v>
      </c>
      <c r="F131" s="9" t="s">
        <v>612</v>
      </c>
      <c r="G131" s="9" t="s">
        <v>793</v>
      </c>
      <c r="H131" s="9" t="s">
        <v>794</v>
      </c>
      <c r="I131" s="12" t="s">
        <v>23</v>
      </c>
      <c r="J131" s="9" t="s">
        <v>795</v>
      </c>
      <c r="K131" s="9" t="s">
        <v>761</v>
      </c>
      <c r="L131" s="9">
        <v>1</v>
      </c>
      <c r="M131" s="9">
        <f t="shared" si="3"/>
        <v>500</v>
      </c>
      <c r="N131" s="9">
        <v>500</v>
      </c>
      <c r="O131" s="18" t="s">
        <v>26</v>
      </c>
      <c r="P131" s="19">
        <v>2.2200000000000001E-2</v>
      </c>
      <c r="Q131" s="17">
        <f t="shared" si="6"/>
        <v>11.1</v>
      </c>
      <c r="R131" s="9"/>
    </row>
    <row r="132" spans="1:18" s="1" customFormat="1">
      <c r="A132" s="6"/>
      <c r="B132" s="10">
        <f t="shared" si="0"/>
        <v>130</v>
      </c>
      <c r="C132" s="8" t="s">
        <v>609</v>
      </c>
      <c r="D132" s="12" t="s">
        <v>797</v>
      </c>
      <c r="E132" s="12" t="s">
        <v>798</v>
      </c>
      <c r="F132" s="12" t="s">
        <v>674</v>
      </c>
      <c r="G132" s="12" t="s">
        <v>799</v>
      </c>
      <c r="H132" s="12" t="s">
        <v>31</v>
      </c>
      <c r="I132" s="12" t="s">
        <v>23</v>
      </c>
      <c r="J132" s="12" t="s">
        <v>800</v>
      </c>
      <c r="K132" s="12" t="s">
        <v>801</v>
      </c>
      <c r="L132" s="12">
        <v>1</v>
      </c>
      <c r="M132" s="9">
        <f t="shared" ref="M132:M195" si="7">L132*500</f>
        <v>500</v>
      </c>
      <c r="N132" s="9">
        <v>500</v>
      </c>
      <c r="O132" s="18" t="s">
        <v>26</v>
      </c>
      <c r="P132" s="17">
        <v>1.61E-2</v>
      </c>
      <c r="Q132" s="19">
        <f t="shared" si="6"/>
        <v>8.0500000000000007</v>
      </c>
      <c r="R132" s="12"/>
    </row>
    <row r="133" spans="1:18" s="1" customFormat="1">
      <c r="A133" s="6"/>
      <c r="B133" s="7">
        <f>ROW(B133)-ROW($B$2)</f>
        <v>131</v>
      </c>
      <c r="C133" s="8" t="s">
        <v>609</v>
      </c>
      <c r="D133" s="9" t="s">
        <v>803</v>
      </c>
      <c r="E133" s="9" t="s">
        <v>804</v>
      </c>
      <c r="F133" s="9" t="s">
        <v>805</v>
      </c>
      <c r="G133" s="9" t="s">
        <v>806</v>
      </c>
      <c r="H133" s="9" t="s">
        <v>31</v>
      </c>
      <c r="I133" s="12" t="s">
        <v>23</v>
      </c>
      <c r="J133" s="9" t="s">
        <v>807</v>
      </c>
      <c r="K133" s="9" t="s">
        <v>715</v>
      </c>
      <c r="L133" s="9">
        <v>1</v>
      </c>
      <c r="M133" s="9">
        <f t="shared" si="7"/>
        <v>500</v>
      </c>
      <c r="N133" s="9">
        <v>500</v>
      </c>
      <c r="O133" s="18" t="s">
        <v>26</v>
      </c>
      <c r="P133" s="19">
        <v>2.4799999999999999E-2</v>
      </c>
      <c r="Q133" s="17">
        <f t="shared" si="6"/>
        <v>12.4</v>
      </c>
      <c r="R133" s="9"/>
    </row>
    <row r="134" spans="1:18" s="1" customFormat="1">
      <c r="A134" s="6"/>
      <c r="B134" s="10">
        <f t="shared" si="0"/>
        <v>132</v>
      </c>
      <c r="C134" s="8" t="s">
        <v>609</v>
      </c>
      <c r="D134" s="12" t="s">
        <v>809</v>
      </c>
      <c r="E134" s="12" t="s">
        <v>810</v>
      </c>
      <c r="F134" s="12" t="s">
        <v>674</v>
      </c>
      <c r="G134" s="12" t="s">
        <v>811</v>
      </c>
      <c r="H134" s="12" t="s">
        <v>31</v>
      </c>
      <c r="I134" s="12" t="s">
        <v>23</v>
      </c>
      <c r="J134" s="12" t="s">
        <v>812</v>
      </c>
      <c r="K134" s="12" t="s">
        <v>813</v>
      </c>
      <c r="L134" s="12">
        <v>1</v>
      </c>
      <c r="M134" s="9">
        <f t="shared" si="7"/>
        <v>500</v>
      </c>
      <c r="N134" s="9">
        <v>500</v>
      </c>
      <c r="O134" s="18" t="s">
        <v>26</v>
      </c>
      <c r="P134" s="17" t="s">
        <v>814</v>
      </c>
      <c r="Q134" s="19">
        <f t="shared" si="6"/>
        <v>0.8</v>
      </c>
      <c r="R134" s="12"/>
    </row>
    <row r="135" spans="1:18" s="1" customFormat="1">
      <c r="A135" s="6"/>
      <c r="B135" s="7">
        <f>ROW(B135)-ROW($B$2)</f>
        <v>133</v>
      </c>
      <c r="C135" s="8" t="s">
        <v>609</v>
      </c>
      <c r="D135" s="9" t="s">
        <v>815</v>
      </c>
      <c r="E135" s="9" t="s">
        <v>816</v>
      </c>
      <c r="F135" s="9" t="s">
        <v>817</v>
      </c>
      <c r="G135" s="9" t="s">
        <v>818</v>
      </c>
      <c r="H135" s="9" t="s">
        <v>31</v>
      </c>
      <c r="I135" s="12" t="s">
        <v>23</v>
      </c>
      <c r="J135" s="9" t="s">
        <v>819</v>
      </c>
      <c r="K135" s="9" t="s">
        <v>727</v>
      </c>
      <c r="L135" s="9">
        <v>1</v>
      </c>
      <c r="M135" s="9">
        <f t="shared" si="7"/>
        <v>500</v>
      </c>
      <c r="N135" s="9">
        <v>500</v>
      </c>
      <c r="O135" s="18" t="s">
        <v>26</v>
      </c>
      <c r="P135" s="19" t="s">
        <v>820</v>
      </c>
      <c r="Q135" s="17">
        <f t="shared" si="6"/>
        <v>0.4</v>
      </c>
      <c r="R135" s="9"/>
    </row>
    <row r="136" spans="1:18" s="1" customFormat="1">
      <c r="A136" s="6"/>
      <c r="B136" s="10">
        <f t="shared" si="0"/>
        <v>134</v>
      </c>
      <c r="C136" s="8" t="s">
        <v>609</v>
      </c>
      <c r="D136" s="12" t="s">
        <v>821</v>
      </c>
      <c r="E136" s="12" t="s">
        <v>822</v>
      </c>
      <c r="F136" s="12" t="s">
        <v>674</v>
      </c>
      <c r="G136" s="12" t="s">
        <v>823</v>
      </c>
      <c r="H136" s="12" t="s">
        <v>31</v>
      </c>
      <c r="I136" s="12" t="s">
        <v>23</v>
      </c>
      <c r="J136" s="12" t="s">
        <v>824</v>
      </c>
      <c r="K136" s="12" t="s">
        <v>825</v>
      </c>
      <c r="L136" s="12">
        <v>1</v>
      </c>
      <c r="M136" s="9">
        <f t="shared" si="7"/>
        <v>500</v>
      </c>
      <c r="N136" s="9">
        <v>500</v>
      </c>
      <c r="O136" s="18" t="s">
        <v>26</v>
      </c>
      <c r="P136" s="17" t="s">
        <v>677</v>
      </c>
      <c r="Q136" s="19">
        <f t="shared" si="6"/>
        <v>0.35</v>
      </c>
      <c r="R136" s="12"/>
    </row>
    <row r="137" spans="1:18" s="1" customFormat="1">
      <c r="A137" s="6"/>
      <c r="B137" s="7">
        <f>ROW(B137)-ROW($B$2)</f>
        <v>135</v>
      </c>
      <c r="C137" s="8" t="s">
        <v>609</v>
      </c>
      <c r="D137" s="9" t="s">
        <v>826</v>
      </c>
      <c r="E137" s="9" t="s">
        <v>827</v>
      </c>
      <c r="F137" s="9" t="s">
        <v>828</v>
      </c>
      <c r="G137" s="9" t="s">
        <v>829</v>
      </c>
      <c r="H137" s="9" t="s">
        <v>31</v>
      </c>
      <c r="I137" s="12" t="s">
        <v>23</v>
      </c>
      <c r="J137" s="9" t="s">
        <v>830</v>
      </c>
      <c r="K137" s="9" t="s">
        <v>732</v>
      </c>
      <c r="L137" s="9">
        <v>1</v>
      </c>
      <c r="M137" s="9">
        <f t="shared" si="7"/>
        <v>500</v>
      </c>
      <c r="N137" s="9">
        <v>500</v>
      </c>
      <c r="O137" s="18" t="s">
        <v>26</v>
      </c>
      <c r="P137" s="19">
        <v>8.0000000000000002E-3</v>
      </c>
      <c r="Q137" s="17">
        <f t="shared" si="6"/>
        <v>4</v>
      </c>
      <c r="R137" s="9"/>
    </row>
    <row r="138" spans="1:18" s="1" customFormat="1">
      <c r="A138" s="6"/>
      <c r="B138" s="10">
        <f t="shared" si="0"/>
        <v>136</v>
      </c>
      <c r="C138" s="8" t="s">
        <v>609</v>
      </c>
      <c r="D138" s="12" t="s">
        <v>832</v>
      </c>
      <c r="E138" s="12" t="s">
        <v>833</v>
      </c>
      <c r="F138" s="12" t="s">
        <v>612</v>
      </c>
      <c r="G138" s="12" t="s">
        <v>834</v>
      </c>
      <c r="H138" s="12" t="s">
        <v>31</v>
      </c>
      <c r="I138" s="12" t="s">
        <v>23</v>
      </c>
      <c r="J138" s="12" t="s">
        <v>835</v>
      </c>
      <c r="K138" s="12" t="s">
        <v>836</v>
      </c>
      <c r="L138" s="12">
        <v>1</v>
      </c>
      <c r="M138" s="9">
        <f t="shared" si="7"/>
        <v>500</v>
      </c>
      <c r="N138" s="9">
        <v>500</v>
      </c>
      <c r="O138" s="18" t="s">
        <v>26</v>
      </c>
      <c r="P138" s="17">
        <v>2.0299999999999999E-2</v>
      </c>
      <c r="Q138" s="19">
        <f t="shared" si="6"/>
        <v>10.149999999999999</v>
      </c>
      <c r="R138" s="12"/>
    </row>
    <row r="139" spans="1:18" s="1" customFormat="1">
      <c r="A139" s="6"/>
      <c r="B139" s="7">
        <f>ROW(B139)-ROW($B$2)</f>
        <v>137</v>
      </c>
      <c r="C139" s="8" t="s">
        <v>609</v>
      </c>
      <c r="D139" s="9" t="s">
        <v>838</v>
      </c>
      <c r="E139" s="9" t="s">
        <v>839</v>
      </c>
      <c r="F139" s="9" t="s">
        <v>612</v>
      </c>
      <c r="G139" s="9" t="s">
        <v>840</v>
      </c>
      <c r="H139" s="9" t="s">
        <v>31</v>
      </c>
      <c r="I139" s="12" t="s">
        <v>23</v>
      </c>
      <c r="J139" s="9" t="s">
        <v>841</v>
      </c>
      <c r="K139" s="9" t="s">
        <v>842</v>
      </c>
      <c r="L139" s="9">
        <v>2</v>
      </c>
      <c r="M139" s="9">
        <f t="shared" si="7"/>
        <v>1000</v>
      </c>
      <c r="N139" s="12">
        <v>1000</v>
      </c>
      <c r="O139" s="18" t="s">
        <v>26</v>
      </c>
      <c r="P139" s="19" t="s">
        <v>617</v>
      </c>
      <c r="Q139" s="17">
        <f t="shared" si="6"/>
        <v>1.2</v>
      </c>
      <c r="R139" s="9"/>
    </row>
    <row r="140" spans="1:18" s="1" customFormat="1" ht="36">
      <c r="A140" s="6"/>
      <c r="B140" s="10">
        <f t="shared" si="0"/>
        <v>138</v>
      </c>
      <c r="C140" s="8" t="s">
        <v>609</v>
      </c>
      <c r="D140" s="12" t="s">
        <v>843</v>
      </c>
      <c r="E140" s="12" t="s">
        <v>844</v>
      </c>
      <c r="F140" s="12" t="s">
        <v>674</v>
      </c>
      <c r="G140" s="12" t="s">
        <v>845</v>
      </c>
      <c r="H140" s="12" t="s">
        <v>31</v>
      </c>
      <c r="I140" s="12" t="s">
        <v>23</v>
      </c>
      <c r="J140" s="12" t="s">
        <v>846</v>
      </c>
      <c r="K140" s="12" t="s">
        <v>683</v>
      </c>
      <c r="L140" s="12">
        <v>13</v>
      </c>
      <c r="M140" s="9">
        <f t="shared" si="7"/>
        <v>6500</v>
      </c>
      <c r="N140" s="9">
        <v>6500</v>
      </c>
      <c r="O140" s="18" t="s">
        <v>26</v>
      </c>
      <c r="P140" s="17">
        <v>4.0000000000000002E-4</v>
      </c>
      <c r="Q140" s="19">
        <f t="shared" si="6"/>
        <v>2.6</v>
      </c>
      <c r="R140" s="12"/>
    </row>
    <row r="141" spans="1:18" s="1" customFormat="1">
      <c r="A141" s="6"/>
      <c r="B141" s="7">
        <f>ROW(B141)-ROW($B$2)</f>
        <v>139</v>
      </c>
      <c r="C141" s="8" t="s">
        <v>609</v>
      </c>
      <c r="D141" s="9" t="s">
        <v>847</v>
      </c>
      <c r="E141" s="9" t="s">
        <v>848</v>
      </c>
      <c r="F141" s="9" t="s">
        <v>612</v>
      </c>
      <c r="G141" s="9" t="s">
        <v>849</v>
      </c>
      <c r="H141" s="9" t="s">
        <v>850</v>
      </c>
      <c r="I141" s="12" t="s">
        <v>23</v>
      </c>
      <c r="J141" s="9" t="s">
        <v>851</v>
      </c>
      <c r="K141" s="9" t="s">
        <v>665</v>
      </c>
      <c r="L141" s="9">
        <v>1</v>
      </c>
      <c r="M141" s="9">
        <f t="shared" si="7"/>
        <v>500</v>
      </c>
      <c r="N141" s="12">
        <v>500</v>
      </c>
      <c r="O141" s="18" t="s">
        <v>26</v>
      </c>
      <c r="P141" s="19" t="s">
        <v>617</v>
      </c>
      <c r="Q141" s="17">
        <f t="shared" si="6"/>
        <v>0.6</v>
      </c>
      <c r="R141" s="9"/>
    </row>
    <row r="142" spans="1:18" s="1" customFormat="1">
      <c r="A142" s="6"/>
      <c r="B142" s="10">
        <f t="shared" si="0"/>
        <v>140</v>
      </c>
      <c r="C142" s="8" t="s">
        <v>609</v>
      </c>
      <c r="D142" s="12" t="s">
        <v>852</v>
      </c>
      <c r="E142" s="12" t="s">
        <v>853</v>
      </c>
      <c r="F142" s="12" t="s">
        <v>612</v>
      </c>
      <c r="G142" s="12" t="s">
        <v>854</v>
      </c>
      <c r="H142" s="12" t="s">
        <v>855</v>
      </c>
      <c r="I142" s="12" t="s">
        <v>23</v>
      </c>
      <c r="J142" s="9" t="s">
        <v>856</v>
      </c>
      <c r="K142" s="12" t="s">
        <v>857</v>
      </c>
      <c r="L142" s="12">
        <v>2</v>
      </c>
      <c r="M142" s="9">
        <f t="shared" si="7"/>
        <v>1000</v>
      </c>
      <c r="N142" s="9">
        <v>1000</v>
      </c>
      <c r="O142" s="18" t="s">
        <v>26</v>
      </c>
      <c r="P142" s="17" t="s">
        <v>1246</v>
      </c>
      <c r="Q142" s="19">
        <f t="shared" si="6"/>
        <v>1.4</v>
      </c>
      <c r="R142" s="12"/>
    </row>
    <row r="143" spans="1:18" s="1" customFormat="1">
      <c r="A143" s="6"/>
      <c r="B143" s="7">
        <f>ROW(B143)-ROW($B$2)</f>
        <v>141</v>
      </c>
      <c r="C143" s="8" t="s">
        <v>609</v>
      </c>
      <c r="D143" s="9" t="s">
        <v>859</v>
      </c>
      <c r="E143" s="9" t="s">
        <v>860</v>
      </c>
      <c r="F143" s="9" t="s">
        <v>674</v>
      </c>
      <c r="G143" s="9" t="s">
        <v>861</v>
      </c>
      <c r="H143" s="9" t="s">
        <v>31</v>
      </c>
      <c r="I143" s="12" t="s">
        <v>23</v>
      </c>
      <c r="J143" s="9" t="s">
        <v>862</v>
      </c>
      <c r="K143" s="9" t="s">
        <v>732</v>
      </c>
      <c r="L143" s="9">
        <v>2</v>
      </c>
      <c r="M143" s="9">
        <f t="shared" si="7"/>
        <v>1000</v>
      </c>
      <c r="N143" s="12">
        <v>1000</v>
      </c>
      <c r="O143" s="18" t="s">
        <v>26</v>
      </c>
      <c r="P143" s="19" t="s">
        <v>779</v>
      </c>
      <c r="Q143" s="17">
        <f t="shared" si="6"/>
        <v>0.6</v>
      </c>
      <c r="R143" s="9"/>
    </row>
    <row r="144" spans="1:18" s="1" customFormat="1">
      <c r="A144" s="6"/>
      <c r="B144" s="10">
        <f t="shared" si="0"/>
        <v>142</v>
      </c>
      <c r="C144" s="8" t="s">
        <v>609</v>
      </c>
      <c r="D144" s="23" t="s">
        <v>863</v>
      </c>
      <c r="E144" s="23" t="s">
        <v>864</v>
      </c>
      <c r="F144" s="23" t="s">
        <v>828</v>
      </c>
      <c r="G144" s="23" t="s">
        <v>865</v>
      </c>
      <c r="H144" s="23" t="s">
        <v>31</v>
      </c>
      <c r="I144" s="12" t="s">
        <v>23</v>
      </c>
      <c r="J144" s="23"/>
      <c r="K144" s="23" t="s">
        <v>709</v>
      </c>
      <c r="L144" s="23">
        <v>1</v>
      </c>
      <c r="M144" s="9">
        <f t="shared" si="7"/>
        <v>500</v>
      </c>
      <c r="N144" s="13" t="s">
        <v>42</v>
      </c>
      <c r="O144" s="25" t="s">
        <v>26</v>
      </c>
      <c r="P144" s="24" t="s">
        <v>23</v>
      </c>
      <c r="Q144" s="26" t="s">
        <v>23</v>
      </c>
      <c r="R144" s="27" t="s">
        <v>550</v>
      </c>
    </row>
    <row r="145" spans="1:18" s="1" customFormat="1" ht="48">
      <c r="A145" s="6"/>
      <c r="B145" s="7">
        <f>ROW(B145)-ROW($B$2)</f>
        <v>143</v>
      </c>
      <c r="C145" s="8" t="s">
        <v>609</v>
      </c>
      <c r="D145" s="9" t="s">
        <v>866</v>
      </c>
      <c r="E145" s="9" t="s">
        <v>867</v>
      </c>
      <c r="F145" s="9" t="s">
        <v>868</v>
      </c>
      <c r="G145" s="9" t="s">
        <v>869</v>
      </c>
      <c r="H145" s="9" t="s">
        <v>870</v>
      </c>
      <c r="I145" s="12" t="s">
        <v>23</v>
      </c>
      <c r="J145" s="9" t="s">
        <v>871</v>
      </c>
      <c r="K145" s="9" t="s">
        <v>872</v>
      </c>
      <c r="L145" s="9">
        <v>1</v>
      </c>
      <c r="M145" s="9">
        <f t="shared" si="7"/>
        <v>500</v>
      </c>
      <c r="N145" s="12">
        <v>500</v>
      </c>
      <c r="O145" s="18" t="s">
        <v>26</v>
      </c>
      <c r="P145" s="19">
        <v>3.9699999999999999E-2</v>
      </c>
      <c r="Q145" s="17">
        <f>P145*N145</f>
        <v>19.849999999999998</v>
      </c>
      <c r="R145" s="9"/>
    </row>
    <row r="146" spans="1:18" s="1" customFormat="1">
      <c r="A146" s="6"/>
      <c r="B146" s="10">
        <f t="shared" si="0"/>
        <v>144</v>
      </c>
      <c r="C146" s="8" t="s">
        <v>609</v>
      </c>
      <c r="D146" s="12" t="s">
        <v>874</v>
      </c>
      <c r="E146" s="12" t="s">
        <v>864</v>
      </c>
      <c r="F146" s="12" t="s">
        <v>828</v>
      </c>
      <c r="G146" s="12" t="s">
        <v>865</v>
      </c>
      <c r="H146" s="12" t="s">
        <v>31</v>
      </c>
      <c r="I146" s="12" t="s">
        <v>23</v>
      </c>
      <c r="J146" s="9" t="s">
        <v>875</v>
      </c>
      <c r="K146" s="12" t="s">
        <v>715</v>
      </c>
      <c r="L146" s="12">
        <v>1</v>
      </c>
      <c r="M146" s="9">
        <f t="shared" si="7"/>
        <v>500</v>
      </c>
      <c r="N146" s="12">
        <v>500</v>
      </c>
      <c r="O146" s="18" t="s">
        <v>26</v>
      </c>
      <c r="P146" s="17" t="s">
        <v>55</v>
      </c>
      <c r="Q146" s="19">
        <f t="shared" ref="Q146:Q150" si="8">P146*N146</f>
        <v>1.55</v>
      </c>
      <c r="R146" s="12"/>
    </row>
    <row r="147" spans="1:18" s="1" customFormat="1">
      <c r="A147" s="6"/>
      <c r="B147" s="7">
        <f>ROW(B147)-ROW($B$2)</f>
        <v>145</v>
      </c>
      <c r="C147" s="8" t="s">
        <v>609</v>
      </c>
      <c r="D147" s="9" t="s">
        <v>876</v>
      </c>
      <c r="E147" s="9" t="s">
        <v>877</v>
      </c>
      <c r="F147" s="9" t="s">
        <v>612</v>
      </c>
      <c r="G147" s="9" t="s">
        <v>878</v>
      </c>
      <c r="H147" s="9" t="s">
        <v>31</v>
      </c>
      <c r="I147" s="12" t="s">
        <v>23</v>
      </c>
      <c r="J147" s="9" t="s">
        <v>879</v>
      </c>
      <c r="K147" s="9" t="s">
        <v>744</v>
      </c>
      <c r="L147" s="9">
        <v>1</v>
      </c>
      <c r="M147" s="9">
        <f t="shared" si="7"/>
        <v>500</v>
      </c>
      <c r="N147" s="12">
        <v>500</v>
      </c>
      <c r="O147" s="18" t="s">
        <v>26</v>
      </c>
      <c r="P147" s="19" t="s">
        <v>101</v>
      </c>
      <c r="Q147" s="17">
        <f t="shared" si="8"/>
        <v>0.5</v>
      </c>
      <c r="R147" s="9"/>
    </row>
    <row r="148" spans="1:18" s="1" customFormat="1">
      <c r="A148" s="6"/>
      <c r="B148" s="10">
        <f t="shared" si="0"/>
        <v>146</v>
      </c>
      <c r="C148" s="8" t="s">
        <v>609</v>
      </c>
      <c r="D148" s="12" t="s">
        <v>880</v>
      </c>
      <c r="E148" s="12" t="s">
        <v>881</v>
      </c>
      <c r="F148" s="12" t="s">
        <v>612</v>
      </c>
      <c r="G148" s="12" t="s">
        <v>882</v>
      </c>
      <c r="H148" s="12" t="s">
        <v>31</v>
      </c>
      <c r="I148" s="12" t="s">
        <v>23</v>
      </c>
      <c r="J148" s="12" t="s">
        <v>883</v>
      </c>
      <c r="K148" s="12" t="s">
        <v>683</v>
      </c>
      <c r="L148" s="12">
        <v>2</v>
      </c>
      <c r="M148" s="9">
        <f t="shared" si="7"/>
        <v>1000</v>
      </c>
      <c r="N148" s="12">
        <v>1000</v>
      </c>
      <c r="O148" s="18" t="s">
        <v>26</v>
      </c>
      <c r="P148" s="19">
        <v>1.3599999999999999E-2</v>
      </c>
      <c r="Q148" s="19">
        <f t="shared" si="8"/>
        <v>13.6</v>
      </c>
      <c r="R148" s="12"/>
    </row>
    <row r="149" spans="1:18" s="1" customFormat="1">
      <c r="A149" s="6"/>
      <c r="B149" s="7">
        <f>ROW(B149)-ROW($B$2)</f>
        <v>147</v>
      </c>
      <c r="C149" s="8" t="s">
        <v>609</v>
      </c>
      <c r="D149" s="9" t="s">
        <v>884</v>
      </c>
      <c r="E149" s="9" t="s">
        <v>885</v>
      </c>
      <c r="F149" s="9" t="s">
        <v>612</v>
      </c>
      <c r="G149" s="9" t="s">
        <v>886</v>
      </c>
      <c r="H149" s="9" t="s">
        <v>31</v>
      </c>
      <c r="I149" s="12" t="s">
        <v>23</v>
      </c>
      <c r="J149" s="9" t="s">
        <v>887</v>
      </c>
      <c r="K149" s="9" t="s">
        <v>888</v>
      </c>
      <c r="L149" s="9">
        <v>2</v>
      </c>
      <c r="M149" s="9">
        <f t="shared" si="7"/>
        <v>1000</v>
      </c>
      <c r="N149" s="12">
        <v>1000</v>
      </c>
      <c r="O149" s="18" t="s">
        <v>26</v>
      </c>
      <c r="P149" s="17" t="s">
        <v>1249</v>
      </c>
      <c r="Q149" s="17">
        <f t="shared" si="8"/>
        <v>19.400000000000002</v>
      </c>
      <c r="R149" s="9"/>
    </row>
    <row r="150" spans="1:18" s="1" customFormat="1">
      <c r="A150" s="6"/>
      <c r="B150" s="10">
        <f t="shared" si="0"/>
        <v>148</v>
      </c>
      <c r="C150" s="8" t="s">
        <v>609</v>
      </c>
      <c r="D150" s="12" t="s">
        <v>889</v>
      </c>
      <c r="E150" s="12" t="s">
        <v>890</v>
      </c>
      <c r="F150" s="12" t="s">
        <v>817</v>
      </c>
      <c r="G150" s="12" t="s">
        <v>891</v>
      </c>
      <c r="H150" s="12" t="s">
        <v>31</v>
      </c>
      <c r="I150" s="12" t="s">
        <v>23</v>
      </c>
      <c r="J150" s="12" t="s">
        <v>892</v>
      </c>
      <c r="K150" s="12" t="s">
        <v>842</v>
      </c>
      <c r="L150" s="12">
        <v>1</v>
      </c>
      <c r="M150" s="9">
        <f t="shared" si="7"/>
        <v>500</v>
      </c>
      <c r="N150" s="12">
        <v>500</v>
      </c>
      <c r="O150" s="20" t="s">
        <v>26</v>
      </c>
      <c r="P150" s="19" t="s">
        <v>820</v>
      </c>
      <c r="Q150" s="19">
        <f t="shared" si="8"/>
        <v>0.4</v>
      </c>
      <c r="R150" s="12"/>
    </row>
    <row r="151" spans="1:18" s="1" customFormat="1">
      <c r="A151" s="6"/>
      <c r="B151" s="7">
        <f>ROW(B151)-ROW($B$2)</f>
        <v>149</v>
      </c>
      <c r="C151" s="8" t="s">
        <v>609</v>
      </c>
      <c r="D151" s="13" t="s">
        <v>893</v>
      </c>
      <c r="E151" s="13" t="s">
        <v>881</v>
      </c>
      <c r="F151" s="13" t="s">
        <v>612</v>
      </c>
      <c r="G151" s="13" t="s">
        <v>882</v>
      </c>
      <c r="H151" s="13" t="s">
        <v>31</v>
      </c>
      <c r="I151" s="12" t="s">
        <v>23</v>
      </c>
      <c r="J151" s="13" t="s">
        <v>883</v>
      </c>
      <c r="K151" s="13" t="s">
        <v>709</v>
      </c>
      <c r="L151" s="13">
        <v>2</v>
      </c>
      <c r="M151" s="9">
        <f t="shared" si="7"/>
        <v>1000</v>
      </c>
      <c r="N151" s="13" t="s">
        <v>1169</v>
      </c>
      <c r="O151" s="13" t="s">
        <v>23</v>
      </c>
      <c r="P151" s="24" t="s">
        <v>23</v>
      </c>
      <c r="Q151" s="24" t="s">
        <v>23</v>
      </c>
      <c r="R151" s="27" t="s">
        <v>550</v>
      </c>
    </row>
    <row r="152" spans="1:18" s="1" customFormat="1" ht="36">
      <c r="A152" s="6"/>
      <c r="B152" s="10">
        <f t="shared" si="0"/>
        <v>150</v>
      </c>
      <c r="C152" s="8" t="s">
        <v>609</v>
      </c>
      <c r="D152" s="12" t="s">
        <v>894</v>
      </c>
      <c r="E152" s="12" t="s">
        <v>895</v>
      </c>
      <c r="F152" s="12" t="s">
        <v>868</v>
      </c>
      <c r="G152" s="12" t="s">
        <v>896</v>
      </c>
      <c r="H152" s="12" t="s">
        <v>897</v>
      </c>
      <c r="I152" s="12" t="s">
        <v>23</v>
      </c>
      <c r="J152" s="12" t="s">
        <v>898</v>
      </c>
      <c r="K152" s="12" t="s">
        <v>715</v>
      </c>
      <c r="L152" s="12">
        <v>1</v>
      </c>
      <c r="M152" s="9">
        <f t="shared" si="7"/>
        <v>500</v>
      </c>
      <c r="N152" s="12">
        <v>500</v>
      </c>
      <c r="O152" s="20" t="s">
        <v>26</v>
      </c>
      <c r="P152" s="19" t="s">
        <v>1250</v>
      </c>
      <c r="Q152" s="19">
        <f t="shared" ref="Q152:Q196" si="9">P152*N152</f>
        <v>9.5</v>
      </c>
      <c r="R152" s="12"/>
    </row>
    <row r="153" spans="1:18" s="1" customFormat="1">
      <c r="A153" s="6"/>
      <c r="B153" s="7">
        <f>ROW(B153)-ROW($B$2)</f>
        <v>151</v>
      </c>
      <c r="C153" s="8" t="s">
        <v>609</v>
      </c>
      <c r="D153" s="9" t="s">
        <v>899</v>
      </c>
      <c r="E153" s="9" t="s">
        <v>679</v>
      </c>
      <c r="F153" s="9" t="s">
        <v>612</v>
      </c>
      <c r="G153" s="9" t="s">
        <v>680</v>
      </c>
      <c r="H153" s="9" t="s">
        <v>900</v>
      </c>
      <c r="I153" s="12" t="s">
        <v>23</v>
      </c>
      <c r="J153" s="9" t="s">
        <v>682</v>
      </c>
      <c r="K153" s="9" t="s">
        <v>683</v>
      </c>
      <c r="L153" s="9">
        <v>1</v>
      </c>
      <c r="M153" s="9">
        <f t="shared" si="7"/>
        <v>500</v>
      </c>
      <c r="N153" s="12">
        <v>500</v>
      </c>
      <c r="O153" s="18" t="s">
        <v>26</v>
      </c>
      <c r="P153" s="17" t="s">
        <v>1251</v>
      </c>
      <c r="Q153" s="17">
        <f t="shared" si="9"/>
        <v>14.1</v>
      </c>
      <c r="R153" s="9"/>
    </row>
    <row r="154" spans="1:18" s="1" customFormat="1">
      <c r="A154" s="6"/>
      <c r="B154" s="10">
        <f t="shared" si="0"/>
        <v>152</v>
      </c>
      <c r="C154" s="8" t="s">
        <v>609</v>
      </c>
      <c r="D154" s="12" t="s">
        <v>901</v>
      </c>
      <c r="E154" s="12" t="s">
        <v>902</v>
      </c>
      <c r="F154" s="12" t="s">
        <v>817</v>
      </c>
      <c r="G154" s="12" t="s">
        <v>903</v>
      </c>
      <c r="H154" s="12" t="s">
        <v>31</v>
      </c>
      <c r="I154" s="12" t="s">
        <v>23</v>
      </c>
      <c r="J154" s="12" t="s">
        <v>904</v>
      </c>
      <c r="K154" s="12" t="s">
        <v>683</v>
      </c>
      <c r="L154" s="12">
        <v>5</v>
      </c>
      <c r="M154" s="9">
        <f t="shared" si="7"/>
        <v>2500</v>
      </c>
      <c r="N154" s="12">
        <v>2500</v>
      </c>
      <c r="O154" s="20" t="s">
        <v>26</v>
      </c>
      <c r="P154" s="19">
        <v>6.9999999999999999E-4</v>
      </c>
      <c r="Q154" s="19">
        <f t="shared" si="9"/>
        <v>1.75</v>
      </c>
      <c r="R154" s="12"/>
    </row>
    <row r="155" spans="1:18" s="1" customFormat="1">
      <c r="A155" s="6"/>
      <c r="B155" s="7">
        <f>ROW(B155)-ROW($B$2)</f>
        <v>153</v>
      </c>
      <c r="C155" s="8" t="s">
        <v>609</v>
      </c>
      <c r="D155" s="9" t="s">
        <v>905</v>
      </c>
      <c r="E155" s="9" t="s">
        <v>906</v>
      </c>
      <c r="F155" s="9" t="s">
        <v>612</v>
      </c>
      <c r="G155" s="9" t="s">
        <v>907</v>
      </c>
      <c r="H155" s="9" t="s">
        <v>31</v>
      </c>
      <c r="I155" s="12" t="s">
        <v>23</v>
      </c>
      <c r="J155" s="9" t="s">
        <v>908</v>
      </c>
      <c r="K155" s="9" t="s">
        <v>909</v>
      </c>
      <c r="L155" s="9">
        <v>2</v>
      </c>
      <c r="M155" s="9">
        <f t="shared" si="7"/>
        <v>1000</v>
      </c>
      <c r="N155" s="9">
        <v>1000</v>
      </c>
      <c r="O155" s="16" t="s">
        <v>26</v>
      </c>
      <c r="P155" s="17" t="s">
        <v>617</v>
      </c>
      <c r="Q155" s="17">
        <f t="shared" si="9"/>
        <v>1.2</v>
      </c>
      <c r="R155" s="9"/>
    </row>
    <row r="156" spans="1:18" s="1" customFormat="1">
      <c r="A156" s="6"/>
      <c r="B156" s="10">
        <f t="shared" si="0"/>
        <v>154</v>
      </c>
      <c r="C156" s="8" t="s">
        <v>609</v>
      </c>
      <c r="D156" s="12" t="s">
        <v>910</v>
      </c>
      <c r="E156" s="12" t="s">
        <v>911</v>
      </c>
      <c r="F156" s="12" t="s">
        <v>612</v>
      </c>
      <c r="G156" s="12" t="s">
        <v>912</v>
      </c>
      <c r="H156" s="12" t="s">
        <v>855</v>
      </c>
      <c r="I156" s="12" t="s">
        <v>23</v>
      </c>
      <c r="J156" s="12" t="s">
        <v>913</v>
      </c>
      <c r="K156" s="12" t="s">
        <v>914</v>
      </c>
      <c r="L156" s="12">
        <v>1</v>
      </c>
      <c r="M156" s="9">
        <f t="shared" si="7"/>
        <v>500</v>
      </c>
      <c r="N156" s="12">
        <v>500</v>
      </c>
      <c r="O156" s="20" t="s">
        <v>26</v>
      </c>
      <c r="P156" s="19" t="s">
        <v>1253</v>
      </c>
      <c r="Q156" s="19">
        <f t="shared" si="9"/>
        <v>2.4</v>
      </c>
      <c r="R156" s="12"/>
    </row>
    <row r="157" spans="1:18" s="1" customFormat="1">
      <c r="A157" s="6"/>
      <c r="B157" s="7">
        <f>ROW(B157)-ROW($B$2)</f>
        <v>155</v>
      </c>
      <c r="C157" s="8" t="s">
        <v>609</v>
      </c>
      <c r="D157" s="9" t="s">
        <v>915</v>
      </c>
      <c r="E157" s="9" t="s">
        <v>916</v>
      </c>
      <c r="F157" s="9" t="s">
        <v>612</v>
      </c>
      <c r="G157" s="9" t="s">
        <v>917</v>
      </c>
      <c r="H157" s="9" t="s">
        <v>31</v>
      </c>
      <c r="I157" s="12" t="s">
        <v>23</v>
      </c>
      <c r="J157" s="9" t="s">
        <v>918</v>
      </c>
      <c r="K157" s="9" t="s">
        <v>919</v>
      </c>
      <c r="L157" s="9">
        <v>1</v>
      </c>
      <c r="M157" s="9">
        <f t="shared" si="7"/>
        <v>500</v>
      </c>
      <c r="N157" s="12">
        <v>500</v>
      </c>
      <c r="O157" s="16" t="s">
        <v>26</v>
      </c>
      <c r="P157" s="17" t="s">
        <v>677</v>
      </c>
      <c r="Q157" s="17">
        <f t="shared" si="9"/>
        <v>0.35</v>
      </c>
      <c r="R157" s="9"/>
    </row>
    <row r="158" spans="1:18" s="1" customFormat="1">
      <c r="A158" s="6"/>
      <c r="B158" s="10">
        <f t="shared" si="0"/>
        <v>156</v>
      </c>
      <c r="C158" s="8" t="s">
        <v>609</v>
      </c>
      <c r="D158" s="12" t="s">
        <v>920</v>
      </c>
      <c r="E158" s="12" t="s">
        <v>921</v>
      </c>
      <c r="F158" s="12" t="s">
        <v>612</v>
      </c>
      <c r="G158" s="12" t="s">
        <v>922</v>
      </c>
      <c r="H158" s="12" t="s">
        <v>31</v>
      </c>
      <c r="I158" s="12" t="s">
        <v>23</v>
      </c>
      <c r="J158" s="12" t="s">
        <v>923</v>
      </c>
      <c r="K158" s="12" t="s">
        <v>761</v>
      </c>
      <c r="L158" s="12">
        <v>1</v>
      </c>
      <c r="M158" s="9">
        <f t="shared" si="7"/>
        <v>500</v>
      </c>
      <c r="N158" s="12">
        <v>500</v>
      </c>
      <c r="O158" s="20" t="s">
        <v>26</v>
      </c>
      <c r="P158" s="19" t="s">
        <v>617</v>
      </c>
      <c r="Q158" s="19">
        <f t="shared" si="9"/>
        <v>0.6</v>
      </c>
      <c r="R158" s="12"/>
    </row>
    <row r="159" spans="1:18" s="1" customFormat="1">
      <c r="A159" s="6"/>
      <c r="B159" s="7">
        <f>ROW(B159)-ROW($B$2)</f>
        <v>157</v>
      </c>
      <c r="C159" s="8" t="s">
        <v>609</v>
      </c>
      <c r="D159" s="9" t="s">
        <v>924</v>
      </c>
      <c r="E159" s="9" t="s">
        <v>925</v>
      </c>
      <c r="F159" s="9" t="s">
        <v>612</v>
      </c>
      <c r="G159" s="9" t="s">
        <v>926</v>
      </c>
      <c r="H159" s="9" t="s">
        <v>855</v>
      </c>
      <c r="I159" s="12" t="s">
        <v>23</v>
      </c>
      <c r="J159" s="9" t="s">
        <v>927</v>
      </c>
      <c r="K159" s="9" t="s">
        <v>928</v>
      </c>
      <c r="L159" s="9">
        <v>1</v>
      </c>
      <c r="M159" s="9">
        <f t="shared" si="7"/>
        <v>500</v>
      </c>
      <c r="N159" s="12">
        <v>500</v>
      </c>
      <c r="O159" s="16" t="s">
        <v>26</v>
      </c>
      <c r="P159" s="17" t="s">
        <v>1254</v>
      </c>
      <c r="Q159" s="17">
        <f t="shared" si="9"/>
        <v>1.9</v>
      </c>
      <c r="R159" s="9"/>
    </row>
    <row r="160" spans="1:18" s="1" customFormat="1">
      <c r="A160" s="6"/>
      <c r="B160" s="10">
        <f t="shared" si="0"/>
        <v>158</v>
      </c>
      <c r="C160" s="8" t="s">
        <v>609</v>
      </c>
      <c r="D160" s="12" t="s">
        <v>929</v>
      </c>
      <c r="E160" s="12" t="s">
        <v>930</v>
      </c>
      <c r="F160" s="12" t="s">
        <v>612</v>
      </c>
      <c r="G160" s="12" t="s">
        <v>931</v>
      </c>
      <c r="H160" s="12" t="s">
        <v>31</v>
      </c>
      <c r="I160" s="12" t="s">
        <v>23</v>
      </c>
      <c r="J160" s="12" t="s">
        <v>932</v>
      </c>
      <c r="K160" s="12" t="s">
        <v>727</v>
      </c>
      <c r="L160" s="12">
        <v>4</v>
      </c>
      <c r="M160" s="9">
        <f t="shared" si="7"/>
        <v>2000</v>
      </c>
      <c r="N160" s="12">
        <v>2000</v>
      </c>
      <c r="O160" s="20" t="s">
        <v>26</v>
      </c>
      <c r="P160" s="19">
        <v>1.4E-2</v>
      </c>
      <c r="Q160" s="19">
        <f t="shared" si="9"/>
        <v>28</v>
      </c>
      <c r="R160" s="12"/>
    </row>
    <row r="161" spans="1:18" s="1" customFormat="1">
      <c r="A161" s="6"/>
      <c r="B161" s="7">
        <f>ROW(B161)-ROW($B$2)</f>
        <v>159</v>
      </c>
      <c r="C161" s="8" t="s">
        <v>609</v>
      </c>
      <c r="D161" s="9" t="s">
        <v>933</v>
      </c>
      <c r="E161" s="9" t="s">
        <v>934</v>
      </c>
      <c r="F161" s="9" t="s">
        <v>612</v>
      </c>
      <c r="G161" s="9" t="s">
        <v>935</v>
      </c>
      <c r="H161" s="9" t="s">
        <v>31</v>
      </c>
      <c r="I161" s="12" t="s">
        <v>23</v>
      </c>
      <c r="J161" s="9" t="s">
        <v>936</v>
      </c>
      <c r="K161" s="9" t="s">
        <v>937</v>
      </c>
      <c r="L161" s="9">
        <v>1</v>
      </c>
      <c r="M161" s="9">
        <f t="shared" si="7"/>
        <v>500</v>
      </c>
      <c r="N161" s="9">
        <v>500</v>
      </c>
      <c r="O161" s="16" t="s">
        <v>26</v>
      </c>
      <c r="P161" s="17">
        <v>9.4E-2</v>
      </c>
      <c r="Q161" s="17">
        <f t="shared" si="9"/>
        <v>47</v>
      </c>
      <c r="R161" s="9"/>
    </row>
    <row r="162" spans="1:18" s="1" customFormat="1">
      <c r="A162" s="6"/>
      <c r="B162" s="10">
        <f t="shared" si="0"/>
        <v>160</v>
      </c>
      <c r="C162" s="8" t="s">
        <v>609</v>
      </c>
      <c r="D162" s="12" t="s">
        <v>938</v>
      </c>
      <c r="E162" s="12" t="s">
        <v>939</v>
      </c>
      <c r="F162" s="12" t="s">
        <v>674</v>
      </c>
      <c r="G162" s="12" t="s">
        <v>940</v>
      </c>
      <c r="H162" s="12" t="s">
        <v>31</v>
      </c>
      <c r="I162" s="12" t="s">
        <v>23</v>
      </c>
      <c r="J162" s="12" t="s">
        <v>941</v>
      </c>
      <c r="K162" s="12" t="s">
        <v>909</v>
      </c>
      <c r="L162" s="12">
        <v>1</v>
      </c>
      <c r="M162" s="9">
        <f t="shared" si="7"/>
        <v>500</v>
      </c>
      <c r="N162" s="9">
        <v>500</v>
      </c>
      <c r="O162" s="20" t="s">
        <v>26</v>
      </c>
      <c r="P162" s="19" t="s">
        <v>677</v>
      </c>
      <c r="Q162" s="19">
        <f t="shared" si="9"/>
        <v>0.35</v>
      </c>
      <c r="R162" s="12"/>
    </row>
    <row r="163" spans="1:18" s="1" customFormat="1">
      <c r="A163" s="6"/>
      <c r="B163" s="7">
        <f>ROW(B163)-ROW($B$2)</f>
        <v>161</v>
      </c>
      <c r="C163" s="8" t="s">
        <v>609</v>
      </c>
      <c r="D163" s="9" t="s">
        <v>942</v>
      </c>
      <c r="E163" s="9" t="s">
        <v>943</v>
      </c>
      <c r="F163" s="9" t="s">
        <v>674</v>
      </c>
      <c r="G163" s="9" t="s">
        <v>944</v>
      </c>
      <c r="H163" s="9" t="s">
        <v>31</v>
      </c>
      <c r="I163" s="12" t="s">
        <v>23</v>
      </c>
      <c r="J163" s="9" t="s">
        <v>945</v>
      </c>
      <c r="K163" s="9" t="s">
        <v>946</v>
      </c>
      <c r="L163" s="9">
        <v>5</v>
      </c>
      <c r="M163" s="9">
        <f t="shared" si="7"/>
        <v>2500</v>
      </c>
      <c r="N163" s="9">
        <v>2500</v>
      </c>
      <c r="O163" s="16" t="s">
        <v>26</v>
      </c>
      <c r="P163" s="17">
        <v>5.0000000000000001E-4</v>
      </c>
      <c r="Q163" s="17">
        <f t="shared" si="9"/>
        <v>1.25</v>
      </c>
      <c r="R163" s="9"/>
    </row>
    <row r="164" spans="1:18" s="1" customFormat="1">
      <c r="A164" s="6"/>
      <c r="B164" s="10">
        <f t="shared" si="0"/>
        <v>162</v>
      </c>
      <c r="C164" s="8" t="s">
        <v>609</v>
      </c>
      <c r="D164" s="12" t="s">
        <v>947</v>
      </c>
      <c r="E164" s="12" t="s">
        <v>948</v>
      </c>
      <c r="F164" s="12" t="s">
        <v>612</v>
      </c>
      <c r="G164" s="12" t="s">
        <v>949</v>
      </c>
      <c r="H164" s="12" t="s">
        <v>31</v>
      </c>
      <c r="I164" s="12" t="s">
        <v>23</v>
      </c>
      <c r="J164" s="12" t="s">
        <v>950</v>
      </c>
      <c r="K164" s="12" t="s">
        <v>937</v>
      </c>
      <c r="L164" s="12">
        <v>2</v>
      </c>
      <c r="M164" s="9">
        <f t="shared" si="7"/>
        <v>1000</v>
      </c>
      <c r="N164" s="12">
        <v>1000</v>
      </c>
      <c r="O164" s="20" t="s">
        <v>26</v>
      </c>
      <c r="P164" s="19" t="s">
        <v>617</v>
      </c>
      <c r="Q164" s="19">
        <f t="shared" si="9"/>
        <v>1.2</v>
      </c>
      <c r="R164" s="12"/>
    </row>
    <row r="165" spans="1:18" s="1" customFormat="1">
      <c r="A165" s="6"/>
      <c r="B165" s="7">
        <f>ROW(B165)-ROW($B$2)</f>
        <v>163</v>
      </c>
      <c r="C165" s="8" t="s">
        <v>609</v>
      </c>
      <c r="D165" s="9" t="s">
        <v>951</v>
      </c>
      <c r="E165" s="9" t="s">
        <v>952</v>
      </c>
      <c r="F165" s="9" t="s">
        <v>674</v>
      </c>
      <c r="G165" s="9" t="s">
        <v>953</v>
      </c>
      <c r="H165" s="9" t="s">
        <v>31</v>
      </c>
      <c r="I165" s="12" t="s">
        <v>23</v>
      </c>
      <c r="J165" s="9" t="s">
        <v>954</v>
      </c>
      <c r="K165" s="9" t="s">
        <v>955</v>
      </c>
      <c r="L165" s="9">
        <v>1</v>
      </c>
      <c r="M165" s="9">
        <f t="shared" si="7"/>
        <v>500</v>
      </c>
      <c r="N165" s="9">
        <v>500</v>
      </c>
      <c r="O165" s="16" t="s">
        <v>26</v>
      </c>
      <c r="P165" s="17">
        <v>3.3000000000000002E-2</v>
      </c>
      <c r="Q165" s="17">
        <f t="shared" si="9"/>
        <v>16.5</v>
      </c>
      <c r="R165" s="9"/>
    </row>
    <row r="166" spans="1:18" s="1" customFormat="1">
      <c r="A166" s="6"/>
      <c r="B166" s="10">
        <f t="shared" si="0"/>
        <v>164</v>
      </c>
      <c r="C166" s="8" t="s">
        <v>609</v>
      </c>
      <c r="D166" s="12" t="s">
        <v>956</v>
      </c>
      <c r="E166" s="12" t="s">
        <v>957</v>
      </c>
      <c r="F166" s="12" t="s">
        <v>674</v>
      </c>
      <c r="G166" s="12"/>
      <c r="H166" s="12"/>
      <c r="I166" s="12" t="s">
        <v>23</v>
      </c>
      <c r="J166" s="12" t="s">
        <v>958</v>
      </c>
      <c r="K166" s="12" t="s">
        <v>959</v>
      </c>
      <c r="L166" s="12">
        <v>1</v>
      </c>
      <c r="M166" s="9">
        <f t="shared" si="7"/>
        <v>500</v>
      </c>
      <c r="N166" s="9">
        <v>500</v>
      </c>
      <c r="O166" s="20" t="s">
        <v>26</v>
      </c>
      <c r="P166" s="19" t="s">
        <v>677</v>
      </c>
      <c r="Q166" s="19">
        <f t="shared" si="9"/>
        <v>0.35</v>
      </c>
      <c r="R166" s="12"/>
    </row>
    <row r="167" spans="1:18" s="1" customFormat="1">
      <c r="A167" s="6"/>
      <c r="B167" s="7">
        <f>ROW(B167)-ROW($B$2)</f>
        <v>165</v>
      </c>
      <c r="C167" s="8" t="s">
        <v>960</v>
      </c>
      <c r="D167" s="9" t="s">
        <v>961</v>
      </c>
      <c r="E167" s="9" t="s">
        <v>962</v>
      </c>
      <c r="F167" s="9" t="s">
        <v>20</v>
      </c>
      <c r="G167" s="9" t="s">
        <v>963</v>
      </c>
      <c r="H167" s="9" t="s">
        <v>964</v>
      </c>
      <c r="I167" s="12" t="s">
        <v>23</v>
      </c>
      <c r="J167" s="12" t="s">
        <v>965</v>
      </c>
      <c r="K167" s="9" t="s">
        <v>23</v>
      </c>
      <c r="L167" s="9">
        <v>1</v>
      </c>
      <c r="M167" s="9">
        <f t="shared" si="7"/>
        <v>500</v>
      </c>
      <c r="N167" s="9">
        <v>500</v>
      </c>
      <c r="O167" s="18" t="s">
        <v>26</v>
      </c>
      <c r="P167" s="19">
        <v>0.46660000000000001</v>
      </c>
      <c r="Q167" s="17">
        <f t="shared" si="9"/>
        <v>233.3</v>
      </c>
      <c r="R167" s="9"/>
    </row>
    <row r="168" spans="1:18" s="1" customFormat="1" ht="48">
      <c r="A168" s="6"/>
      <c r="B168" s="10">
        <f t="shared" si="0"/>
        <v>166</v>
      </c>
      <c r="C168" s="11" t="s">
        <v>967</v>
      </c>
      <c r="D168" s="12" t="s">
        <v>968</v>
      </c>
      <c r="E168" s="12" t="s">
        <v>969</v>
      </c>
      <c r="F168" s="9" t="s">
        <v>20</v>
      </c>
      <c r="G168" s="12" t="s">
        <v>970</v>
      </c>
      <c r="H168" s="12" t="s">
        <v>971</v>
      </c>
      <c r="I168" s="12" t="s">
        <v>23</v>
      </c>
      <c r="J168" s="9" t="s">
        <v>972</v>
      </c>
      <c r="K168" s="9" t="s">
        <v>23</v>
      </c>
      <c r="L168" s="12">
        <v>1</v>
      </c>
      <c r="M168" s="9">
        <f t="shared" si="7"/>
        <v>500</v>
      </c>
      <c r="N168" s="9">
        <v>500</v>
      </c>
      <c r="O168" s="18" t="s">
        <v>26</v>
      </c>
      <c r="P168" s="17">
        <v>6.5199999999999994E-2</v>
      </c>
      <c r="Q168" s="19">
        <f t="shared" si="9"/>
        <v>32.599999999999994</v>
      </c>
      <c r="R168" s="12"/>
    </row>
    <row r="169" spans="1:18" s="1" customFormat="1" ht="24">
      <c r="A169" s="6"/>
      <c r="B169" s="7">
        <f>ROW(B169)-ROW($B$2)</f>
        <v>167</v>
      </c>
      <c r="C169" s="8" t="s">
        <v>974</v>
      </c>
      <c r="D169" s="9" t="s">
        <v>975</v>
      </c>
      <c r="E169" s="9" t="s">
        <v>976</v>
      </c>
      <c r="F169" s="9" t="s">
        <v>977</v>
      </c>
      <c r="G169" s="9" t="s">
        <v>978</v>
      </c>
      <c r="H169" s="9" t="s">
        <v>979</v>
      </c>
      <c r="I169" s="12" t="s">
        <v>23</v>
      </c>
      <c r="J169" s="12" t="s">
        <v>980</v>
      </c>
      <c r="K169" s="9" t="s">
        <v>23</v>
      </c>
      <c r="L169" s="9">
        <v>2</v>
      </c>
      <c r="M169" s="9">
        <f t="shared" si="7"/>
        <v>1000</v>
      </c>
      <c r="N169" s="12">
        <v>1000</v>
      </c>
      <c r="O169" s="18" t="s">
        <v>26</v>
      </c>
      <c r="P169" s="19">
        <v>1.9457</v>
      </c>
      <c r="Q169" s="17">
        <f t="shared" si="9"/>
        <v>1945.7</v>
      </c>
      <c r="R169" s="9"/>
    </row>
    <row r="170" spans="1:18" s="1" customFormat="1">
      <c r="A170" s="6"/>
      <c r="B170" s="10">
        <f t="shared" si="0"/>
        <v>168</v>
      </c>
      <c r="C170" s="11" t="s">
        <v>982</v>
      </c>
      <c r="D170" s="12" t="s">
        <v>983</v>
      </c>
      <c r="E170" s="12" t="s">
        <v>984</v>
      </c>
      <c r="F170" s="12" t="s">
        <v>985</v>
      </c>
      <c r="G170" s="12" t="s">
        <v>986</v>
      </c>
      <c r="H170" s="12" t="s">
        <v>987</v>
      </c>
      <c r="I170" s="12" t="s">
        <v>23</v>
      </c>
      <c r="J170" s="9" t="s">
        <v>988</v>
      </c>
      <c r="K170" s="9" t="s">
        <v>23</v>
      </c>
      <c r="L170" s="12">
        <v>1</v>
      </c>
      <c r="M170" s="9">
        <f t="shared" si="7"/>
        <v>500</v>
      </c>
      <c r="N170" s="9">
        <v>500</v>
      </c>
      <c r="O170" s="18" t="s">
        <v>26</v>
      </c>
      <c r="P170" s="17">
        <v>9.0399999999999994E-2</v>
      </c>
      <c r="Q170" s="19">
        <f t="shared" si="9"/>
        <v>45.199999999999996</v>
      </c>
      <c r="R170" s="12"/>
    </row>
    <row r="171" spans="1:18" s="1" customFormat="1">
      <c r="A171" s="6"/>
      <c r="B171" s="7">
        <f>ROW(B171)-ROW($B$2)</f>
        <v>169</v>
      </c>
      <c r="C171" s="8" t="s">
        <v>982</v>
      </c>
      <c r="D171" s="9" t="s">
        <v>990</v>
      </c>
      <c r="E171" s="9" t="s">
        <v>991</v>
      </c>
      <c r="F171" s="9" t="s">
        <v>992</v>
      </c>
      <c r="G171" s="9" t="s">
        <v>993</v>
      </c>
      <c r="H171" s="9" t="s">
        <v>987</v>
      </c>
      <c r="I171" s="12" t="s">
        <v>23</v>
      </c>
      <c r="J171" s="12" t="s">
        <v>994</v>
      </c>
      <c r="K171" s="9" t="s">
        <v>23</v>
      </c>
      <c r="L171" s="9">
        <v>1</v>
      </c>
      <c r="M171" s="9">
        <f t="shared" si="7"/>
        <v>500</v>
      </c>
      <c r="N171" s="9">
        <v>500</v>
      </c>
      <c r="O171" s="18" t="s">
        <v>26</v>
      </c>
      <c r="P171" s="19">
        <v>0.69010000000000005</v>
      </c>
      <c r="Q171" s="17">
        <f t="shared" si="9"/>
        <v>345.05</v>
      </c>
      <c r="R171" s="9"/>
    </row>
    <row r="172" spans="1:18" s="1" customFormat="1">
      <c r="A172" s="6"/>
      <c r="B172" s="10">
        <f t="shared" si="0"/>
        <v>170</v>
      </c>
      <c r="C172" s="11" t="s">
        <v>982</v>
      </c>
      <c r="D172" s="12" t="s">
        <v>996</v>
      </c>
      <c r="E172" s="12" t="s">
        <v>997</v>
      </c>
      <c r="F172" s="12" t="s">
        <v>998</v>
      </c>
      <c r="G172" s="12" t="s">
        <v>999</v>
      </c>
      <c r="H172" s="12" t="s">
        <v>1000</v>
      </c>
      <c r="I172" s="12" t="s">
        <v>23</v>
      </c>
      <c r="J172" s="9" t="s">
        <v>1001</v>
      </c>
      <c r="K172" s="9" t="s">
        <v>23</v>
      </c>
      <c r="L172" s="12">
        <v>1</v>
      </c>
      <c r="M172" s="9">
        <f t="shared" si="7"/>
        <v>500</v>
      </c>
      <c r="N172" s="9">
        <v>500</v>
      </c>
      <c r="O172" s="18" t="s">
        <v>26</v>
      </c>
      <c r="P172" s="17">
        <v>6.6304999999999996</v>
      </c>
      <c r="Q172" s="19">
        <f t="shared" si="9"/>
        <v>3315.25</v>
      </c>
      <c r="R172" s="12"/>
    </row>
    <row r="173" spans="1:18" s="1" customFormat="1">
      <c r="A173" s="6"/>
      <c r="B173" s="7">
        <f>ROW(B173)-ROW($B$2)</f>
        <v>171</v>
      </c>
      <c r="C173" s="8" t="s">
        <v>982</v>
      </c>
      <c r="D173" s="9" t="s">
        <v>1003</v>
      </c>
      <c r="E173" s="9" t="s">
        <v>1004</v>
      </c>
      <c r="F173" s="9" t="s">
        <v>985</v>
      </c>
      <c r="G173" s="9" t="s">
        <v>1005</v>
      </c>
      <c r="H173" s="9" t="s">
        <v>562</v>
      </c>
      <c r="I173" s="12" t="s">
        <v>23</v>
      </c>
      <c r="J173" s="12" t="s">
        <v>1006</v>
      </c>
      <c r="K173" s="9" t="s">
        <v>23</v>
      </c>
      <c r="L173" s="9">
        <v>1</v>
      </c>
      <c r="M173" s="9">
        <f t="shared" si="7"/>
        <v>500</v>
      </c>
      <c r="N173" s="9">
        <v>500</v>
      </c>
      <c r="O173" s="18" t="s">
        <v>26</v>
      </c>
      <c r="P173" s="19">
        <v>0.81510000000000005</v>
      </c>
      <c r="Q173" s="17">
        <f t="shared" si="9"/>
        <v>407.55</v>
      </c>
      <c r="R173" s="9"/>
    </row>
    <row r="174" spans="1:18" s="1" customFormat="1" ht="24">
      <c r="A174" s="6"/>
      <c r="B174" s="10">
        <f t="shared" si="0"/>
        <v>172</v>
      </c>
      <c r="C174" s="11" t="s">
        <v>982</v>
      </c>
      <c r="D174" s="12" t="s">
        <v>1008</v>
      </c>
      <c r="E174" s="12" t="s">
        <v>1009</v>
      </c>
      <c r="F174" s="12" t="s">
        <v>1010</v>
      </c>
      <c r="G174" s="12" t="s">
        <v>1011</v>
      </c>
      <c r="H174" s="12" t="s">
        <v>1012</v>
      </c>
      <c r="I174" s="12" t="s">
        <v>23</v>
      </c>
      <c r="J174" s="9" t="s">
        <v>1013</v>
      </c>
      <c r="K174" s="9" t="s">
        <v>23</v>
      </c>
      <c r="L174" s="12">
        <v>1</v>
      </c>
      <c r="M174" s="9">
        <f t="shared" si="7"/>
        <v>500</v>
      </c>
      <c r="N174" s="9">
        <v>500</v>
      </c>
      <c r="O174" s="18" t="s">
        <v>26</v>
      </c>
      <c r="P174" s="17">
        <v>3.2753999999999999</v>
      </c>
      <c r="Q174" s="19">
        <f t="shared" si="9"/>
        <v>1637.7</v>
      </c>
      <c r="R174" s="12"/>
    </row>
    <row r="175" spans="1:18" s="1" customFormat="1">
      <c r="A175" s="6"/>
      <c r="B175" s="7">
        <f>ROW(B175)-ROW($B$2)</f>
        <v>173</v>
      </c>
      <c r="C175" s="8" t="s">
        <v>982</v>
      </c>
      <c r="D175" s="9" t="s">
        <v>1015</v>
      </c>
      <c r="E175" s="9" t="s">
        <v>1016</v>
      </c>
      <c r="F175" s="9" t="s">
        <v>1017</v>
      </c>
      <c r="G175" s="9" t="s">
        <v>1018</v>
      </c>
      <c r="H175" s="9" t="s">
        <v>987</v>
      </c>
      <c r="I175" s="12" t="s">
        <v>23</v>
      </c>
      <c r="J175" s="12" t="s">
        <v>1019</v>
      </c>
      <c r="K175" s="9" t="s">
        <v>23</v>
      </c>
      <c r="L175" s="9">
        <v>3</v>
      </c>
      <c r="M175" s="9">
        <f t="shared" si="7"/>
        <v>1500</v>
      </c>
      <c r="N175" s="12">
        <v>1500</v>
      </c>
      <c r="O175" s="18" t="s">
        <v>26</v>
      </c>
      <c r="P175" s="19">
        <v>4.2900000000000001E-2</v>
      </c>
      <c r="Q175" s="17">
        <f t="shared" si="9"/>
        <v>64.349999999999994</v>
      </c>
      <c r="R175" s="9"/>
    </row>
    <row r="176" spans="1:18" s="1" customFormat="1" ht="36">
      <c r="A176" s="6"/>
      <c r="B176" s="10">
        <f t="shared" si="0"/>
        <v>174</v>
      </c>
      <c r="C176" s="8" t="s">
        <v>982</v>
      </c>
      <c r="D176" s="12" t="s">
        <v>1021</v>
      </c>
      <c r="E176" s="12" t="s">
        <v>1022</v>
      </c>
      <c r="F176" s="12" t="s">
        <v>1023</v>
      </c>
      <c r="G176" s="12" t="s">
        <v>1024</v>
      </c>
      <c r="H176" s="12" t="s">
        <v>1025</v>
      </c>
      <c r="I176" s="12" t="s">
        <v>23</v>
      </c>
      <c r="J176" s="9" t="s">
        <v>1026</v>
      </c>
      <c r="K176" s="9" t="s">
        <v>23</v>
      </c>
      <c r="L176" s="12">
        <v>1</v>
      </c>
      <c r="M176" s="9">
        <f t="shared" si="7"/>
        <v>500</v>
      </c>
      <c r="N176" s="9">
        <v>500</v>
      </c>
      <c r="O176" s="18" t="s">
        <v>26</v>
      </c>
      <c r="P176" s="17">
        <v>0.1578</v>
      </c>
      <c r="Q176" s="19">
        <f t="shared" si="9"/>
        <v>78.899999999999991</v>
      </c>
      <c r="R176" s="12"/>
    </row>
    <row r="177" spans="1:18" s="1" customFormat="1">
      <c r="A177" s="6"/>
      <c r="B177" s="7">
        <f>ROW(B177)-ROW($B$2)</f>
        <v>175</v>
      </c>
      <c r="C177" s="8" t="s">
        <v>982</v>
      </c>
      <c r="D177" s="9" t="s">
        <v>1028</v>
      </c>
      <c r="E177" s="9" t="s">
        <v>1029</v>
      </c>
      <c r="F177" s="9" t="s">
        <v>1030</v>
      </c>
      <c r="G177" s="9" t="s">
        <v>1031</v>
      </c>
      <c r="H177" s="9" t="s">
        <v>987</v>
      </c>
      <c r="I177" s="12" t="s">
        <v>23</v>
      </c>
      <c r="J177" s="9" t="s">
        <v>1032</v>
      </c>
      <c r="K177" s="9" t="s">
        <v>23</v>
      </c>
      <c r="L177" s="9">
        <v>1</v>
      </c>
      <c r="M177" s="9">
        <f t="shared" si="7"/>
        <v>500</v>
      </c>
      <c r="N177" s="9">
        <v>500</v>
      </c>
      <c r="O177" s="18" t="s">
        <v>26</v>
      </c>
      <c r="P177" s="19">
        <v>1.1365000000000001</v>
      </c>
      <c r="Q177" s="17">
        <f t="shared" si="9"/>
        <v>568.25</v>
      </c>
      <c r="R177" s="9"/>
    </row>
    <row r="178" spans="1:18" s="1" customFormat="1" ht="24">
      <c r="A178" s="6"/>
      <c r="B178" s="10">
        <f t="shared" si="0"/>
        <v>176</v>
      </c>
      <c r="C178" s="11" t="s">
        <v>982</v>
      </c>
      <c r="D178" s="12" t="s">
        <v>1034</v>
      </c>
      <c r="E178" s="12" t="s">
        <v>1035</v>
      </c>
      <c r="F178" s="12" t="s">
        <v>1036</v>
      </c>
      <c r="G178" s="12" t="s">
        <v>1037</v>
      </c>
      <c r="H178" s="12" t="s">
        <v>987</v>
      </c>
      <c r="I178" s="12" t="s">
        <v>23</v>
      </c>
      <c r="J178" s="12" t="s">
        <v>1038</v>
      </c>
      <c r="K178" s="9" t="s">
        <v>23</v>
      </c>
      <c r="L178" s="12">
        <v>1</v>
      </c>
      <c r="M178" s="9">
        <f t="shared" si="7"/>
        <v>500</v>
      </c>
      <c r="N178" s="9">
        <v>500</v>
      </c>
      <c r="O178" s="18" t="s">
        <v>26</v>
      </c>
      <c r="P178" s="17">
        <v>0.246</v>
      </c>
      <c r="Q178" s="19">
        <f t="shared" si="9"/>
        <v>123</v>
      </c>
      <c r="R178" s="12"/>
    </row>
    <row r="179" spans="1:18" s="1" customFormat="1">
      <c r="A179" s="6"/>
      <c r="B179" s="7">
        <f>ROW(B179)-ROW($B$2)</f>
        <v>177</v>
      </c>
      <c r="C179" s="8" t="s">
        <v>982</v>
      </c>
      <c r="D179" s="9" t="s">
        <v>1040</v>
      </c>
      <c r="E179" s="9" t="s">
        <v>1041</v>
      </c>
      <c r="F179" s="9" t="s">
        <v>1042</v>
      </c>
      <c r="G179" s="9" t="s">
        <v>1043</v>
      </c>
      <c r="H179" s="9" t="s">
        <v>1044</v>
      </c>
      <c r="I179" s="12" t="s">
        <v>23</v>
      </c>
      <c r="J179" s="9" t="s">
        <v>1045</v>
      </c>
      <c r="K179" s="9" t="s">
        <v>23</v>
      </c>
      <c r="L179" s="9">
        <v>1</v>
      </c>
      <c r="M179" s="9">
        <f t="shared" si="7"/>
        <v>500</v>
      </c>
      <c r="N179" s="9">
        <v>500</v>
      </c>
      <c r="O179" s="18" t="s">
        <v>26</v>
      </c>
      <c r="P179" s="19">
        <v>0.87139999999999995</v>
      </c>
      <c r="Q179" s="17">
        <f t="shared" si="9"/>
        <v>435.7</v>
      </c>
      <c r="R179" s="9"/>
    </row>
    <row r="180" spans="1:18" s="1" customFormat="1">
      <c r="A180" s="6"/>
      <c r="B180" s="10">
        <f t="shared" si="0"/>
        <v>178</v>
      </c>
      <c r="C180" s="11" t="s">
        <v>982</v>
      </c>
      <c r="D180" s="12" t="s">
        <v>1047</v>
      </c>
      <c r="E180" s="12" t="s">
        <v>1048</v>
      </c>
      <c r="F180" s="12" t="s">
        <v>1017</v>
      </c>
      <c r="G180" s="12" t="s">
        <v>1049</v>
      </c>
      <c r="H180" s="12" t="s">
        <v>987</v>
      </c>
      <c r="I180" s="12" t="s">
        <v>23</v>
      </c>
      <c r="J180" s="12" t="s">
        <v>1050</v>
      </c>
      <c r="K180" s="9" t="s">
        <v>23</v>
      </c>
      <c r="L180" s="12">
        <v>2</v>
      </c>
      <c r="M180" s="9">
        <f t="shared" si="7"/>
        <v>1000</v>
      </c>
      <c r="N180" s="9">
        <v>1000</v>
      </c>
      <c r="O180" s="18" t="s">
        <v>26</v>
      </c>
      <c r="P180" s="17">
        <v>9.4799999999999995E-2</v>
      </c>
      <c r="Q180" s="19">
        <f t="shared" si="9"/>
        <v>94.8</v>
      </c>
      <c r="R180" s="12"/>
    </row>
    <row r="181" spans="1:18" s="1" customFormat="1" ht="24">
      <c r="A181" s="6"/>
      <c r="B181" s="7">
        <f>ROW(B181)-ROW($B$2)</f>
        <v>179</v>
      </c>
      <c r="C181" s="8" t="s">
        <v>1052</v>
      </c>
      <c r="D181" s="9" t="s">
        <v>1053</v>
      </c>
      <c r="E181" s="9" t="s">
        <v>1054</v>
      </c>
      <c r="F181" s="9" t="s">
        <v>1055</v>
      </c>
      <c r="G181" s="9" t="s">
        <v>1055</v>
      </c>
      <c r="H181" s="9" t="s">
        <v>1056</v>
      </c>
      <c r="I181" s="12" t="s">
        <v>23</v>
      </c>
      <c r="J181" s="9" t="s">
        <v>1057</v>
      </c>
      <c r="K181" s="9" t="s">
        <v>23</v>
      </c>
      <c r="L181" s="9">
        <v>1</v>
      </c>
      <c r="M181" s="9">
        <f t="shared" si="7"/>
        <v>500</v>
      </c>
      <c r="N181" s="12">
        <v>500</v>
      </c>
      <c r="O181" s="18" t="s">
        <v>26</v>
      </c>
      <c r="P181" s="19">
        <v>0.50349999999999995</v>
      </c>
      <c r="Q181" s="17">
        <f t="shared" si="9"/>
        <v>251.74999999999997</v>
      </c>
      <c r="R181" s="9"/>
    </row>
    <row r="182" spans="1:18" s="1" customFormat="1" ht="48">
      <c r="A182" s="6"/>
      <c r="B182" s="10">
        <f t="shared" si="0"/>
        <v>180</v>
      </c>
      <c r="C182" s="8" t="s">
        <v>982</v>
      </c>
      <c r="D182" s="12" t="s">
        <v>1059</v>
      </c>
      <c r="E182" s="12" t="s">
        <v>1060</v>
      </c>
      <c r="F182" s="12" t="s">
        <v>1061</v>
      </c>
      <c r="G182" s="12" t="s">
        <v>1062</v>
      </c>
      <c r="H182" s="12" t="s">
        <v>1063</v>
      </c>
      <c r="I182" s="12" t="s">
        <v>23</v>
      </c>
      <c r="J182" s="9" t="s">
        <v>1064</v>
      </c>
      <c r="K182" s="9" t="s">
        <v>23</v>
      </c>
      <c r="L182" s="12">
        <v>1</v>
      </c>
      <c r="M182" s="9">
        <f t="shared" si="7"/>
        <v>500</v>
      </c>
      <c r="N182" s="9">
        <v>500</v>
      </c>
      <c r="O182" s="18" t="s">
        <v>26</v>
      </c>
      <c r="P182" s="17">
        <v>0.14940000000000001</v>
      </c>
      <c r="Q182" s="19">
        <f t="shared" si="9"/>
        <v>74.7</v>
      </c>
      <c r="R182" s="12"/>
    </row>
    <row r="183" spans="1:18" s="1" customFormat="1">
      <c r="A183" s="6"/>
      <c r="B183" s="7">
        <f>ROW(B183)-ROW($B$2)</f>
        <v>181</v>
      </c>
      <c r="C183" s="8" t="s">
        <v>982</v>
      </c>
      <c r="D183" s="9" t="s">
        <v>1066</v>
      </c>
      <c r="E183" s="9" t="s">
        <v>1067</v>
      </c>
      <c r="F183" s="9" t="s">
        <v>1068</v>
      </c>
      <c r="G183" s="9" t="s">
        <v>1069</v>
      </c>
      <c r="H183" s="9" t="s">
        <v>987</v>
      </c>
      <c r="I183" s="12" t="s">
        <v>23</v>
      </c>
      <c r="J183" s="9" t="s">
        <v>23</v>
      </c>
      <c r="K183" s="9" t="s">
        <v>23</v>
      </c>
      <c r="L183" s="9">
        <v>2</v>
      </c>
      <c r="M183" s="9">
        <f t="shared" si="7"/>
        <v>1000</v>
      </c>
      <c r="N183" s="9">
        <v>1000</v>
      </c>
      <c r="O183" s="16" t="s">
        <v>67</v>
      </c>
      <c r="P183" s="17">
        <v>0.67747999999999997</v>
      </c>
      <c r="Q183" s="17">
        <f t="shared" si="9"/>
        <v>677.48</v>
      </c>
      <c r="R183" s="9"/>
    </row>
    <row r="184" spans="1:18" s="1" customFormat="1">
      <c r="A184" s="6"/>
      <c r="B184" s="10">
        <f t="shared" si="0"/>
        <v>182</v>
      </c>
      <c r="C184" s="11" t="s">
        <v>982</v>
      </c>
      <c r="D184" s="12" t="s">
        <v>1070</v>
      </c>
      <c r="E184" s="12" t="s">
        <v>1071</v>
      </c>
      <c r="F184" s="12" t="s">
        <v>1072</v>
      </c>
      <c r="G184" s="12" t="s">
        <v>1073</v>
      </c>
      <c r="H184" s="12" t="s">
        <v>1074</v>
      </c>
      <c r="I184" s="12" t="s">
        <v>23</v>
      </c>
      <c r="J184" s="12" t="s">
        <v>1075</v>
      </c>
      <c r="K184" s="12" t="s">
        <v>23</v>
      </c>
      <c r="L184" s="12">
        <v>1</v>
      </c>
      <c r="M184" s="9">
        <f t="shared" si="7"/>
        <v>500</v>
      </c>
      <c r="N184" s="12">
        <v>500</v>
      </c>
      <c r="O184" s="20" t="s">
        <v>26</v>
      </c>
      <c r="P184" s="19">
        <v>0.31080000000000002</v>
      </c>
      <c r="Q184" s="19">
        <f t="shared" si="9"/>
        <v>155.4</v>
      </c>
      <c r="R184" s="12"/>
    </row>
    <row r="185" spans="1:18" s="1" customFormat="1">
      <c r="A185" s="6"/>
      <c r="B185" s="7">
        <f>ROW(B185)-ROW($B$2)</f>
        <v>183</v>
      </c>
      <c r="C185" s="8" t="s">
        <v>982</v>
      </c>
      <c r="D185" s="9" t="s">
        <v>1076</v>
      </c>
      <c r="E185" s="9" t="s">
        <v>1077</v>
      </c>
      <c r="F185" s="9" t="s">
        <v>1078</v>
      </c>
      <c r="G185" s="9" t="s">
        <v>1079</v>
      </c>
      <c r="H185" s="9" t="s">
        <v>1074</v>
      </c>
      <c r="I185" s="12" t="s">
        <v>23</v>
      </c>
      <c r="J185" s="9" t="s">
        <v>1080</v>
      </c>
      <c r="K185" s="9" t="s">
        <v>23</v>
      </c>
      <c r="L185" s="9">
        <v>1</v>
      </c>
      <c r="M185" s="9">
        <f t="shared" si="7"/>
        <v>500</v>
      </c>
      <c r="N185" s="12">
        <v>500</v>
      </c>
      <c r="O185" s="18" t="s">
        <v>26</v>
      </c>
      <c r="P185" s="19">
        <v>3.2713999999999999</v>
      </c>
      <c r="Q185" s="17">
        <f t="shared" si="9"/>
        <v>1635.6999999999998</v>
      </c>
      <c r="R185" s="9"/>
    </row>
    <row r="186" spans="1:18" s="1" customFormat="1" ht="30">
      <c r="A186" s="6"/>
      <c r="B186" s="10">
        <f t="shared" si="0"/>
        <v>184</v>
      </c>
      <c r="C186" s="11" t="s">
        <v>1082</v>
      </c>
      <c r="D186" s="12" t="s">
        <v>1083</v>
      </c>
      <c r="E186" s="12" t="s">
        <v>1084</v>
      </c>
      <c r="F186" s="12" t="s">
        <v>1085</v>
      </c>
      <c r="G186" s="12" t="s">
        <v>1086</v>
      </c>
      <c r="H186" s="12"/>
      <c r="I186" s="12" t="s">
        <v>23</v>
      </c>
      <c r="J186" s="12" t="s">
        <v>23</v>
      </c>
      <c r="K186" s="12" t="s">
        <v>23</v>
      </c>
      <c r="L186" s="12">
        <v>1</v>
      </c>
      <c r="M186" s="9">
        <f t="shared" si="7"/>
        <v>500</v>
      </c>
      <c r="N186" s="12">
        <v>500</v>
      </c>
      <c r="O186" s="18" t="s">
        <v>1087</v>
      </c>
      <c r="P186" s="17">
        <v>5.0199999999999996</v>
      </c>
      <c r="Q186" s="19">
        <f t="shared" si="9"/>
        <v>2510</v>
      </c>
      <c r="R186" s="12"/>
    </row>
    <row r="187" spans="1:18" s="1" customFormat="1" ht="24">
      <c r="A187" s="6"/>
      <c r="B187" s="7">
        <f>ROW(B187)-ROW($B$2)</f>
        <v>185</v>
      </c>
      <c r="C187" s="8" t="s">
        <v>982</v>
      </c>
      <c r="D187" s="9" t="s">
        <v>1088</v>
      </c>
      <c r="E187" s="9" t="s">
        <v>1089</v>
      </c>
      <c r="F187" s="9" t="s">
        <v>1017</v>
      </c>
      <c r="G187" s="9" t="s">
        <v>1090</v>
      </c>
      <c r="H187" s="9" t="s">
        <v>1091</v>
      </c>
      <c r="I187" s="12" t="s">
        <v>23</v>
      </c>
      <c r="J187" s="9" t="s">
        <v>1092</v>
      </c>
      <c r="K187" s="9" t="s">
        <v>23</v>
      </c>
      <c r="L187" s="9">
        <v>1</v>
      </c>
      <c r="M187" s="9">
        <f t="shared" si="7"/>
        <v>500</v>
      </c>
      <c r="N187" s="12">
        <v>500</v>
      </c>
      <c r="O187" s="18" t="str">
        <f t="shared" ref="O187:O196" si="10">HYPERLINK(N187,"LCSC")</f>
        <v>LCSC</v>
      </c>
      <c r="P187" s="19">
        <v>5.0299999999999997E-2</v>
      </c>
      <c r="Q187" s="17">
        <f t="shared" si="9"/>
        <v>25.15</v>
      </c>
      <c r="R187" s="9"/>
    </row>
    <row r="188" spans="1:18" s="1" customFormat="1">
      <c r="A188" s="6"/>
      <c r="B188" s="10">
        <f t="shared" si="0"/>
        <v>186</v>
      </c>
      <c r="C188" s="11" t="s">
        <v>982</v>
      </c>
      <c r="D188" s="12" t="s">
        <v>1094</v>
      </c>
      <c r="E188" s="12" t="s">
        <v>1095</v>
      </c>
      <c r="F188" s="12" t="s">
        <v>1096</v>
      </c>
      <c r="G188" s="12" t="s">
        <v>1097</v>
      </c>
      <c r="H188" s="12" t="s">
        <v>305</v>
      </c>
      <c r="I188" s="12" t="s">
        <v>23</v>
      </c>
      <c r="J188" s="12" t="s">
        <v>1098</v>
      </c>
      <c r="K188" s="12" t="s">
        <v>23</v>
      </c>
      <c r="L188" s="12">
        <v>1</v>
      </c>
      <c r="M188" s="9">
        <f t="shared" si="7"/>
        <v>500</v>
      </c>
      <c r="N188" s="12">
        <v>500</v>
      </c>
      <c r="O188" s="18" t="str">
        <f t="shared" si="10"/>
        <v>LCSC</v>
      </c>
      <c r="P188" s="17">
        <v>0.19339999999999999</v>
      </c>
      <c r="Q188" s="19">
        <f t="shared" si="9"/>
        <v>96.699999999999989</v>
      </c>
      <c r="R188" s="12"/>
    </row>
    <row r="189" spans="1:18" s="1" customFormat="1">
      <c r="A189" s="6"/>
      <c r="B189" s="7">
        <f>ROW(B189)-ROW($B$2)</f>
        <v>187</v>
      </c>
      <c r="C189" s="8" t="s">
        <v>1099</v>
      </c>
      <c r="D189" s="9" t="s">
        <v>1100</v>
      </c>
      <c r="E189" s="9" t="s">
        <v>1101</v>
      </c>
      <c r="F189" s="9" t="s">
        <v>1017</v>
      </c>
      <c r="G189" s="9" t="s">
        <v>1102</v>
      </c>
      <c r="H189" s="9" t="s">
        <v>1103</v>
      </c>
      <c r="I189" s="12" t="s">
        <v>23</v>
      </c>
      <c r="J189" s="9" t="s">
        <v>1104</v>
      </c>
      <c r="K189" s="12" t="s">
        <v>23</v>
      </c>
      <c r="L189" s="9">
        <v>1</v>
      </c>
      <c r="M189" s="9">
        <f t="shared" si="7"/>
        <v>500</v>
      </c>
      <c r="N189" s="12">
        <v>500</v>
      </c>
      <c r="O189" s="18" t="str">
        <f t="shared" si="10"/>
        <v>LCSC</v>
      </c>
      <c r="P189" s="19">
        <v>0.54020000000000001</v>
      </c>
      <c r="Q189" s="17">
        <f t="shared" si="9"/>
        <v>270.10000000000002</v>
      </c>
      <c r="R189" s="9"/>
    </row>
    <row r="190" spans="1:18" s="1" customFormat="1" ht="36">
      <c r="A190" s="6"/>
      <c r="B190" s="10">
        <f t="shared" si="0"/>
        <v>188</v>
      </c>
      <c r="C190" s="11" t="s">
        <v>982</v>
      </c>
      <c r="D190" s="12" t="s">
        <v>1106</v>
      </c>
      <c r="E190" s="12" t="s">
        <v>1107</v>
      </c>
      <c r="F190" s="12" t="s">
        <v>1108</v>
      </c>
      <c r="G190" s="12" t="s">
        <v>1109</v>
      </c>
      <c r="H190" s="12" t="s">
        <v>1110</v>
      </c>
      <c r="I190" s="12" t="s">
        <v>23</v>
      </c>
      <c r="J190" s="12" t="s">
        <v>1111</v>
      </c>
      <c r="K190" s="12" t="s">
        <v>23</v>
      </c>
      <c r="L190" s="12">
        <v>1</v>
      </c>
      <c r="M190" s="9">
        <f t="shared" si="7"/>
        <v>500</v>
      </c>
      <c r="N190" s="12">
        <v>500</v>
      </c>
      <c r="O190" s="18" t="str">
        <f t="shared" si="10"/>
        <v>LCSC</v>
      </c>
      <c r="P190" s="17">
        <v>2.3056000000000001</v>
      </c>
      <c r="Q190" s="19">
        <f t="shared" si="9"/>
        <v>1152.8</v>
      </c>
      <c r="R190" s="12"/>
    </row>
    <row r="191" spans="1:18" s="1" customFormat="1">
      <c r="A191" s="6"/>
      <c r="B191" s="7">
        <f>ROW(B191)-ROW($B$2)</f>
        <v>189</v>
      </c>
      <c r="C191" s="8" t="s">
        <v>982</v>
      </c>
      <c r="D191" s="9" t="s">
        <v>1113</v>
      </c>
      <c r="E191" s="9" t="s">
        <v>1114</v>
      </c>
      <c r="F191" s="9" t="s">
        <v>977</v>
      </c>
      <c r="G191" s="9" t="s">
        <v>1115</v>
      </c>
      <c r="H191" s="9" t="s">
        <v>1116</v>
      </c>
      <c r="I191" s="12" t="s">
        <v>23</v>
      </c>
      <c r="J191" s="9" t="s">
        <v>1117</v>
      </c>
      <c r="K191" s="12" t="s">
        <v>23</v>
      </c>
      <c r="L191" s="9">
        <v>2</v>
      </c>
      <c r="M191" s="9">
        <f t="shared" si="7"/>
        <v>1000</v>
      </c>
      <c r="N191" s="12">
        <v>1000</v>
      </c>
      <c r="O191" s="18" t="str">
        <f t="shared" si="10"/>
        <v>LCSC</v>
      </c>
      <c r="P191" s="19">
        <v>0.1701</v>
      </c>
      <c r="Q191" s="17">
        <f t="shared" si="9"/>
        <v>170.1</v>
      </c>
      <c r="R191" s="9"/>
    </row>
    <row r="192" spans="1:18" s="1" customFormat="1" ht="24">
      <c r="A192" s="6"/>
      <c r="B192" s="10">
        <f t="shared" si="0"/>
        <v>190</v>
      </c>
      <c r="C192" s="11" t="s">
        <v>982</v>
      </c>
      <c r="D192" s="12" t="s">
        <v>1119</v>
      </c>
      <c r="E192" s="12" t="s">
        <v>1120</v>
      </c>
      <c r="F192" s="12" t="s">
        <v>1121</v>
      </c>
      <c r="G192" s="12" t="s">
        <v>1122</v>
      </c>
      <c r="H192" s="12" t="s">
        <v>1123</v>
      </c>
      <c r="I192" s="12" t="s">
        <v>23</v>
      </c>
      <c r="J192" s="12" t="s">
        <v>1124</v>
      </c>
      <c r="K192" s="12" t="s">
        <v>23</v>
      </c>
      <c r="L192" s="12">
        <v>1</v>
      </c>
      <c r="M192" s="9">
        <f t="shared" si="7"/>
        <v>500</v>
      </c>
      <c r="N192" s="9">
        <v>500</v>
      </c>
      <c r="O192" s="18" t="str">
        <f t="shared" si="10"/>
        <v>LCSC</v>
      </c>
      <c r="P192" s="17">
        <v>1.0701000000000001</v>
      </c>
      <c r="Q192" s="19">
        <f t="shared" si="9"/>
        <v>535.05000000000007</v>
      </c>
      <c r="R192" s="12"/>
    </row>
    <row r="193" spans="1:18" s="1" customFormat="1" ht="36">
      <c r="A193" s="6"/>
      <c r="B193" s="7">
        <f>ROW(B193)-ROW($B$2)</f>
        <v>191</v>
      </c>
      <c r="C193" s="8" t="s">
        <v>982</v>
      </c>
      <c r="D193" s="9" t="s">
        <v>1126</v>
      </c>
      <c r="E193" s="9" t="s">
        <v>1127</v>
      </c>
      <c r="F193" s="9" t="s">
        <v>1036</v>
      </c>
      <c r="G193" s="9" t="s">
        <v>1128</v>
      </c>
      <c r="H193" s="9" t="s">
        <v>1129</v>
      </c>
      <c r="I193" s="12" t="s">
        <v>23</v>
      </c>
      <c r="J193" s="9" t="s">
        <v>1130</v>
      </c>
      <c r="K193" s="12" t="s">
        <v>23</v>
      </c>
      <c r="L193" s="9">
        <v>1</v>
      </c>
      <c r="M193" s="9">
        <f t="shared" si="7"/>
        <v>500</v>
      </c>
      <c r="N193" s="9">
        <v>500</v>
      </c>
      <c r="O193" s="18" t="str">
        <f t="shared" si="10"/>
        <v>LCSC</v>
      </c>
      <c r="P193" s="19">
        <v>5.3100000000000001E-2</v>
      </c>
      <c r="Q193" s="17">
        <f t="shared" si="9"/>
        <v>26.55</v>
      </c>
      <c r="R193" s="9"/>
    </row>
    <row r="194" spans="1:18" s="1" customFormat="1">
      <c r="A194" s="6"/>
      <c r="B194" s="10">
        <f t="shared" si="0"/>
        <v>192</v>
      </c>
      <c r="C194" s="11" t="s">
        <v>1132</v>
      </c>
      <c r="D194" s="12" t="s">
        <v>1133</v>
      </c>
      <c r="E194" s="12" t="s">
        <v>1134</v>
      </c>
      <c r="F194" s="9" t="s">
        <v>20</v>
      </c>
      <c r="G194" s="12" t="s">
        <v>1135</v>
      </c>
      <c r="H194" s="12" t="s">
        <v>1136</v>
      </c>
      <c r="I194" s="12" t="s">
        <v>23</v>
      </c>
      <c r="J194" s="12" t="s">
        <v>1137</v>
      </c>
      <c r="K194" s="12" t="s">
        <v>1138</v>
      </c>
      <c r="L194" s="12">
        <v>1</v>
      </c>
      <c r="M194" s="9">
        <f t="shared" si="7"/>
        <v>500</v>
      </c>
      <c r="N194" s="9">
        <v>500</v>
      </c>
      <c r="O194" s="18" t="str">
        <f t="shared" si="10"/>
        <v>LCSC</v>
      </c>
      <c r="P194" s="17">
        <v>5.1200000000000002E-2</v>
      </c>
      <c r="Q194" s="19">
        <f>P194*N194</f>
        <v>25.6</v>
      </c>
      <c r="R194" s="12"/>
    </row>
    <row r="195" spans="1:18" s="1" customFormat="1" ht="36">
      <c r="A195" s="6"/>
      <c r="B195" s="7">
        <f>ROW(B195)-ROW($B$2)</f>
        <v>193</v>
      </c>
      <c r="C195" s="8" t="s">
        <v>1132</v>
      </c>
      <c r="D195" s="9" t="s">
        <v>1140</v>
      </c>
      <c r="E195" s="9" t="s">
        <v>1141</v>
      </c>
      <c r="F195" s="9" t="s">
        <v>1142</v>
      </c>
      <c r="G195" s="9" t="s">
        <v>1143</v>
      </c>
      <c r="H195" s="9" t="s">
        <v>1144</v>
      </c>
      <c r="I195" s="12" t="s">
        <v>23</v>
      </c>
      <c r="J195" s="9" t="s">
        <v>1145</v>
      </c>
      <c r="K195" s="9" t="s">
        <v>1146</v>
      </c>
      <c r="L195" s="9">
        <v>1</v>
      </c>
      <c r="M195" s="9">
        <f t="shared" si="7"/>
        <v>500</v>
      </c>
      <c r="N195" s="9">
        <v>500</v>
      </c>
      <c r="O195" s="18" t="str">
        <f t="shared" si="10"/>
        <v>LCSC</v>
      </c>
      <c r="P195" s="19">
        <v>5.1200000000000002E-2</v>
      </c>
      <c r="Q195" s="17">
        <f t="shared" si="9"/>
        <v>25.6</v>
      </c>
      <c r="R195" s="9"/>
    </row>
    <row r="196" spans="1:18" s="1" customFormat="1" ht="15.75" thickBot="1">
      <c r="A196" s="6"/>
      <c r="B196" s="10">
        <f t="shared" si="0"/>
        <v>194</v>
      </c>
      <c r="C196" s="8" t="s">
        <v>1132</v>
      </c>
      <c r="D196" s="12" t="s">
        <v>1148</v>
      </c>
      <c r="E196" s="12" t="s">
        <v>1149</v>
      </c>
      <c r="F196" s="9" t="s">
        <v>20</v>
      </c>
      <c r="G196" s="12" t="s">
        <v>1150</v>
      </c>
      <c r="H196" s="12" t="s">
        <v>1151</v>
      </c>
      <c r="I196" s="12" t="s">
        <v>23</v>
      </c>
      <c r="J196" s="12" t="s">
        <v>1152</v>
      </c>
      <c r="K196" s="12" t="s">
        <v>1153</v>
      </c>
      <c r="L196" s="12">
        <v>1</v>
      </c>
      <c r="M196" s="9">
        <f t="shared" ref="M196" si="11">L196*500</f>
        <v>500</v>
      </c>
      <c r="N196" s="9">
        <v>500</v>
      </c>
      <c r="O196" s="18" t="str">
        <f t="shared" si="10"/>
        <v>LCSC</v>
      </c>
      <c r="P196" s="17">
        <v>0.14729999999999999</v>
      </c>
      <c r="Q196" s="19">
        <f t="shared" si="9"/>
        <v>73.649999999999991</v>
      </c>
      <c r="R196" s="12"/>
    </row>
    <row r="197" spans="1:18" ht="19.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4" t="s">
        <v>1155</v>
      </c>
      <c r="O197" s="35"/>
      <c r="P197" s="35"/>
      <c r="Q197" s="28">
        <f>SUM(Q3:Q196)</f>
        <v>28321.51500000001</v>
      </c>
      <c r="R197" s="2"/>
    </row>
    <row r="198" spans="1:18" ht="19.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4" t="s">
        <v>1156</v>
      </c>
      <c r="O198" s="35"/>
      <c r="P198" s="35"/>
      <c r="Q198" s="29">
        <f>Q197/500</f>
        <v>56.643030000000017</v>
      </c>
      <c r="R198" s="2"/>
    </row>
  </sheetData>
  <mergeCells count="3">
    <mergeCell ref="K1:R1"/>
    <mergeCell ref="N197:P197"/>
    <mergeCell ref="N198:P198"/>
  </mergeCells>
  <hyperlinks>
    <hyperlink ref="O4" r:id="rId1"/>
    <hyperlink ref="O5" r:id="rId2"/>
    <hyperlink ref="O6" r:id="rId3"/>
    <hyperlink ref="O7" r:id="rId4"/>
    <hyperlink ref="O8" r:id="rId5"/>
    <hyperlink ref="O10" r:id="rId6"/>
    <hyperlink ref="O11" r:id="rId7"/>
    <hyperlink ref="O12" r:id="rId8"/>
    <hyperlink ref="O13" r:id="rId9"/>
    <hyperlink ref="O14" r:id="rId10"/>
    <hyperlink ref="O15" r:id="rId11"/>
    <hyperlink ref="O16" r:id="rId12"/>
    <hyperlink ref="O17" r:id="rId13"/>
    <hyperlink ref="O18" r:id="rId14"/>
    <hyperlink ref="O19" r:id="rId15"/>
    <hyperlink ref="O20" r:id="rId16"/>
    <hyperlink ref="O21" r:id="rId17"/>
    <hyperlink ref="O22" r:id="rId18"/>
    <hyperlink ref="O23" r:id="rId19"/>
    <hyperlink ref="O24" r:id="rId20"/>
    <hyperlink ref="O25" r:id="rId21"/>
    <hyperlink ref="O26" r:id="rId22"/>
    <hyperlink ref="O27" r:id="rId23"/>
    <hyperlink ref="O28" r:id="rId24"/>
    <hyperlink ref="O3" r:id="rId25"/>
    <hyperlink ref="O29" r:id="rId26"/>
    <hyperlink ref="O31" r:id="rId27"/>
    <hyperlink ref="O32" r:id="rId28"/>
    <hyperlink ref="O33" r:id="rId29"/>
    <hyperlink ref="O34" r:id="rId30"/>
    <hyperlink ref="O35" r:id="rId31"/>
    <hyperlink ref="O36" r:id="rId32"/>
    <hyperlink ref="O37" r:id="rId33"/>
    <hyperlink ref="O38" r:id="rId34"/>
    <hyperlink ref="O39" r:id="rId35"/>
    <hyperlink ref="O40" r:id="rId36"/>
    <hyperlink ref="O41" r:id="rId37"/>
    <hyperlink ref="O42" r:id="rId38"/>
    <hyperlink ref="O43" r:id="rId39"/>
    <hyperlink ref="O44" r:id="rId40"/>
    <hyperlink ref="O45" r:id="rId41"/>
    <hyperlink ref="O46" r:id="rId42"/>
    <hyperlink ref="O47" r:id="rId43"/>
    <hyperlink ref="O48" r:id="rId44"/>
    <hyperlink ref="O49" r:id="rId45"/>
    <hyperlink ref="O50" r:id="rId46"/>
    <hyperlink ref="O51" r:id="rId47"/>
    <hyperlink ref="O52" r:id="rId48"/>
    <hyperlink ref="O53" r:id="rId49"/>
    <hyperlink ref="O54" r:id="rId50"/>
    <hyperlink ref="O55" r:id="rId51"/>
    <hyperlink ref="O56" r:id="rId52"/>
    <hyperlink ref="O57" r:id="rId53"/>
    <hyperlink ref="O58" r:id="rId54"/>
    <hyperlink ref="O60" r:id="rId55"/>
    <hyperlink ref="O30" r:id="rId56"/>
    <hyperlink ref="O59" r:id="rId57"/>
    <hyperlink ref="O61" r:id="rId58"/>
    <hyperlink ref="O63" r:id="rId59"/>
    <hyperlink ref="O62" r:id="rId60"/>
    <hyperlink ref="O64" r:id="rId61"/>
    <hyperlink ref="O65" r:id="rId62"/>
    <hyperlink ref="O66" r:id="rId63"/>
    <hyperlink ref="O67" r:id="rId64"/>
    <hyperlink ref="O68" r:id="rId65"/>
    <hyperlink ref="O69" r:id="rId66"/>
    <hyperlink ref="O70" r:id="rId67"/>
    <hyperlink ref="O71" r:id="rId68"/>
    <hyperlink ref="O72" r:id="rId69"/>
    <hyperlink ref="O73" r:id="rId70"/>
    <hyperlink ref="O74" r:id="rId71"/>
    <hyperlink ref="O75" r:id="rId72"/>
    <hyperlink ref="O76" r:id="rId73"/>
    <hyperlink ref="O77" r:id="rId74"/>
    <hyperlink ref="O78" r:id="rId75"/>
    <hyperlink ref="O79" r:id="rId76"/>
    <hyperlink ref="O80" r:id="rId77"/>
    <hyperlink ref="O81" r:id="rId78"/>
    <hyperlink ref="O82" r:id="rId79"/>
    <hyperlink ref="O83" r:id="rId80"/>
    <hyperlink ref="O84" r:id="rId81"/>
    <hyperlink ref="O86" r:id="rId82"/>
    <hyperlink ref="O85" r:id="rId83"/>
    <hyperlink ref="O88" r:id="rId84"/>
    <hyperlink ref="O89" r:id="rId85"/>
    <hyperlink ref="O90" r:id="rId86"/>
    <hyperlink ref="O91" r:id="rId87"/>
    <hyperlink ref="O92" r:id="rId88"/>
    <hyperlink ref="O93" r:id="rId89"/>
    <hyperlink ref="O95" r:id="rId90"/>
    <hyperlink ref="O96" r:id="rId91"/>
    <hyperlink ref="O97" r:id="rId92"/>
    <hyperlink ref="O98" r:id="rId93"/>
    <hyperlink ref="O99" r:id="rId94"/>
    <hyperlink ref="O100" r:id="rId95"/>
    <hyperlink ref="O101" r:id="rId96"/>
    <hyperlink ref="O102" r:id="rId97"/>
    <hyperlink ref="O103" r:id="rId98"/>
    <hyperlink ref="O104" r:id="rId99"/>
    <hyperlink ref="O105" r:id="rId100"/>
    <hyperlink ref="O106" r:id="rId101"/>
    <hyperlink ref="O107" r:id="rId102"/>
    <hyperlink ref="O108" r:id="rId103"/>
    <hyperlink ref="O109" r:id="rId104"/>
    <hyperlink ref="O110" r:id="rId105"/>
    <hyperlink ref="O111" r:id="rId106"/>
    <hyperlink ref="O112" r:id="rId107"/>
    <hyperlink ref="O113" r:id="rId108"/>
    <hyperlink ref="O114" r:id="rId109"/>
    <hyperlink ref="O115" r:id="rId110"/>
    <hyperlink ref="O116" r:id="rId111"/>
    <hyperlink ref="O117" r:id="rId112"/>
    <hyperlink ref="O118" r:id="rId113"/>
    <hyperlink ref="O119" r:id="rId114"/>
    <hyperlink ref="O120" r:id="rId115"/>
    <hyperlink ref="O121" r:id="rId116"/>
    <hyperlink ref="O122" r:id="rId117"/>
    <hyperlink ref="O123" r:id="rId118"/>
    <hyperlink ref="O124" r:id="rId119"/>
    <hyperlink ref="O125" r:id="rId120"/>
    <hyperlink ref="O126" r:id="rId121"/>
    <hyperlink ref="O127" r:id="rId122"/>
    <hyperlink ref="O128" r:id="rId123"/>
    <hyperlink ref="O129" r:id="rId124"/>
    <hyperlink ref="O130" r:id="rId125"/>
    <hyperlink ref="O131" r:id="rId126"/>
    <hyperlink ref="O132" r:id="rId127"/>
    <hyperlink ref="O133" r:id="rId128"/>
    <hyperlink ref="O134" r:id="rId129"/>
    <hyperlink ref="O135" r:id="rId130"/>
    <hyperlink ref="O136" r:id="rId131"/>
    <hyperlink ref="O137" r:id="rId132"/>
    <hyperlink ref="O138" r:id="rId133"/>
    <hyperlink ref="O139" r:id="rId134"/>
    <hyperlink ref="O140" r:id="rId135"/>
    <hyperlink ref="O141" r:id="rId136"/>
    <hyperlink ref="O142" r:id="rId137"/>
    <hyperlink ref="O143" r:id="rId138"/>
    <hyperlink ref="O144" r:id="rId139"/>
    <hyperlink ref="O145" r:id="rId140"/>
    <hyperlink ref="O146" r:id="rId141"/>
    <hyperlink ref="O147" r:id="rId142"/>
    <hyperlink ref="O153" r:id="rId143"/>
    <hyperlink ref="O167" r:id="rId144"/>
    <hyperlink ref="O168" r:id="rId145"/>
    <hyperlink ref="O169" r:id="rId146"/>
    <hyperlink ref="O170" r:id="rId147"/>
    <hyperlink ref="O171" r:id="rId148"/>
    <hyperlink ref="O172" r:id="rId149"/>
    <hyperlink ref="O173" r:id="rId150"/>
    <hyperlink ref="O174" r:id="rId151"/>
    <hyperlink ref="O175" r:id="rId152"/>
    <hyperlink ref="O176" r:id="rId153"/>
    <hyperlink ref="O177" r:id="rId154"/>
    <hyperlink ref="O178" r:id="rId155"/>
    <hyperlink ref="O179" r:id="rId156"/>
    <hyperlink ref="O180" r:id="rId157"/>
    <hyperlink ref="O181" r:id="rId158"/>
    <hyperlink ref="O182" r:id="rId159"/>
    <hyperlink ref="O185" r:id="rId160"/>
    <hyperlink ref="O186" r:id="rId161"/>
    <hyperlink ref="O148" r:id="rId162"/>
    <hyperlink ref="O149" r:id="rId163"/>
    <hyperlink ref="O150" r:id="rId164"/>
    <hyperlink ref="O152" r:id="rId165"/>
    <hyperlink ref="O154" r:id="rId166"/>
    <hyperlink ref="O155" r:id="rId167"/>
    <hyperlink ref="O156" r:id="rId168"/>
    <hyperlink ref="O157" r:id="rId169"/>
    <hyperlink ref="O158" r:id="rId170"/>
    <hyperlink ref="O159" r:id="rId171"/>
    <hyperlink ref="O160" r:id="rId172"/>
    <hyperlink ref="O161" r:id="rId173"/>
    <hyperlink ref="O162" r:id="rId174"/>
    <hyperlink ref="O163" r:id="rId175"/>
    <hyperlink ref="O164" r:id="rId176"/>
    <hyperlink ref="O165" r:id="rId177"/>
    <hyperlink ref="O166" r:id="rId178"/>
    <hyperlink ref="O183" r:id="rId179"/>
    <hyperlink ref="O184" r:id="rId180"/>
    <hyperlink ref="O9" r:id="rId181"/>
    <hyperlink ref="O94" r:id="rId1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 Boards</vt:lpstr>
      <vt:lpstr>10 Boards</vt:lpstr>
      <vt:lpstr>100 Boards</vt:lpstr>
      <vt:lpstr>200 Boards</vt:lpstr>
      <vt:lpstr>500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2025-10-30T14:51:51Z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C7EC917E371341A49779995A25A5FBD1_12</vt:lpwstr>
  </property>
  <property fmtid="{D5CDD505-2E9C-101B-9397-08002B2CF9AE}" pid="3" name="KSOProductBuildVer">
    <vt:lpwstr>2057-12.2.0.21931</vt:lpwstr>
  </property>
</Properties>
</file>