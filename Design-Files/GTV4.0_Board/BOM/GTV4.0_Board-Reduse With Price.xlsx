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6" i="1" l="1"/>
  <c r="O95" i="1"/>
  <c r="O94" i="1"/>
  <c r="O93" i="1"/>
  <c r="Q95" i="1" l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M78" i="1"/>
  <c r="B78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/>
  <c r="M9" i="1"/>
  <c r="B9" i="1"/>
  <c r="Q8" i="1"/>
  <c r="M8" i="1"/>
  <c r="B8" i="1"/>
  <c r="Q7" i="1"/>
  <c r="M7" i="1"/>
  <c r="B7" i="1"/>
  <c r="Q6" i="1"/>
  <c r="M6" i="1"/>
  <c r="B6" i="1"/>
  <c r="Q5" i="1"/>
  <c r="M5" i="1"/>
  <c r="B5" i="1"/>
  <c r="Q97" i="1"/>
  <c r="Q4" i="1"/>
  <c r="Q3" i="1"/>
  <c r="M4" i="1"/>
  <c r="M3" i="1"/>
  <c r="B4" i="1"/>
  <c r="B3" i="1"/>
</calcChain>
</file>

<file path=xl/sharedStrings.xml><?xml version="1.0" encoding="utf-8"?>
<sst xmlns="http://schemas.openxmlformats.org/spreadsheetml/2006/main" count="1023" uniqueCount="594">
  <si>
    <t>#</t>
  </si>
  <si>
    <t xml:space="preserve">Total Component Cost </t>
  </si>
  <si>
    <t>Single Board Cost</t>
  </si>
  <si>
    <t>Item Type</t>
  </si>
  <si>
    <t>Capacitor</t>
  </si>
  <si>
    <t>IC</t>
  </si>
  <si>
    <t>Zener diode</t>
  </si>
  <si>
    <t>Diode</t>
  </si>
  <si>
    <t>Diodes</t>
  </si>
  <si>
    <t>Jtag Male Header</t>
  </si>
  <si>
    <t>Terminal Block</t>
  </si>
  <si>
    <t>Terminal Blocks</t>
  </si>
  <si>
    <t>USB B Connector</t>
  </si>
  <si>
    <t>Headers, Male Pins</t>
  </si>
  <si>
    <t>Wire To Board Connector</t>
  </si>
  <si>
    <t>Male</t>
  </si>
  <si>
    <t>Inductor</t>
  </si>
  <si>
    <t>LED</t>
  </si>
  <si>
    <t>Buzzer</t>
  </si>
  <si>
    <t>Test Point</t>
  </si>
  <si>
    <t>Transister</t>
  </si>
  <si>
    <t>Mosfet</t>
  </si>
  <si>
    <t>MOSFETs</t>
  </si>
  <si>
    <t>Resistor</t>
  </si>
  <si>
    <t>Resistors</t>
  </si>
  <si>
    <t>Tactile Switch</t>
  </si>
  <si>
    <t>Switch</t>
  </si>
  <si>
    <t>Current Sensor</t>
  </si>
  <si>
    <t>Sensor</t>
  </si>
  <si>
    <t>Crystal</t>
  </si>
  <si>
    <t>Designator</t>
  </si>
  <si>
    <t>C1, C4, C21, C23, C65, C68, C76</t>
  </si>
  <si>
    <t>C2</t>
  </si>
  <si>
    <t>C3</t>
  </si>
  <si>
    <t>C6, C13, C14, C22, C26, C38, C53, C66, C67, C69</t>
  </si>
  <si>
    <t>C7</t>
  </si>
  <si>
    <t>C9</t>
  </si>
  <si>
    <t>C11</t>
  </si>
  <si>
    <t>C12, C29, C30, C31, C32, C33, C36, C73, C93, C95, C109, C110, C111, C113, C114</t>
  </si>
  <si>
    <t>C18</t>
  </si>
  <si>
    <t>C20</t>
  </si>
  <si>
    <t>C34, C35, C133, C134</t>
  </si>
  <si>
    <t>C50</t>
  </si>
  <si>
    <t>C75</t>
  </si>
  <si>
    <t>C77</t>
  </si>
  <si>
    <t>C112</t>
  </si>
  <si>
    <t>C128, C129</t>
  </si>
  <si>
    <t>C131, C132</t>
  </si>
  <si>
    <t>D1</t>
  </si>
  <si>
    <t>D2</t>
  </si>
  <si>
    <t>D4</t>
  </si>
  <si>
    <t>D5</t>
  </si>
  <si>
    <t>D6</t>
  </si>
  <si>
    <t>D7</t>
  </si>
  <si>
    <t>D9</t>
  </si>
  <si>
    <t>D11</t>
  </si>
  <si>
    <t>D71</t>
  </si>
  <si>
    <t>J1</t>
  </si>
  <si>
    <t>J2</t>
  </si>
  <si>
    <t>J3</t>
  </si>
  <si>
    <t>J7</t>
  </si>
  <si>
    <t>J10</t>
  </si>
  <si>
    <t>J13</t>
  </si>
  <si>
    <t>J14, J16</t>
  </si>
  <si>
    <t>J18</t>
  </si>
  <si>
    <t>L1</t>
  </si>
  <si>
    <t>L2</t>
  </si>
  <si>
    <t>L3</t>
  </si>
  <si>
    <t>LED1, LED2, LED3</t>
  </si>
  <si>
    <t>LS1</t>
  </si>
  <si>
    <t>P1, P7, P9, P10, P11, P16</t>
  </si>
  <si>
    <t>Q2</t>
  </si>
  <si>
    <t>Q4</t>
  </si>
  <si>
    <t>Q5</t>
  </si>
  <si>
    <t>Q8</t>
  </si>
  <si>
    <t>Q10</t>
  </si>
  <si>
    <t>Q26</t>
  </si>
  <si>
    <t>Q32</t>
  </si>
  <si>
    <t>R1</t>
  </si>
  <si>
    <t>R2</t>
  </si>
  <si>
    <t>R3</t>
  </si>
  <si>
    <t>R5</t>
  </si>
  <si>
    <t>R6</t>
  </si>
  <si>
    <t>R7</t>
  </si>
  <si>
    <t>R9</t>
  </si>
  <si>
    <t>R11</t>
  </si>
  <si>
    <t>R12</t>
  </si>
  <si>
    <t>R13</t>
  </si>
  <si>
    <t>R14, R15, R17</t>
  </si>
  <si>
    <t>R16, R31</t>
  </si>
  <si>
    <t>R24</t>
  </si>
  <si>
    <t>R30</t>
  </si>
  <si>
    <t>R32</t>
  </si>
  <si>
    <t>R34, R48, R68, R75</t>
  </si>
  <si>
    <t>R44, R70</t>
  </si>
  <si>
    <t>R46, R47</t>
  </si>
  <si>
    <t>R55, R104, R216, R217, R218, R219</t>
  </si>
  <si>
    <t>R64</t>
  </si>
  <si>
    <t>R65</t>
  </si>
  <si>
    <t>R66, R67, R130, R135</t>
  </si>
  <si>
    <t>R69</t>
  </si>
  <si>
    <t>R73, R74, R105</t>
  </si>
  <si>
    <t>R124</t>
  </si>
  <si>
    <t>R125, R127</t>
  </si>
  <si>
    <t>R126, R128</t>
  </si>
  <si>
    <t>R129, R134</t>
  </si>
  <si>
    <t>R133, R137</t>
  </si>
  <si>
    <t>R149</t>
  </si>
  <si>
    <t>SW3</t>
  </si>
  <si>
    <t>SW4</t>
  </si>
  <si>
    <t>U1</t>
  </si>
  <si>
    <t>U3</t>
  </si>
  <si>
    <t>U4</t>
  </si>
  <si>
    <t>U6</t>
  </si>
  <si>
    <t>U7</t>
  </si>
  <si>
    <t>U8, U10, U11</t>
  </si>
  <si>
    <t>U13</t>
  </si>
  <si>
    <t>U17</t>
  </si>
  <si>
    <t>U19, U22</t>
  </si>
  <si>
    <t>U20</t>
  </si>
  <si>
    <t>U21</t>
  </si>
  <si>
    <t>U30</t>
  </si>
  <si>
    <t>X1</t>
  </si>
  <si>
    <t>X3</t>
  </si>
  <si>
    <t>Description</t>
  </si>
  <si>
    <t>CAP ALUM 10uF 25V SMD</t>
  </si>
  <si>
    <t>CAP CER 0.1UF 100V X7R 1206</t>
  </si>
  <si>
    <t>CAP CER 1UF 25V X5R 0603</t>
  </si>
  <si>
    <t>CAP CER 0.1UF 50V Y5V 0603</t>
  </si>
  <si>
    <t>CAP CER 1UF 16V X5R 0402</t>
  </si>
  <si>
    <t>CAP ALUM 100UF 20% 25V SMD</t>
  </si>
  <si>
    <t>CAP CER 1000PF 25V C0G 0402</t>
  </si>
  <si>
    <t>CAP CER 0.1UF 50V X5R 0402</t>
  </si>
  <si>
    <t>470uF 50V ±20% SMD,D12.5xL13.5mm Aluminum Electrolytic Capacitors - SMD ROHS</t>
  </si>
  <si>
    <t>CAP CER 470pF 10% X7R 50V 0603 SMD</t>
  </si>
  <si>
    <t>CAP CER 15PF 50V C0G/NPO 0201</t>
  </si>
  <si>
    <t>CAP CER 0.047UF 100V X7R 1206</t>
  </si>
  <si>
    <t>CAP CER 0.1UF 50V X7R 0402</t>
  </si>
  <si>
    <t>CAP CER 10UF 25V X5R 0603</t>
  </si>
  <si>
    <t>CAP CER 10UF 10V X5R 0402</t>
  </si>
  <si>
    <t>CAP CER 22UF 10V X5R 0603</t>
  </si>
  <si>
    <t>CAP CER 2.2UF 25V X5R 0402</t>
  </si>
  <si>
    <t>40V 500mV@2A 2A SMA(DO-214AC) Schottky Barrier Diodes (SBD) ROHS</t>
  </si>
  <si>
    <t>DIODE ZENER 16V 1.5W SMA</t>
  </si>
  <si>
    <t>16A 20V 7V 5V@Max Unidirectional SOT-23 TVS ROHS</t>
  </si>
  <si>
    <t>DIODE ZENER 3.3V 200MW SOD323F</t>
  </si>
  <si>
    <t>5.3A 600W 113V 77.8V 70V SMB(DO-214AA) ESD and Surge Protection (TVS/ESD) ROHS</t>
  </si>
  <si>
    <t>SCHOTTKY DIODE SMB 100V 5A</t>
  </si>
  <si>
    <t>DIODE GEN PURP 100V 300MA SOD123</t>
  </si>
  <si>
    <t>40V 650mV@10A 10A SMC(DO-214AB) Schottky Barrier Diodes (SBD) ROHS</t>
  </si>
  <si>
    <t>DIODE ZENER 12V 200MW SOD323</t>
  </si>
  <si>
    <t>CONN HEADER SMD 10POS 1.27MM</t>
  </si>
  <si>
    <t>52A 1x2P -40℃~+105℃ 300V Green Through Hole 10.16mm 1 2 P=10.16mm Screw Terminal Blocks ROHS</t>
  </si>
  <si>
    <t>TERMINAL BLOCK, SCREW TYPE, 5.08</t>
  </si>
  <si>
    <t>CONN RCPT USB2.0 MICRO B SMD R/A</t>
  </si>
  <si>
    <t>CONN HEADER VERT 2POS 2.54MM</t>
  </si>
  <si>
    <t>1x12P 12P PicoBlade(MX 1.25) Tin 12 -25℃~+85℃ 2A 1 1.25mm Brass Surface Mount,Vertical SMD,P=1.25mm Wire To Board Connector ROHS</t>
  </si>
  <si>
    <t>3A Direct Insert Policy 1.7mm 2P 3mm -55℃~+105℃ 2.5mm 1.27mm Single Row Black Brass 1x2P Plugin,P=1.27mm Pin Headers ROHS</t>
  </si>
  <si>
    <t>IND SMD 10uH 500mA 0805</t>
  </si>
  <si>
    <t>Inductor Power Shielded Wirewound 220uH 20% 1KHz Ferrite 1.3A 310mOhm DCR Blister</t>
  </si>
  <si>
    <t>3.7A 4.7uH ±20% SMD,7.3x7.3mm Power Inductors ROHS</t>
  </si>
  <si>
    <t>LED RED CLEAR CHIP SMD</t>
  </si>
  <si>
    <t>Externally Driven 85dB@3V,10cm 3V 2700Hz SMD,D=9mm Buzzers ROHS</t>
  </si>
  <si>
    <t>Test Point ON</t>
  </si>
  <si>
    <t>TRANS NPN 160V 0.6A SOT-23</t>
  </si>
  <si>
    <t>MOSFET N-CH 130V 1A SOT23</t>
  </si>
  <si>
    <t>MOSFET N-CH 55V 110A D2PAK</t>
  </si>
  <si>
    <t>TRANS NPN 40V 0.6A SMD SOT23-3</t>
  </si>
  <si>
    <t>MOSFET N-CH 60V 23A/100A TDSON</t>
  </si>
  <si>
    <t>N-CHANNEL 20-V (D-S) MOSFET</t>
  </si>
  <si>
    <t>30V 4.1A 60mΩ@10V,4.1A 350mW 3V@250uA P Channel SOT-23 MOSFETs ROHS</t>
  </si>
  <si>
    <t>100mW Thick Film Resistor 75V ±100ppm/℃ ±1% 3.6kΩ 0603 Chip Resistor - Surface Mount ROHS</t>
  </si>
  <si>
    <t>±1% 1/10W Thick Film Resistors 75V ±600ppm/℃ -55℃~+155℃ 0.33Ω 0603 Chip Resistor - Surface Mount ROHS</t>
  </si>
  <si>
    <t>RES SMD 1.2K OHM 1% 1/10W 0603</t>
  </si>
  <si>
    <t>RES SMD 4.7K OHM 0.1% 1/10W 0603</t>
  </si>
  <si>
    <t>RES SMD 4.7K OHM 1% 1/10W 0603</t>
  </si>
  <si>
    <t>RES SMD 6.8K OHM 0.1% 1/10W 0603</t>
  </si>
  <si>
    <t>RES 20K OHM 1% 1/10W 0603</t>
  </si>
  <si>
    <t>100mW Thick Film Resistors 75V ±1% ±100ppm/℃ -55℃~+155℃ 2.21MΩ 0603 Chip Resistor - Surface Mount ROHS</t>
  </si>
  <si>
    <t>RES 15K OHM 1% 1/10W 0603</t>
  </si>
  <si>
    <t>RES 3.3K OHM 0.5% 1/10W 0603</t>
  </si>
  <si>
    <t>RES SMD 680 OHM 1% 1/10W 0603</t>
  </si>
  <si>
    <t>RES 4.7K OHM 1% 1/16W 0402</t>
  </si>
  <si>
    <t>RES SMD 47OHM 0.1W 0603</t>
  </si>
  <si>
    <t>RES SMD 20K OHM 0.1% 1/10W 0603</t>
  </si>
  <si>
    <t>RES 100K OHM 1% 1/8W 0805</t>
  </si>
  <si>
    <t>RES SMD 1K OHM 1% 1/10W 0603</t>
  </si>
  <si>
    <t>RES SMD 10K Ohm 1% 1/10W 0603</t>
  </si>
  <si>
    <t>RES SMD 200K OHM 1% 1/10W 0603</t>
  </si>
  <si>
    <t>RES 0 OHM JUMPER 1/16W 0402</t>
  </si>
  <si>
    <t>RES 1K OHM 1% 1/2W 1206</t>
  </si>
  <si>
    <t>RES SMD 63.4KOHM 0.1% 1/10W 0603</t>
  </si>
  <si>
    <t>RES 0 OHM JUMPER 1/10W 0603</t>
  </si>
  <si>
    <t>RES 470 OHM 1% 1/10W 0603</t>
  </si>
  <si>
    <t>RES 10K OHM 1% 1/16W 0402</t>
  </si>
  <si>
    <t>RES SMD 100 OHM 1% 1/10W 0603</t>
  </si>
  <si>
    <t>RES SMD 10K OHM 0.1% 1/10W 0603</t>
  </si>
  <si>
    <t>RES SMD 3.3K OHM 0.1% 1/10W 0603</t>
  </si>
  <si>
    <t>1W Thick Film Resistor 200V ±5% ±800ppm/℃ 0Ω 2512 Chip Resistor - Surface Mount ROHS</t>
  </si>
  <si>
    <t>SWITCH TACTILE SPST-NO 0.05A 12V</t>
  </si>
  <si>
    <t>Straight 1A SPDT 8.7mm 8.6mm 24V 4.5mm Black PCPin 10000 Rectangular columnar -25℃~+70℃ Plugin Slide Switches ROHS</t>
  </si>
  <si>
    <t>SENSOR CURRENT HALL 20A DC</t>
  </si>
  <si>
    <t>IC REG BUCK BST ADJ 1.5A 8SOIC</t>
  </si>
  <si>
    <t>IC REG LINEAR 3.3V 1A SOT223</t>
  </si>
  <si>
    <t>IC GATE DRVR LOW-SIDE 8SOIC</t>
  </si>
  <si>
    <t>IC OR CTRLR N+1 8MSOP</t>
  </si>
  <si>
    <t>IC BUF NON-INVERT 5.5V SOT23-5</t>
  </si>
  <si>
    <t>IC COMPARATOR 2 WINDW SOT23-THIN</t>
  </si>
  <si>
    <t>Plugin Human Body Sensing Sensor ROHS</t>
  </si>
  <si>
    <t>1.6-V TO 5.5-V, 20-M, 4-A LOW IQ</t>
  </si>
  <si>
    <t>IC REG LINEAR 3.3V 1A 8DFN</t>
  </si>
  <si>
    <t>IC MCU 32BIT 1MB FLASH 144LQFP</t>
  </si>
  <si>
    <t>IC REG BUCK 5V 2A TSOT26</t>
  </si>
  <si>
    <t>CRYSTAL 25.0000MHZ 12PF SMD</t>
  </si>
  <si>
    <t>CRYSTAL 32.7680KHZ 12.5PF SMD</t>
  </si>
  <si>
    <t>Footprint</t>
  </si>
  <si>
    <t>Cap-1206</t>
  </si>
  <si>
    <t>Cap-0603</t>
  </si>
  <si>
    <t>Cap-0402</t>
  </si>
  <si>
    <t>VT1H471MI135000CE0</t>
  </si>
  <si>
    <t>Cap-0201</t>
  </si>
  <si>
    <t>SMA</t>
  </si>
  <si>
    <t>Sot-23</t>
  </si>
  <si>
    <t>SOD323F</t>
  </si>
  <si>
    <t>SMB_</t>
  </si>
  <si>
    <t>SOD-123</t>
  </si>
  <si>
    <t>SMC</t>
  </si>
  <si>
    <t>SOD-323</t>
  </si>
  <si>
    <t>DB135-10.16-2P-GN-P</t>
  </si>
  <si>
    <t>TB008A-508-02BE</t>
  </si>
  <si>
    <t>HC-1.25-12PLT</t>
  </si>
  <si>
    <t>HDR 1x2 Male 1.27mm</t>
  </si>
  <si>
    <t>TB008A-508-03BE</t>
  </si>
  <si>
    <t>Ind-0805</t>
  </si>
  <si>
    <t>SLF12575T-221M1R3-PF</t>
  </si>
  <si>
    <t>YPRH0704-4R7M</t>
  </si>
  <si>
    <t>LED-0402</t>
  </si>
  <si>
    <t>Test-point - 0.5mm</t>
  </si>
  <si>
    <t>SOT-23</t>
  </si>
  <si>
    <t>D2Pak.</t>
  </si>
  <si>
    <t>PG-TDSON-8-7</t>
  </si>
  <si>
    <t>Res-0603</t>
  </si>
  <si>
    <t>RES-0603</t>
  </si>
  <si>
    <t>Res-0402</t>
  </si>
  <si>
    <t>RES-0805</t>
  </si>
  <si>
    <t>Res-1206</t>
  </si>
  <si>
    <t>Res-2512</t>
  </si>
  <si>
    <t>SS-12D02-G040</t>
  </si>
  <si>
    <t>SOP-8</t>
  </si>
  <si>
    <t>SOIC-8</t>
  </si>
  <si>
    <t>SOT- 223</t>
  </si>
  <si>
    <t>MSOP-8</t>
  </si>
  <si>
    <t>SOT-23-5</t>
  </si>
  <si>
    <t>SOT-23-6</t>
  </si>
  <si>
    <t>AS312</t>
  </si>
  <si>
    <t>SOT-583</t>
  </si>
  <si>
    <t>DFN-8(1.2x1.6)</t>
  </si>
  <si>
    <t>LQFP-144(20x20)</t>
  </si>
  <si>
    <t>TSOT-23-6</t>
  </si>
  <si>
    <t>Q22FA12800090</t>
  </si>
  <si>
    <t>Manufacturer Part Number</t>
  </si>
  <si>
    <t>RVT1E100M0405</t>
  </si>
  <si>
    <t>CC1206KKX7R0BB104</t>
  </si>
  <si>
    <t>CC0603KRX5R8BB105</t>
  </si>
  <si>
    <t>CC0603ZRY5V9BB104</t>
  </si>
  <si>
    <t>CC0402KRX5R7BB105</t>
  </si>
  <si>
    <t>UWX1E101MCL1GB</t>
  </si>
  <si>
    <t>C1005C0G1E102JT000F</t>
  </si>
  <si>
    <t>C1005X5R1H104K050BB</t>
  </si>
  <si>
    <t>CC0603KRX7R9BB471</t>
  </si>
  <si>
    <t>CC0201JRNPO9BN150</t>
  </si>
  <si>
    <t>CC1206JRX7R0BB473</t>
  </si>
  <si>
    <t>CL05B104KB54PNC</t>
  </si>
  <si>
    <t>C1608X5R1E106M080AC</t>
  </si>
  <si>
    <t>CC0402MRX5R6BB106</t>
  </si>
  <si>
    <t>CC0603MRX5R6BB226</t>
  </si>
  <si>
    <t>GRM155R61E225KE11D</t>
  </si>
  <si>
    <t>SS24A</t>
  </si>
  <si>
    <t>1SMA5930BT3G</t>
  </si>
  <si>
    <t>ESD5302F-3/TR</t>
  </si>
  <si>
    <t>MM3Z3V3B</t>
  </si>
  <si>
    <t>SMBJ70A/TR13</t>
  </si>
  <si>
    <t>SS510B</t>
  </si>
  <si>
    <t>1N4148W-7-F</t>
  </si>
  <si>
    <t>SK104C</t>
  </si>
  <si>
    <t>MMSZ5242BS-7-F</t>
  </si>
  <si>
    <t>20021121-00010C4LF</t>
  </si>
  <si>
    <t>10118194-0001LF</t>
  </si>
  <si>
    <t>1.27-1*2P</t>
  </si>
  <si>
    <t>MGFL2012F100MT-LF</t>
  </si>
  <si>
    <t>XZMDK68W-2</t>
  </si>
  <si>
    <t>YS-SBZ9032C03R16</t>
  </si>
  <si>
    <t>MMBT5551LT1G</t>
  </si>
  <si>
    <t>DMN13H750S-7</t>
  </si>
  <si>
    <t>IRF3205STRLPBF</t>
  </si>
  <si>
    <t>MMBT2222A-7-F</t>
  </si>
  <si>
    <t>BSC028N06NSATMA1</t>
  </si>
  <si>
    <t>SI2302CDS</t>
  </si>
  <si>
    <t>AO3407</t>
  </si>
  <si>
    <t>0603WAF3601T5E</t>
  </si>
  <si>
    <t>RTT03R330FTP</t>
  </si>
  <si>
    <t>RC0603FR-071K2L</t>
  </si>
  <si>
    <t>RT0603BRD074K7L</t>
  </si>
  <si>
    <t>RC0603FR-074K7L</t>
  </si>
  <si>
    <t>RT0603BRE076K8L</t>
  </si>
  <si>
    <t>RC0603FR-0720KL</t>
  </si>
  <si>
    <t>0603WAF2214T5E</t>
  </si>
  <si>
    <t>RC0603FR-0715KL</t>
  </si>
  <si>
    <t>RC0603DR-073K3L</t>
  </si>
  <si>
    <t>RC0603FR-07680RL</t>
  </si>
  <si>
    <t>RC0402FR-074K7L</t>
  </si>
  <si>
    <t>RC0603FR-0747RL</t>
  </si>
  <si>
    <t>RT0603BRD0720KL</t>
  </si>
  <si>
    <t>RC0805FR-07100KL</t>
  </si>
  <si>
    <t>RC0603FR-071KL</t>
  </si>
  <si>
    <t>RC0603FR-0710KL</t>
  </si>
  <si>
    <t>RC0603FR-07200KL</t>
  </si>
  <si>
    <t>RC0402FR-070RL</t>
  </si>
  <si>
    <t>RC1206FR-7W1KL</t>
  </si>
  <si>
    <t>RT0603BRE0763K4L</t>
  </si>
  <si>
    <t>RC0603JR-070RL</t>
  </si>
  <si>
    <t>RC0603FR-07470RL</t>
  </si>
  <si>
    <t>RC0402FR-0710KL</t>
  </si>
  <si>
    <t>RC0603FR-07100RL</t>
  </si>
  <si>
    <t>RT0603BRD0710KL</t>
  </si>
  <si>
    <t>RT0603BRD073K3L</t>
  </si>
  <si>
    <t>25121WJ0000T4E</t>
  </si>
  <si>
    <t>TL3300CF160Q</t>
  </si>
  <si>
    <t>ACS723LLCTR-20AU-T</t>
  </si>
  <si>
    <t>MC34063ADR</t>
  </si>
  <si>
    <t>LMS8117AMP-3.3/NOPB</t>
  </si>
  <si>
    <t>NCP81071ADR2G</t>
  </si>
  <si>
    <t>LTC4359CMS8#PBF</t>
  </si>
  <si>
    <t>SN74LV1T34DBVR</t>
  </si>
  <si>
    <t>TPS3700DDCR</t>
  </si>
  <si>
    <t>TPS2117DRLR</t>
  </si>
  <si>
    <t>LD56100DPU33R</t>
  </si>
  <si>
    <t>STM32H723ZGT6</t>
  </si>
  <si>
    <t>AP63205WU-7</t>
  </si>
  <si>
    <t>NX3215SA-32.768K-STD-MUA-8</t>
  </si>
  <si>
    <t>Manufacturer</t>
  </si>
  <si>
    <t>ROQANG</t>
  </si>
  <si>
    <t>Yageo</t>
  </si>
  <si>
    <t>Nichicon</t>
  </si>
  <si>
    <t>TDK</t>
  </si>
  <si>
    <t>Changzhou Huawei Elec</t>
  </si>
  <si>
    <t>Samsung</t>
  </si>
  <si>
    <t>Murata</t>
  </si>
  <si>
    <t>Guangdong Hottech</t>
  </si>
  <si>
    <t>onsemi</t>
  </si>
  <si>
    <t>WILLSEMI</t>
  </si>
  <si>
    <t>ON Semiconductor / Fairchild</t>
  </si>
  <si>
    <t>Brightking</t>
  </si>
  <si>
    <t>MDD</t>
  </si>
  <si>
    <t>Amphenol FCI</t>
  </si>
  <si>
    <t>DORABO</t>
  </si>
  <si>
    <t>Same Sky</t>
  </si>
  <si>
    <t>Molex</t>
  </si>
  <si>
    <t>HCTL</t>
  </si>
  <si>
    <t>BOOMELE(BOOM Precision Elec)</t>
  </si>
  <si>
    <t>microgate</t>
  </si>
  <si>
    <t>YJYCOIN</t>
  </si>
  <si>
    <t>SunLED</t>
  </si>
  <si>
    <t>Fengming</t>
  </si>
  <si>
    <t>ON Semiconductor</t>
  </si>
  <si>
    <t>Diodes Incorporated</t>
  </si>
  <si>
    <t>Infineon Technologies</t>
  </si>
  <si>
    <t>Infineon</t>
  </si>
  <si>
    <t>TECH PUBLIC</t>
  </si>
  <si>
    <t>UNI-ROYAL(Uniroyal Elec)</t>
  </si>
  <si>
    <t>RALEC</t>
  </si>
  <si>
    <t>Royal Electronic Factory</t>
  </si>
  <si>
    <t>E-Switch</t>
  </si>
  <si>
    <t>G-Switch</t>
  </si>
  <si>
    <t>Allegro MicroSystems, LLC</t>
  </si>
  <si>
    <t>Texas Instruments</t>
  </si>
  <si>
    <t>Analog Devices / Linear Technology</t>
  </si>
  <si>
    <t>Senba Sensing Tech</t>
  </si>
  <si>
    <t>STMicroelectronics</t>
  </si>
  <si>
    <t>Seiko Epson</t>
  </si>
  <si>
    <t>NDK</t>
  </si>
  <si>
    <t>LCSC Part Number</t>
  </si>
  <si>
    <t>C970655</t>
  </si>
  <si>
    <t>C107181</t>
  </si>
  <si>
    <t>C14664</t>
  </si>
  <si>
    <t>C106221</t>
  </si>
  <si>
    <t>C325464</t>
  </si>
  <si>
    <t>C343059</t>
  </si>
  <si>
    <t>C2181865</t>
  </si>
  <si>
    <t>C107092</t>
  </si>
  <si>
    <t>C277480</t>
  </si>
  <si>
    <t>C577197</t>
  </si>
  <si>
    <t>C307331</t>
  </si>
  <si>
    <t>C2168289</t>
  </si>
  <si>
    <t>C962143</t>
  </si>
  <si>
    <t>C109447</t>
  </si>
  <si>
    <t>C385032</t>
  </si>
  <si>
    <t>C2886579</t>
  </si>
  <si>
    <t>C128848</t>
  </si>
  <si>
    <t>C239643</t>
  </si>
  <si>
    <t>C2978865</t>
  </si>
  <si>
    <t>C309982</t>
  </si>
  <si>
    <t>C3011128</t>
  </si>
  <si>
    <t>C83528</t>
  </si>
  <si>
    <t>C59500</t>
  </si>
  <si>
    <t>C151457</t>
  </si>
  <si>
    <t>C150517</t>
  </si>
  <si>
    <t>C2981775</t>
  </si>
  <si>
    <t>C132563</t>
  </si>
  <si>
    <t>C505162</t>
  </si>
  <si>
    <t>C2937190</t>
  </si>
  <si>
    <t>C703015</t>
  </si>
  <si>
    <t>C281113</t>
  </si>
  <si>
    <t>C93225</t>
  </si>
  <si>
    <t>C514806</t>
  </si>
  <si>
    <t>C409828</t>
  </si>
  <si>
    <t>C909756</t>
  </si>
  <si>
    <t>C156273</t>
  </si>
  <si>
    <t>C2613</t>
  </si>
  <si>
    <t>C94515</t>
  </si>
  <si>
    <t>C148250</t>
  </si>
  <si>
    <t>C5310968</t>
  </si>
  <si>
    <t>C181093</t>
  </si>
  <si>
    <t>C22980</t>
  </si>
  <si>
    <t>C103893</t>
  </si>
  <si>
    <t>C114605</t>
  </si>
  <si>
    <t>C513565</t>
  </si>
  <si>
    <t>C99782</t>
  </si>
  <si>
    <t>C705876</t>
  </si>
  <si>
    <t>C105575</t>
  </si>
  <si>
    <t>C422956</t>
  </si>
  <si>
    <t>C114661</t>
  </si>
  <si>
    <t>C723574</t>
  </si>
  <si>
    <t>C112310</t>
  </si>
  <si>
    <t>C105871</t>
  </si>
  <si>
    <t>C114623</t>
  </si>
  <si>
    <t>C723637</t>
  </si>
  <si>
    <t>C96346</t>
  </si>
  <si>
    <t>C22548</t>
  </si>
  <si>
    <t>C98220</t>
  </si>
  <si>
    <t>C105574</t>
  </si>
  <si>
    <t>C106231</t>
  </si>
  <si>
    <t>C859155</t>
  </si>
  <si>
    <t>C862245</t>
  </si>
  <si>
    <t>C95177</t>
  </si>
  <si>
    <t>C114669</t>
  </si>
  <si>
    <t>C60490</t>
  </si>
  <si>
    <t>C105588</t>
  </si>
  <si>
    <t>C95204</t>
  </si>
  <si>
    <t>C309653</t>
  </si>
  <si>
    <t>C25469</t>
  </si>
  <si>
    <t>C273516</t>
  </si>
  <si>
    <t>C2876023</t>
  </si>
  <si>
    <t>C459324</t>
  </si>
  <si>
    <t>C100023</t>
  </si>
  <si>
    <t>C201952</t>
  </si>
  <si>
    <t>C100024</t>
  </si>
  <si>
    <t>C33002</t>
  </si>
  <si>
    <t>C90465</t>
  </si>
  <si>
    <t>C2969937</t>
  </si>
  <si>
    <t>C730146</t>
  </si>
  <si>
    <t>C2071056</t>
  </si>
  <si>
    <t>C255883</t>
  </si>
  <si>
    <t>C156245</t>
  </si>
  <si>
    <t>10uF</t>
  </si>
  <si>
    <t>0.1uF</t>
  </si>
  <si>
    <t>1uF</t>
  </si>
  <si>
    <t>100uF</t>
  </si>
  <si>
    <t>1nF</t>
  </si>
  <si>
    <t>470uF</t>
  </si>
  <si>
    <t>470pF</t>
  </si>
  <si>
    <t>15pF</t>
  </si>
  <si>
    <t>0.047uF</t>
  </si>
  <si>
    <t>22uF</t>
  </si>
  <si>
    <t>2.2uF</t>
  </si>
  <si>
    <t>10uH</t>
  </si>
  <si>
    <t>220uH</t>
  </si>
  <si>
    <t>4.7uH</t>
  </si>
  <si>
    <t>MMBT5551</t>
  </si>
  <si>
    <t>Si2302CDS</t>
  </si>
  <si>
    <t>3.6K</t>
  </si>
  <si>
    <t>0.33R</t>
  </si>
  <si>
    <t>1.2K</t>
  </si>
  <si>
    <t>4.7K</t>
  </si>
  <si>
    <t>6.8K</t>
  </si>
  <si>
    <t>20K</t>
  </si>
  <si>
    <t>2.21M</t>
  </si>
  <si>
    <t>15K</t>
  </si>
  <si>
    <t>3.3K</t>
  </si>
  <si>
    <t>680R</t>
  </si>
  <si>
    <t>47R</t>
  </si>
  <si>
    <t>100K</t>
  </si>
  <si>
    <t>1K</t>
  </si>
  <si>
    <t>10K</t>
  </si>
  <si>
    <t>200K</t>
  </si>
  <si>
    <t>0R</t>
  </si>
  <si>
    <t>63.4K</t>
  </si>
  <si>
    <t>470R</t>
  </si>
  <si>
    <t>100R</t>
  </si>
  <si>
    <t>3.3k</t>
  </si>
  <si>
    <t>DNP</t>
  </si>
  <si>
    <t>25MHz</t>
  </si>
  <si>
    <t>32.7680KHZ</t>
  </si>
  <si>
    <t>Quantity</t>
  </si>
  <si>
    <t>Alternate Part Number</t>
  </si>
  <si>
    <t>Value</t>
  </si>
  <si>
    <t>Quantity (5 Boards)</t>
  </si>
  <si>
    <t xml:space="preserve"> MOQ (5 Boards)</t>
  </si>
  <si>
    <t>Links</t>
  </si>
  <si>
    <t>Unit Cost (5 Boards)</t>
  </si>
  <si>
    <t>Total Cost (5 Boards)</t>
  </si>
  <si>
    <t>Remarks</t>
  </si>
  <si>
    <t>Custom</t>
  </si>
  <si>
    <t>-</t>
  </si>
  <si>
    <t>LCSC</t>
  </si>
  <si>
    <t>50</t>
  </si>
  <si>
    <t>0.0129</t>
  </si>
  <si>
    <t>100</t>
  </si>
  <si>
    <t>0.0054</t>
  </si>
  <si>
    <t>UUR1E101MCL6GS</t>
  </si>
  <si>
    <t>0.0031</t>
  </si>
  <si>
    <t>0.0041</t>
  </si>
  <si>
    <t>Digikey</t>
  </si>
  <si>
    <t>0.0092</t>
  </si>
  <si>
    <t>75</t>
  </si>
  <si>
    <t>0.0795</t>
  </si>
  <si>
    <t>C191227</t>
  </si>
  <si>
    <t>5</t>
  </si>
  <si>
    <t>0.3796</t>
  </si>
  <si>
    <t>0.0026</t>
  </si>
  <si>
    <t>0.0010</t>
  </si>
  <si>
    <t>20</t>
  </si>
  <si>
    <t>0.0284</t>
  </si>
  <si>
    <t>0.0046</t>
  </si>
  <si>
    <t>0.8438</t>
  </si>
  <si>
    <t>0.0254</t>
  </si>
  <si>
    <t>10</t>
  </si>
  <si>
    <t>0.0393</t>
  </si>
  <si>
    <t>0.0179</t>
  </si>
  <si>
    <t>0.0210</t>
  </si>
  <si>
    <t>0.1711</t>
  </si>
  <si>
    <t>0.0820</t>
  </si>
  <si>
    <t>0.0448</t>
  </si>
  <si>
    <t>0.0587</t>
  </si>
  <si>
    <t>0.0362</t>
  </si>
  <si>
    <t>0.0161</t>
  </si>
  <si>
    <t>0.1579</t>
  </si>
  <si>
    <t>0.0347</t>
  </si>
  <si>
    <t>0.6876</t>
  </si>
  <si>
    <t>0.6712</t>
  </si>
  <si>
    <t>C5956408</t>
  </si>
  <si>
    <t>0.2148</t>
  </si>
  <si>
    <t>0.2439</t>
  </si>
  <si>
    <t>15</t>
  </si>
  <si>
    <t>0.1706</t>
  </si>
  <si>
    <t>0.0167</t>
  </si>
  <si>
    <t>0.0394</t>
  </si>
  <si>
    <t>0.4315</t>
  </si>
  <si>
    <t>0.2291</t>
  </si>
  <si>
    <t>0.3271</t>
  </si>
  <si>
    <t>DO NOT Place</t>
  </si>
  <si>
    <t>0.0096</t>
  </si>
  <si>
    <t>0.1960</t>
  </si>
  <si>
    <t>0.6278</t>
  </si>
  <si>
    <t>0.0275</t>
  </si>
  <si>
    <t>0.0242</t>
  </si>
  <si>
    <t>0.0274</t>
  </si>
  <si>
    <t>0.0012</t>
  </si>
  <si>
    <t>0.0233</t>
  </si>
  <si>
    <t>0.0011</t>
  </si>
  <si>
    <t>0.0241</t>
  </si>
  <si>
    <t>0.0018</t>
  </si>
  <si>
    <t>0.0053</t>
  </si>
  <si>
    <t>0.0007</t>
  </si>
  <si>
    <t>0.0022</t>
  </si>
  <si>
    <t>0.0006</t>
  </si>
  <si>
    <t>0.0104</t>
  </si>
  <si>
    <t>0.0248</t>
  </si>
  <si>
    <t>0.0190</t>
  </si>
  <si>
    <t>0.8725</t>
  </si>
  <si>
    <t>0.0940</t>
  </si>
  <si>
    <t>2.7630</t>
  </si>
  <si>
    <t>0.1765</t>
  </si>
  <si>
    <t>0.9979</t>
  </si>
  <si>
    <t>C603796</t>
  </si>
  <si>
    <t>C190259</t>
  </si>
  <si>
    <t>1.3443</t>
  </si>
  <si>
    <t>5.5007</t>
  </si>
  <si>
    <t>0.0888</t>
  </si>
  <si>
    <t>0.6186</t>
  </si>
  <si>
    <t>0.9333</t>
  </si>
  <si>
    <t>5.2318</t>
  </si>
  <si>
    <t>0.3248</t>
  </si>
  <si>
    <t>0.2481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</si>
</sst>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.0000"/>
    <numFmt numFmtId="166" formatCode="&quot;$&quot;#,##0.00"/>
  </numFmts>
  <fonts count="1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5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7" fillId="2" borderId="7" xfId="0" applyFont="1" applyFill="1" applyBorder="1" applyAlignment="1">
      <alignment horizontal="center" vertical="center" wrapText="1"/>
    </xf>
    <xf numFmtId="165" fontId="7" fillId="2" borderId="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166" fontId="5" fillId="3" borderId="6" xfId="0" quotePrefix="1" applyNumberFormat="1" applyFont="1" applyFill="1" applyBorder="1" applyAlignment="1">
      <alignment horizontal="center" vertical="center" wrapText="1"/>
    </xf>
    <xf numFmtId="166" fontId="5" fillId="3" borderId="10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165" fontId="7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top"/>
      <protection locked="0"/>
    </xf>
    <xf numFmtId="0" fontId="8" fillId="3" borderId="4" xfId="0" applyFont="1" applyFill="1" applyBorder="1" applyAlignment="1" applyProtection="1">
      <alignment horizontal="center" vertical="top"/>
      <protection locked="0"/>
    </xf>
    <xf numFmtId="0" fontId="11" fillId="2" borderId="7" xfId="1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5" fontId="12" fillId="2" borderId="8" xfId="0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5" fontId="12" fillId="2" borderId="7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2" borderId="8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zener-diodes_diodes-mmsz5242bs-7-f_C151457.html" TargetMode="External"/><Relationship Id="rId21" Type="http://schemas.openxmlformats.org/officeDocument/2006/relationships/hyperlink" Target="https://lcsc.com/product-detail/zener-diodes_eic-semicon-mm3z3v3b_C2978865.html" TargetMode="External"/><Relationship Id="rId42" Type="http://schemas.openxmlformats.org/officeDocument/2006/relationships/hyperlink" Target="https://lcsc.com/product-detail/mosfets_tech-public-si2302cds_C5310968.html" TargetMode="External"/><Relationship Id="rId47" Type="http://schemas.openxmlformats.org/officeDocument/2006/relationships/hyperlink" Target="https://lcsc.com/product-detail/chip-resistor-surface-mount_yageo-rc0603fr-071k2l_C114605.html" TargetMode="External"/><Relationship Id="rId63" Type="http://schemas.openxmlformats.org/officeDocument/2006/relationships/hyperlink" Target="https://lcsc.com/product-detail/chip-resistor-surface-mount_yageo-rc0402fr-070rl_C106231.html" TargetMode="External"/><Relationship Id="rId68" Type="http://schemas.openxmlformats.org/officeDocument/2006/relationships/hyperlink" Target="https://lcsc.com/product-detail/chip-resistor-surface-mount_yageo-rc0402fr-0710kl_C60490.html" TargetMode="External"/><Relationship Id="rId84" Type="http://schemas.openxmlformats.org/officeDocument/2006/relationships/hyperlink" Target="https://lcsc.com/product-detail/Chip-Resistor-Surface-Mount_YAGEO-RT0603BRD0710KL_C95204.html?s_z=n_C95204" TargetMode="External"/><Relationship Id="rId16" Type="http://schemas.openxmlformats.org/officeDocument/2006/relationships/hyperlink" Target="https://lcsc.com/product-detail/multilayer-ceramic-capacitors-mlcc-smd-smt_yageo-cc0603mrx5r6bb226_C109447.html" TargetMode="External"/><Relationship Id="rId11" Type="http://schemas.openxmlformats.org/officeDocument/2006/relationships/hyperlink" Target="https://lcsc.com/product-detail/multilayer-ceramic-capacitors-mlcc-smd-smt_yageo-cc0201jrnpo9bn150_C277480.html" TargetMode="External"/><Relationship Id="rId32" Type="http://schemas.openxmlformats.org/officeDocument/2006/relationships/hyperlink" Target="https://lcsc.com/product-detail/wire-to-board-connector_hctl-hc-1-25-12plt_C2937190.html" TargetMode="External"/><Relationship Id="rId37" Type="http://schemas.openxmlformats.org/officeDocument/2006/relationships/hyperlink" Target="https://lcsc.com/product-detail/buzzers_fengming-ys-sbz9032c03r16_C409828.html" TargetMode="External"/><Relationship Id="rId53" Type="http://schemas.openxmlformats.org/officeDocument/2006/relationships/hyperlink" Target="https://lcsc.com/product-detail/chip-resistor-surface-mount_yageo-rc0603fr-0715kl_C114661.html" TargetMode="External"/><Relationship Id="rId58" Type="http://schemas.openxmlformats.org/officeDocument/2006/relationships/hyperlink" Target="https://lcsc.com/product-detail/chip-resistor-surface-mount_yageo-rc0402jr-071kl_C105637.html" TargetMode="External"/><Relationship Id="rId74" Type="http://schemas.openxmlformats.org/officeDocument/2006/relationships/hyperlink" Target="https://lcsc.com/product-detail/dc-dc-converters_ti-mc34063adr_C100023.html" TargetMode="External"/><Relationship Id="rId79" Type="http://schemas.openxmlformats.org/officeDocument/2006/relationships/hyperlink" Target="https://lcsc.com/product-detail/comparators_ti-tps3700ddcr_C33002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19" Type="http://schemas.openxmlformats.org/officeDocument/2006/relationships/hyperlink" Target="https://lcsc.com/product-detail/zener-diodes_onsemi-1sma5930bt3g_C128848.html" TargetMode="External"/><Relationship Id="rId14" Type="http://schemas.openxmlformats.org/officeDocument/2006/relationships/hyperlink" Target="https://lcsc.com/product-detail/multilayer-ceramic-capacitors-mlcc-smd-smt_tdk-c1608x5r1e106m080ac_C2168289.html" TargetMode="External"/><Relationship Id="rId22" Type="http://schemas.openxmlformats.org/officeDocument/2006/relationships/hyperlink" Target="https://lcsc.com/product-detail/esd-and-surge-protection-tvs-esd_brightking-smbj70a-tr13_C309982.html" TargetMode="External"/><Relationship Id="rId27" Type="http://schemas.openxmlformats.org/officeDocument/2006/relationships/hyperlink" Target="https://lcsc.com/product-detail/screw-terminal-blocks_dorabo-db135-10-16-2p-gn-p_C2981775.html" TargetMode="External"/><Relationship Id="rId30" Type="http://schemas.openxmlformats.org/officeDocument/2006/relationships/hyperlink" Target="https://lcsc.com/product-detail/usb-connectors_amphenol-10118194-0001lf_C132563.html" TargetMode="External"/><Relationship Id="rId35" Type="http://schemas.openxmlformats.org/officeDocument/2006/relationships/hyperlink" Target="https://lcsc.com/product-detail/power-inductors_tdk-slf12575t-221m1r3-pf_C93225.html" TargetMode="External"/><Relationship Id="rId43" Type="http://schemas.openxmlformats.org/officeDocument/2006/relationships/hyperlink" Target="https://lcsc.com/product-detail/mosfets_guangdong-hottech-ao3407_C181093.html" TargetMode="External"/><Relationship Id="rId48" Type="http://schemas.openxmlformats.org/officeDocument/2006/relationships/hyperlink" Target="https://lcsc.com/product-detail/chip-resistor-surface-mount_yageo-rt0603brd074k7l_C513565.html" TargetMode="External"/><Relationship Id="rId56" Type="http://schemas.openxmlformats.org/officeDocument/2006/relationships/hyperlink" Target="https://lcsc.com/product-detail/chip-resistor-surface-mount_yageo-rc0402fr-074k7l_C105871.html" TargetMode="External"/><Relationship Id="rId64" Type="http://schemas.openxmlformats.org/officeDocument/2006/relationships/hyperlink" Target="https://lcsc.com/product-detail/chip-resistor-surface-mount_yageo-rc1206fr-7w1kl_C859155.html" TargetMode="External"/><Relationship Id="rId69" Type="http://schemas.openxmlformats.org/officeDocument/2006/relationships/hyperlink" Target="https://lcsc.com/product-detail/chip-resistor-surface-mount_yageo-rc0603fr-07100rl_C105588.html" TargetMode="External"/><Relationship Id="rId77" Type="http://schemas.openxmlformats.org/officeDocument/2006/relationships/hyperlink" Target="https://lcsc.com/product-detail/oring-controllers_adi-ltc4359cms8-pbf_C190259.html" TargetMode="External"/><Relationship Id="rId8" Type="http://schemas.openxmlformats.org/officeDocument/2006/relationships/hyperlink" Target="https://lcsc.com/product-detail/multilayer-ceramic-capacitors-mlcc-smd-smt_tdk-c1005x5r1h104k050bb_C2181865.html" TargetMode="External"/><Relationship Id="rId51" Type="http://schemas.openxmlformats.org/officeDocument/2006/relationships/hyperlink" Target="https://lcsc.com/product-detail/chip-resistor-surface-mount_yageo-rc0603fr-0720kl_C105575.html" TargetMode="External"/><Relationship Id="rId72" Type="http://schemas.openxmlformats.org/officeDocument/2006/relationships/hyperlink" Target="https://lcsc.com/product-detail/slide-switches_g-switch-ss-12d02-g040_C2876023.html" TargetMode="External"/><Relationship Id="rId80" Type="http://schemas.openxmlformats.org/officeDocument/2006/relationships/hyperlink" Target="https://lcsc.com/product-detail/human-body-sensing-sensor_senba-sensing-tech-as312_C90465.html" TargetMode="External"/><Relationship Id="rId85" Type="http://schemas.openxmlformats.org/officeDocument/2006/relationships/hyperlink" Target="https://lcsc.com/product-detail/Chip-Resistor-Surface-Mount_YAGEO-RT0603BRD073K3L_C309653.html?s_z=n_C309653" TargetMode="External"/><Relationship Id="rId3" Type="http://schemas.openxmlformats.org/officeDocument/2006/relationships/hyperlink" Target="https://lcsc.com/product-detail/Aluminum-Electrolytic-Capacitors-SMD_DMBJ-RVT1E100M0405-10UF-25V_C970655.html?s_z=n_C970655" TargetMode="External"/><Relationship Id="rId12" Type="http://schemas.openxmlformats.org/officeDocument/2006/relationships/hyperlink" Target="https://lcsc.com/product-detail/multilayer-ceramic-capacitors-mlcc-smd-smt_yageo-cc1206jrx7r0bb473_C577197.html" TargetMode="External"/><Relationship Id="rId17" Type="http://schemas.openxmlformats.org/officeDocument/2006/relationships/hyperlink" Target="https://lcsc.com/product-detail/multilayer-ceramic-capacitors-mlcc-smd-smt_murata-grm155r61e225ke11d_C385032.html" TargetMode="External"/><Relationship Id="rId25" Type="http://schemas.openxmlformats.org/officeDocument/2006/relationships/hyperlink" Target="https://lcsc.com/product-detail/schottky-diodes_mdd-microdiode-semiconductor-sk104c_C59500.html" TargetMode="External"/><Relationship Id="rId33" Type="http://schemas.openxmlformats.org/officeDocument/2006/relationships/hyperlink" Target="https://lcsc.com/product-detail/pin-headers_boomele-boom-precision-elec-1-27-1-2p_C703015.html" TargetMode="External"/><Relationship Id="rId38" Type="http://schemas.openxmlformats.org/officeDocument/2006/relationships/hyperlink" Target="https://lcsc.com/product-detail/bipolar-bjt_goodwork-mmbt5551_C909756.html" TargetMode="External"/><Relationship Id="rId46" Type="http://schemas.openxmlformats.org/officeDocument/2006/relationships/hyperlink" Target="https://lcsc.com/product-detail/chip-resistor-surface-mount_ralec-rtt03r330ftp_C103893.html" TargetMode="External"/><Relationship Id="rId59" Type="http://schemas.openxmlformats.org/officeDocument/2006/relationships/hyperlink" Target="https://lcsc.com/product-detail/chip-resistor-surface-mount_yageo-rc0805fr-07100kl_C96346.html" TargetMode="External"/><Relationship Id="rId67" Type="http://schemas.openxmlformats.org/officeDocument/2006/relationships/hyperlink" Target="https://lcsc.com/product-detail/chip-resistor-surface-mount_yageo-rc0603fr-07470rl_C114669.html" TargetMode="External"/><Relationship Id="rId20" Type="http://schemas.openxmlformats.org/officeDocument/2006/relationships/hyperlink" Target="https://lcsc.com/product-detail/esd-and-surge-protection-tvs-esd_willsemi-esd5302f-3-tr_C239643.html" TargetMode="External"/><Relationship Id="rId41" Type="http://schemas.openxmlformats.org/officeDocument/2006/relationships/hyperlink" Target="https://lcsc.com/product-detail/bipolar-bjt_diodes-mmbt2222a-7-f_C94515.html" TargetMode="External"/><Relationship Id="rId54" Type="http://schemas.openxmlformats.org/officeDocument/2006/relationships/hyperlink" Target="https://lcsc.com/product-detail/chip-resistor-surface-mount_yageo-rc0603dr-073k3l_C723574.html" TargetMode="External"/><Relationship Id="rId62" Type="http://schemas.openxmlformats.org/officeDocument/2006/relationships/hyperlink" Target="https://lcsc.com/product-detail/chip-resistor-surface-mount_yageo-rc0603fr-07200kl_C105574.html" TargetMode="External"/><Relationship Id="rId70" Type="http://schemas.openxmlformats.org/officeDocument/2006/relationships/hyperlink" Target="https://lcsc.com/product-detail/chip-resistor-surface-mount_uni-royal-25121wj0000t4e_C25469.html" TargetMode="External"/><Relationship Id="rId75" Type="http://schemas.openxmlformats.org/officeDocument/2006/relationships/hyperlink" Target="https://lcsc.com/product-detail/voltage-regulators-linear-low-drop-out-ldo-regulators_ti-lms8117amp-3-3-nopb_C201952.html" TargetMode="External"/><Relationship Id="rId83" Type="http://schemas.openxmlformats.org/officeDocument/2006/relationships/hyperlink" Target="https://lcsc.com/product-detail/Voltage-Regulators-Linear-Low-Drop-Out-LDO-Regulators_ST-LD56100DPU33R_C2969937.html?s_z=n_C2969937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https://lcsc.com/product-detail/multilayer-ceramic-capacitors-mlcc-smd-smt_yageo-cc1206kkx7r0bb104_C107181.html" TargetMode="External"/><Relationship Id="rId6" Type="http://schemas.openxmlformats.org/officeDocument/2006/relationships/hyperlink" Target="https://www.digikey.com/en/products/detail/nichicon/UUR1E101MCL6GS/2550440?s=N4IgjCBcoCwGxVAYygMwIYBsDOBTANCAPZQDa4ArAOwCcCAuoQA4AuUIAyiwE4CWAdgHMQAX0IAmCuMQgUkDDgLEyIcWHFwwVEIxCt2XPkNGEqkmXIV5CJSOTAwADI7AUdzNpE48BwsSAAOAJgLNCxrZTtwOE0AZnc9T28jP0JXZ1D5cKV" TargetMode="External"/><Relationship Id="rId15" Type="http://schemas.openxmlformats.org/officeDocument/2006/relationships/hyperlink" Target="https://lcsc.com/product-detail/multilayer-ceramic-capacitors-mlcc-smd-smt_yageo-cc0402mrx5r6bb106_C962143.html" TargetMode="External"/><Relationship Id="rId23" Type="http://schemas.openxmlformats.org/officeDocument/2006/relationships/hyperlink" Target="https://lcsc.com/product-detail/schottky-diodes_juxing-ss510b_C3011128.html" TargetMode="External"/><Relationship Id="rId28" Type="http://schemas.openxmlformats.org/officeDocument/2006/relationships/hyperlink" Target="https://lcsc.com/product-detail/Pin-Headers_Amphenol-20021121-00010C4LF_C150517.html?s_z=n_C150517" TargetMode="External"/><Relationship Id="rId36" Type="http://schemas.openxmlformats.org/officeDocument/2006/relationships/hyperlink" Target="https://lcsc.com/product-detail/power-inductors_yjycoin-yprh0704-4r7m_C514806.html" TargetMode="External"/><Relationship Id="rId49" Type="http://schemas.openxmlformats.org/officeDocument/2006/relationships/hyperlink" Target="https://lcsc.com/product-detail/chip-resistor-surface-mount_yageo-rc0603fr-074k7l_C99782.html" TargetMode="External"/><Relationship Id="rId57" Type="http://schemas.openxmlformats.org/officeDocument/2006/relationships/hyperlink" Target="https://lcsc.com/product-detail/chip-resistor-surface-mount_yageo-rc0603fr-0747rl_C114623.html" TargetMode="External"/><Relationship Id="rId10" Type="http://schemas.openxmlformats.org/officeDocument/2006/relationships/hyperlink" Target="https://lcsc.com/product-detail/multilayer-ceramic-capacitors-mlcc-smd-smt_yageo-cc0603krx7r9bb471_C107092.html" TargetMode="External"/><Relationship Id="rId31" Type="http://schemas.openxmlformats.org/officeDocument/2006/relationships/hyperlink" Target="https://lcsc.com/product-detail/wire-to-board-connector_molex-22112022_C505162.html" TargetMode="External"/><Relationship Id="rId44" Type="http://schemas.openxmlformats.org/officeDocument/2006/relationships/hyperlink" Target="https://www.digikey.com/en/products/detail/infineon-technologies/BSC028N06NSATMA1/3719793?s=N4IgTCBcDaIEIGUDCAGMAOAcigbJhAggCoCyBAjCALoC%2BQA" TargetMode="External"/><Relationship Id="rId52" Type="http://schemas.openxmlformats.org/officeDocument/2006/relationships/hyperlink" Target="https://lcsc.com/product-detail/chip-resistor-surface-mount_uni-royal-0603waf2214t5e_C422956.html" TargetMode="External"/><Relationship Id="rId60" Type="http://schemas.openxmlformats.org/officeDocument/2006/relationships/hyperlink" Target="https://lcsc.com/product-detail/chip-resistor-surface-mount_yageo-rc0603fr-071kl_C22548.html" TargetMode="External"/><Relationship Id="rId65" Type="http://schemas.openxmlformats.org/officeDocument/2006/relationships/hyperlink" Target="https://lcsc.com/product-detail/chip-resistor-surface-mount_yageo-rt0603bre0763k4l_C862245.html" TargetMode="External"/><Relationship Id="rId73" Type="http://schemas.openxmlformats.org/officeDocument/2006/relationships/hyperlink" Target="https://lcsc.com/product-detail/current-sensors_allegro-acs723llctr-20au-t_C459324.html" TargetMode="External"/><Relationship Id="rId78" Type="http://schemas.openxmlformats.org/officeDocument/2006/relationships/hyperlink" Target="https://lcsc.com/product-detail/buffers-drivers-receivers-transceivers_ti-sn74lv1t34dbvr_C100024.html" TargetMode="External"/><Relationship Id="rId81" Type="http://schemas.openxmlformats.org/officeDocument/2006/relationships/hyperlink" Target="https://lcsc.com/product-detail/microcontrollers-mcu-mpu-soc_st-stm32h723zgt6_C730146.html" TargetMode="External"/><Relationship Id="rId86" Type="http://schemas.openxmlformats.org/officeDocument/2006/relationships/hyperlink" Target="https://www.digikey.com/en/products/detail/sunled/XZMDK68W-2/4745956?s=N4IgTCBcDaIBoC0CyARA0gNgBwHUC0EAugL5A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aluminum-electrolytic-capacitors-smd_changzhou-huawei-elec-vt1h471mi135000ce0_C191227.html" TargetMode="External"/><Relationship Id="rId13" Type="http://schemas.openxmlformats.org/officeDocument/2006/relationships/hyperlink" Target="https://lcsc.com/product-detail/multilayer-ceramic-capacitors-mlcc-smd-smt_samsung-electro-mechanics-cl05b104kb54pnc_C307331.html" TargetMode="External"/><Relationship Id="rId18" Type="http://schemas.openxmlformats.org/officeDocument/2006/relationships/hyperlink" Target="https://lcsc.com/product-detail/schottky-diodes_guangdong-hottech-ss24a_C2886579.html" TargetMode="External"/><Relationship Id="rId39" Type="http://schemas.openxmlformats.org/officeDocument/2006/relationships/hyperlink" Target="https://lcsc.com/product-detail/mosfets_diodes-dmn13h750s-7_C156273.html" TargetMode="External"/><Relationship Id="rId34" Type="http://schemas.openxmlformats.org/officeDocument/2006/relationships/hyperlink" Target="https://lcsc.com/product-detail/inductors-smd_microgate-mgfl2012f100mt-lf_C281113.html" TargetMode="External"/><Relationship Id="rId50" Type="http://schemas.openxmlformats.org/officeDocument/2006/relationships/hyperlink" Target="https://lcsc.com/product-detail/chip-resistor-surface-mount_yageo-rt0603bre076k8l_C705876.html" TargetMode="External"/><Relationship Id="rId55" Type="http://schemas.openxmlformats.org/officeDocument/2006/relationships/hyperlink" Target="https://lcsc.com/product-detail/chip-resistor-surface-mount_yageo-rc0603fr-07680rl_C112310.html" TargetMode="External"/><Relationship Id="rId76" Type="http://schemas.openxmlformats.org/officeDocument/2006/relationships/hyperlink" Target="https://lcsc.com/product-detail/gate-drivers_onsemi-ncp81071adr2g_C603796.html" TargetMode="External"/><Relationship Id="rId7" Type="http://schemas.openxmlformats.org/officeDocument/2006/relationships/hyperlink" Target="https://lcsc.com/product-detail/multilayer-ceramic-capacitors-mlcc-smd-smt_tdk-c1005c0g1e102jt000f_C343059.html" TargetMode="External"/><Relationship Id="rId71" Type="http://schemas.openxmlformats.org/officeDocument/2006/relationships/hyperlink" Target="https://lcsc.com/product-detail/tactile-switches_e-switch-tl3300cf160q_C273516.html" TargetMode="External"/><Relationship Id="rId2" Type="http://schemas.openxmlformats.org/officeDocument/2006/relationships/hyperlink" Target="https://lcsc.com/product-detail/multilayer-ceramic-capacitors-mlcc-smd-smt_yageo-cc0603krx5r8bb105_C14664.html" TargetMode="External"/><Relationship Id="rId29" Type="http://schemas.openxmlformats.org/officeDocument/2006/relationships/hyperlink" Target="https://lcsc.com/product-detail/Pluggable-System-Terminal-Block_CUI-TBP01R1W-508-02BE_C5956408.html?s_z=n_C5956408" TargetMode="External"/><Relationship Id="rId24" Type="http://schemas.openxmlformats.org/officeDocument/2006/relationships/hyperlink" Target="https://lcsc.com/product-detail/switching-diodes_diodes-1n4148w-7-f_C83528.html" TargetMode="External"/><Relationship Id="rId40" Type="http://schemas.openxmlformats.org/officeDocument/2006/relationships/hyperlink" Target="https://lcsc.com/product-detail/mosfets_infineon-irf3205strlpbf_C2613.html" TargetMode="External"/><Relationship Id="rId45" Type="http://schemas.openxmlformats.org/officeDocument/2006/relationships/hyperlink" Target="https://lcsc.com/product-detail/chip-resistor-surface-mount_uni-royal-0603waf3601t5e_C22980.html" TargetMode="External"/><Relationship Id="rId66" Type="http://schemas.openxmlformats.org/officeDocument/2006/relationships/hyperlink" Target="https://lcsc.com/product-detail/chip-resistor-surface-mount_yageo-rc0603jr-070rl_C95177.html" TargetMode="External"/><Relationship Id="rId87" Type="http://schemas.openxmlformats.org/officeDocument/2006/relationships/hyperlink" Target="https://www.digikey.com/en/products/detail/same-sky-formerly-cui-devices/TB008A-508-03BE/10064138?s=N4IgTCBcDaICoCEAMSAcBBAtAVjZpAzAgKIgC6AvkA" TargetMode="External"/><Relationship Id="rId61" Type="http://schemas.openxmlformats.org/officeDocument/2006/relationships/hyperlink" Target="https://lcsc.com/product-detail/chip-resistor-surface-mount_yageo-rc0603fr-0710kl_C98220.html" TargetMode="External"/><Relationship Id="rId82" Type="http://schemas.openxmlformats.org/officeDocument/2006/relationships/hyperlink" Target="https://www.digikey.com/en/products/detail/texas-instruments/TPS2117DRLR/21737520?s=N4IgTCBcDaICoAUDKYCMqDsARASgGRx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7"/>
  <sheetViews>
    <sheetView tabSelected="1" topLeftCell="A70" workbookViewId="0">
      <selection activeCell="D100" sqref="D100"/>
    </sheetView>
  </sheetViews>
  <sheetFormatPr defaultRowHeight="15"/>
  <cols>
    <col min="2" max="2" width="3.140625" style="7" customWidth="1"/>
    <col min="3" max="3" width="18" style="7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17.85546875" bestFit="1" customWidth="1"/>
    <col min="12" max="12" width="8.7109375" bestFit="1" customWidth="1"/>
    <col min="13" max="13" width="18.28515625" bestFit="1" customWidth="1"/>
    <col min="14" max="14" width="15.57031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</cols>
  <sheetData>
    <row r="1" spans="1:18" ht="15.75" thickBot="1">
      <c r="A1" s="1"/>
      <c r="B1" s="5"/>
      <c r="C1" s="5"/>
      <c r="D1" s="2"/>
      <c r="E1" s="2"/>
      <c r="F1" s="2"/>
      <c r="G1" s="2"/>
      <c r="H1" s="2"/>
      <c r="I1" s="2"/>
      <c r="J1" s="2"/>
      <c r="K1" s="26"/>
      <c r="L1" s="26"/>
      <c r="M1" s="26"/>
      <c r="N1" s="26"/>
      <c r="O1" s="26"/>
      <c r="P1" s="26"/>
      <c r="Q1" s="26"/>
      <c r="R1" s="26"/>
    </row>
    <row r="2" spans="1:18" ht="15.75" thickBot="1">
      <c r="A2" s="1"/>
      <c r="B2" s="8" t="s">
        <v>0</v>
      </c>
      <c r="C2" s="8" t="s">
        <v>3</v>
      </c>
      <c r="D2" s="8" t="s">
        <v>30</v>
      </c>
      <c r="E2" s="8" t="s">
        <v>124</v>
      </c>
      <c r="F2" s="8" t="s">
        <v>215</v>
      </c>
      <c r="G2" s="8" t="s">
        <v>260</v>
      </c>
      <c r="H2" s="8" t="s">
        <v>340</v>
      </c>
      <c r="I2" s="8" t="s">
        <v>504</v>
      </c>
      <c r="J2" s="8" t="s">
        <v>381</v>
      </c>
      <c r="K2" s="8" t="s">
        <v>505</v>
      </c>
      <c r="L2" s="8" t="s">
        <v>503</v>
      </c>
      <c r="M2" s="8" t="s">
        <v>506</v>
      </c>
      <c r="N2" s="8" t="s">
        <v>507</v>
      </c>
      <c r="O2" s="8" t="s">
        <v>508</v>
      </c>
      <c r="P2" s="8" t="s">
        <v>509</v>
      </c>
      <c r="Q2" s="8" t="s">
        <v>510</v>
      </c>
      <c r="R2" s="8" t="s">
        <v>511</v>
      </c>
    </row>
    <row r="3" spans="1:18">
      <c r="A3" s="1"/>
      <c r="B3" s="18">
        <f>ROW(B3) - ROW($B$2)</f>
        <v>1</v>
      </c>
      <c r="C3" s="24" t="s">
        <v>4</v>
      </c>
      <c r="D3" s="10" t="s">
        <v>31</v>
      </c>
      <c r="E3" s="10" t="s">
        <v>125</v>
      </c>
      <c r="F3" s="10" t="s">
        <v>512</v>
      </c>
      <c r="G3" s="10" t="s">
        <v>261</v>
      </c>
      <c r="H3" s="10" t="s">
        <v>341</v>
      </c>
      <c r="I3" s="10"/>
      <c r="J3" s="10" t="s">
        <v>382</v>
      </c>
      <c r="K3" s="10" t="s">
        <v>464</v>
      </c>
      <c r="L3" s="10">
        <v>7</v>
      </c>
      <c r="M3" s="10">
        <f>L3*5</f>
        <v>35</v>
      </c>
      <c r="N3" s="10">
        <v>35</v>
      </c>
      <c r="O3" s="31" t="s">
        <v>514</v>
      </c>
      <c r="P3" s="11">
        <v>1.47E-2</v>
      </c>
      <c r="Q3" s="11">
        <f>P3*N3</f>
        <v>0.51449999999999996</v>
      </c>
      <c r="R3" s="10"/>
    </row>
    <row r="4" spans="1:18">
      <c r="A4" s="1"/>
      <c r="B4" s="19">
        <f t="shared" ref="B4:B94" si="0">ROW(B4) - ROW($B$2)</f>
        <v>2</v>
      </c>
      <c r="C4" s="25" t="s">
        <v>4</v>
      </c>
      <c r="D4" s="22" t="s">
        <v>32</v>
      </c>
      <c r="E4" s="22" t="s">
        <v>126</v>
      </c>
      <c r="F4" s="22" t="s">
        <v>216</v>
      </c>
      <c r="G4" s="22" t="s">
        <v>262</v>
      </c>
      <c r="H4" s="22" t="s">
        <v>342</v>
      </c>
      <c r="I4" s="22"/>
      <c r="J4" s="22" t="s">
        <v>383</v>
      </c>
      <c r="K4" s="22" t="s">
        <v>465</v>
      </c>
      <c r="L4" s="22">
        <v>1</v>
      </c>
      <c r="M4" s="22">
        <f t="shared" ref="M4" si="1">L4*5</f>
        <v>5</v>
      </c>
      <c r="N4" s="22" t="s">
        <v>515</v>
      </c>
      <c r="O4" s="32" t="s">
        <v>514</v>
      </c>
      <c r="P4" s="23" t="s">
        <v>516</v>
      </c>
      <c r="Q4" s="23">
        <f t="shared" ref="Q4" si="2">P4*N4</f>
        <v>0.64500000000000002</v>
      </c>
      <c r="R4" s="22"/>
    </row>
    <row r="5" spans="1:18">
      <c r="A5" s="1"/>
      <c r="B5" s="18">
        <f>ROW(B5) - ROW($B$2)</f>
        <v>3</v>
      </c>
      <c r="C5" s="24" t="s">
        <v>4</v>
      </c>
      <c r="D5" s="10" t="s">
        <v>33</v>
      </c>
      <c r="E5" s="10" t="s">
        <v>127</v>
      </c>
      <c r="F5" s="10" t="s">
        <v>217</v>
      </c>
      <c r="G5" s="10" t="s">
        <v>263</v>
      </c>
      <c r="H5" s="10" t="s">
        <v>342</v>
      </c>
      <c r="I5" s="10"/>
      <c r="J5" s="10" t="s">
        <v>384</v>
      </c>
      <c r="K5" s="10" t="s">
        <v>466</v>
      </c>
      <c r="L5" s="10">
        <v>1</v>
      </c>
      <c r="M5" s="10">
        <f>L5*5</f>
        <v>5</v>
      </c>
      <c r="N5" s="10" t="s">
        <v>517</v>
      </c>
      <c r="O5" s="32" t="s">
        <v>514</v>
      </c>
      <c r="P5" s="11" t="s">
        <v>518</v>
      </c>
      <c r="Q5" s="11">
        <f>P5*N5</f>
        <v>0.54</v>
      </c>
      <c r="R5" s="10"/>
    </row>
    <row r="6" spans="1:18" ht="24">
      <c r="A6" s="1"/>
      <c r="B6" s="19">
        <f t="shared" si="0"/>
        <v>4</v>
      </c>
      <c r="C6" s="25" t="s">
        <v>4</v>
      </c>
      <c r="D6" s="22" t="s">
        <v>34</v>
      </c>
      <c r="E6" s="22" t="s">
        <v>128</v>
      </c>
      <c r="F6" s="22" t="s">
        <v>217</v>
      </c>
      <c r="G6" s="22" t="s">
        <v>264</v>
      </c>
      <c r="H6" s="22" t="s">
        <v>342</v>
      </c>
      <c r="I6" s="22"/>
      <c r="J6" s="22" t="s">
        <v>385</v>
      </c>
      <c r="K6" s="22" t="s">
        <v>465</v>
      </c>
      <c r="L6" s="22">
        <v>10</v>
      </c>
      <c r="M6" s="22">
        <f t="shared" ref="M6" si="3">L6*5</f>
        <v>50</v>
      </c>
      <c r="N6" s="10" t="s">
        <v>517</v>
      </c>
      <c r="O6" s="32" t="s">
        <v>514</v>
      </c>
      <c r="P6" s="11" t="s">
        <v>520</v>
      </c>
      <c r="Q6" s="23">
        <f t="shared" ref="Q6" si="4">P6*N6</f>
        <v>0.31</v>
      </c>
      <c r="R6" s="22"/>
    </row>
    <row r="7" spans="1:18">
      <c r="A7" s="1"/>
      <c r="B7" s="18">
        <f>ROW(B7) - ROW($B$2)</f>
        <v>5</v>
      </c>
      <c r="C7" s="24" t="s">
        <v>4</v>
      </c>
      <c r="D7" s="10" t="s">
        <v>35</v>
      </c>
      <c r="E7" s="10" t="s">
        <v>129</v>
      </c>
      <c r="F7" s="10" t="s">
        <v>218</v>
      </c>
      <c r="G7" s="10" t="s">
        <v>265</v>
      </c>
      <c r="H7" s="10" t="s">
        <v>342</v>
      </c>
      <c r="I7" s="10"/>
      <c r="J7" s="10" t="s">
        <v>386</v>
      </c>
      <c r="K7" s="10" t="s">
        <v>466</v>
      </c>
      <c r="L7" s="10">
        <v>1</v>
      </c>
      <c r="M7" s="10">
        <f>L7*5</f>
        <v>5</v>
      </c>
      <c r="N7" s="22" t="s">
        <v>517</v>
      </c>
      <c r="O7" s="32" t="s">
        <v>514</v>
      </c>
      <c r="P7" s="23" t="s">
        <v>521</v>
      </c>
      <c r="Q7" s="11">
        <f>P7*N7</f>
        <v>0.41000000000000003</v>
      </c>
      <c r="R7" s="10"/>
    </row>
    <row r="8" spans="1:18">
      <c r="A8" s="1"/>
      <c r="B8" s="19">
        <f t="shared" si="0"/>
        <v>6</v>
      </c>
      <c r="C8" s="25" t="s">
        <v>4</v>
      </c>
      <c r="D8" s="22" t="s">
        <v>36</v>
      </c>
      <c r="E8" s="22" t="s">
        <v>130</v>
      </c>
      <c r="F8" s="10" t="s">
        <v>512</v>
      </c>
      <c r="G8" s="33" t="s">
        <v>266</v>
      </c>
      <c r="H8" s="10" t="s">
        <v>343</v>
      </c>
      <c r="I8" s="10" t="s">
        <v>519</v>
      </c>
      <c r="J8" s="22" t="s">
        <v>513</v>
      </c>
      <c r="K8" s="22" t="s">
        <v>467</v>
      </c>
      <c r="L8" s="22">
        <v>1</v>
      </c>
      <c r="M8" s="22">
        <f t="shared" ref="M8" si="5">L8*5</f>
        <v>5</v>
      </c>
      <c r="N8" s="10">
        <v>5</v>
      </c>
      <c r="O8" s="32" t="s">
        <v>522</v>
      </c>
      <c r="P8" s="11">
        <v>0.38</v>
      </c>
      <c r="Q8" s="23">
        <f t="shared" ref="Q8" si="6">P8*N8</f>
        <v>1.9</v>
      </c>
      <c r="R8" s="22"/>
    </row>
    <row r="9" spans="1:18">
      <c r="A9" s="1"/>
      <c r="B9" s="18">
        <f>ROW(B9) - ROW($B$2)</f>
        <v>7</v>
      </c>
      <c r="C9" s="24" t="s">
        <v>4</v>
      </c>
      <c r="D9" s="10" t="s">
        <v>37</v>
      </c>
      <c r="E9" s="10" t="s">
        <v>131</v>
      </c>
      <c r="F9" s="10" t="s">
        <v>218</v>
      </c>
      <c r="G9" s="10" t="s">
        <v>267</v>
      </c>
      <c r="H9" s="10" t="s">
        <v>344</v>
      </c>
      <c r="I9" s="10"/>
      <c r="J9" s="10" t="s">
        <v>387</v>
      </c>
      <c r="K9" s="10" t="s">
        <v>468</v>
      </c>
      <c r="L9" s="10">
        <v>1</v>
      </c>
      <c r="M9" s="10">
        <f>L9*5</f>
        <v>5</v>
      </c>
      <c r="N9" s="22" t="s">
        <v>515</v>
      </c>
      <c r="O9" s="32" t="s">
        <v>514</v>
      </c>
      <c r="P9" s="23" t="s">
        <v>523</v>
      </c>
      <c r="Q9" s="11">
        <f>P9*N9</f>
        <v>0.45999999999999996</v>
      </c>
      <c r="R9" s="10"/>
    </row>
    <row r="10" spans="1:18" ht="36">
      <c r="A10" s="1"/>
      <c r="B10" s="19">
        <f t="shared" si="0"/>
        <v>8</v>
      </c>
      <c r="C10" s="25" t="s">
        <v>4</v>
      </c>
      <c r="D10" s="22" t="s">
        <v>38</v>
      </c>
      <c r="E10" s="22" t="s">
        <v>132</v>
      </c>
      <c r="F10" s="22" t="s">
        <v>218</v>
      </c>
      <c r="G10" s="22" t="s">
        <v>268</v>
      </c>
      <c r="H10" s="22" t="s">
        <v>344</v>
      </c>
      <c r="I10" s="22"/>
      <c r="J10" s="22" t="s">
        <v>388</v>
      </c>
      <c r="K10" s="22" t="s">
        <v>465</v>
      </c>
      <c r="L10" s="22">
        <v>15</v>
      </c>
      <c r="M10" s="22">
        <f t="shared" ref="M10" si="7">L10*5</f>
        <v>75</v>
      </c>
      <c r="N10" s="10" t="s">
        <v>524</v>
      </c>
      <c r="O10" s="32" t="s">
        <v>514</v>
      </c>
      <c r="P10" s="11" t="s">
        <v>525</v>
      </c>
      <c r="Q10" s="23">
        <f t="shared" ref="Q10" si="8">P10*N10</f>
        <v>5.9625000000000004</v>
      </c>
      <c r="R10" s="22"/>
    </row>
    <row r="11" spans="1:18" ht="36">
      <c r="A11" s="1"/>
      <c r="B11" s="18">
        <f>ROW(B11) - ROW($B$2)</f>
        <v>9</v>
      </c>
      <c r="C11" s="25" t="s">
        <v>4</v>
      </c>
      <c r="D11" s="10" t="s">
        <v>39</v>
      </c>
      <c r="E11" s="10" t="s">
        <v>133</v>
      </c>
      <c r="F11" s="10" t="s">
        <v>512</v>
      </c>
      <c r="G11" s="10" t="s">
        <v>219</v>
      </c>
      <c r="H11" s="10" t="s">
        <v>345</v>
      </c>
      <c r="I11" s="10"/>
      <c r="J11" s="22" t="s">
        <v>526</v>
      </c>
      <c r="K11" s="10" t="s">
        <v>469</v>
      </c>
      <c r="L11" s="10">
        <v>1</v>
      </c>
      <c r="M11" s="10">
        <f>L11*5</f>
        <v>5</v>
      </c>
      <c r="N11" s="22" t="s">
        <v>527</v>
      </c>
      <c r="O11" s="32" t="s">
        <v>514</v>
      </c>
      <c r="P11" s="23" t="s">
        <v>528</v>
      </c>
      <c r="Q11" s="11">
        <f>P11*N11</f>
        <v>1.8979999999999999</v>
      </c>
      <c r="R11" s="10"/>
    </row>
    <row r="12" spans="1:18">
      <c r="A12" s="1"/>
      <c r="B12" s="19">
        <f t="shared" si="0"/>
        <v>10</v>
      </c>
      <c r="C12" s="25" t="s">
        <v>4</v>
      </c>
      <c r="D12" s="22" t="s">
        <v>40</v>
      </c>
      <c r="E12" s="22" t="s">
        <v>134</v>
      </c>
      <c r="F12" s="22" t="s">
        <v>217</v>
      </c>
      <c r="G12" s="22" t="s">
        <v>269</v>
      </c>
      <c r="H12" s="22" t="s">
        <v>342</v>
      </c>
      <c r="I12" s="22"/>
      <c r="J12" s="22" t="s">
        <v>389</v>
      </c>
      <c r="K12" s="22" t="s">
        <v>470</v>
      </c>
      <c r="L12" s="22">
        <v>1</v>
      </c>
      <c r="M12" s="22">
        <f t="shared" ref="M12" si="9">L12*5</f>
        <v>5</v>
      </c>
      <c r="N12" s="10" t="s">
        <v>517</v>
      </c>
      <c r="O12" s="32" t="s">
        <v>514</v>
      </c>
      <c r="P12" s="11" t="s">
        <v>529</v>
      </c>
      <c r="Q12" s="23">
        <f t="shared" ref="Q12" si="10">P12*N12</f>
        <v>0.26</v>
      </c>
      <c r="R12" s="22"/>
    </row>
    <row r="13" spans="1:18">
      <c r="A13" s="1"/>
      <c r="B13" s="18">
        <f>ROW(B13) - ROW($B$2)</f>
        <v>11</v>
      </c>
      <c r="C13" s="25" t="s">
        <v>4</v>
      </c>
      <c r="D13" s="10" t="s">
        <v>41</v>
      </c>
      <c r="E13" s="10" t="s">
        <v>135</v>
      </c>
      <c r="F13" s="10" t="s">
        <v>220</v>
      </c>
      <c r="G13" s="10" t="s">
        <v>270</v>
      </c>
      <c r="H13" s="10" t="s">
        <v>342</v>
      </c>
      <c r="I13" s="10"/>
      <c r="J13" s="10" t="s">
        <v>390</v>
      </c>
      <c r="K13" s="10" t="s">
        <v>471</v>
      </c>
      <c r="L13" s="10">
        <v>4</v>
      </c>
      <c r="M13" s="10">
        <f>L13*5</f>
        <v>20</v>
      </c>
      <c r="N13" s="22" t="s">
        <v>517</v>
      </c>
      <c r="O13" s="32" t="s">
        <v>514</v>
      </c>
      <c r="P13" s="23" t="s">
        <v>530</v>
      </c>
      <c r="Q13" s="11">
        <f>P13*N13</f>
        <v>0.1</v>
      </c>
      <c r="R13" s="10"/>
    </row>
    <row r="14" spans="1:18">
      <c r="A14" s="1"/>
      <c r="B14" s="19">
        <f t="shared" si="0"/>
        <v>12</v>
      </c>
      <c r="C14" s="25" t="s">
        <v>4</v>
      </c>
      <c r="D14" s="22" t="s">
        <v>42</v>
      </c>
      <c r="E14" s="22" t="s">
        <v>136</v>
      </c>
      <c r="F14" s="22" t="s">
        <v>216</v>
      </c>
      <c r="G14" s="22" t="s">
        <v>271</v>
      </c>
      <c r="H14" s="22" t="s">
        <v>342</v>
      </c>
      <c r="I14" s="22"/>
      <c r="J14" s="22" t="s">
        <v>391</v>
      </c>
      <c r="K14" s="22" t="s">
        <v>472</v>
      </c>
      <c r="L14" s="22">
        <v>1</v>
      </c>
      <c r="M14" s="22">
        <f t="shared" ref="M14" si="11">L14*5</f>
        <v>5</v>
      </c>
      <c r="N14" s="22" t="s">
        <v>531</v>
      </c>
      <c r="O14" s="32" t="s">
        <v>514</v>
      </c>
      <c r="P14" s="23" t="s">
        <v>532</v>
      </c>
      <c r="Q14" s="23">
        <f t="shared" ref="Q14" si="12">P14*N14</f>
        <v>0.56800000000000006</v>
      </c>
      <c r="R14" s="22"/>
    </row>
    <row r="15" spans="1:18">
      <c r="A15" s="1"/>
      <c r="B15" s="18">
        <f>ROW(B15) - ROW($B$2)</f>
        <v>13</v>
      </c>
      <c r="C15" s="25" t="s">
        <v>4</v>
      </c>
      <c r="D15" s="10" t="s">
        <v>43</v>
      </c>
      <c r="E15" s="10" t="s">
        <v>137</v>
      </c>
      <c r="F15" s="10" t="s">
        <v>218</v>
      </c>
      <c r="G15" s="10" t="s">
        <v>272</v>
      </c>
      <c r="H15" s="10" t="s">
        <v>346</v>
      </c>
      <c r="I15" s="10"/>
      <c r="J15" s="10" t="s">
        <v>392</v>
      </c>
      <c r="K15" s="10" t="s">
        <v>465</v>
      </c>
      <c r="L15" s="10">
        <v>1</v>
      </c>
      <c r="M15" s="10">
        <f>L15*5</f>
        <v>5</v>
      </c>
      <c r="N15" s="10" t="s">
        <v>515</v>
      </c>
      <c r="O15" s="32" t="s">
        <v>514</v>
      </c>
      <c r="P15" s="11" t="s">
        <v>533</v>
      </c>
      <c r="Q15" s="11">
        <f>P15*N15</f>
        <v>0.22999999999999998</v>
      </c>
      <c r="R15" s="10"/>
    </row>
    <row r="16" spans="1:18">
      <c r="A16" s="1"/>
      <c r="B16" s="19">
        <f t="shared" si="0"/>
        <v>14</v>
      </c>
      <c r="C16" s="25" t="s">
        <v>4</v>
      </c>
      <c r="D16" s="22" t="s">
        <v>44</v>
      </c>
      <c r="E16" s="22" t="s">
        <v>138</v>
      </c>
      <c r="F16" s="22" t="s">
        <v>217</v>
      </c>
      <c r="G16" s="22" t="s">
        <v>273</v>
      </c>
      <c r="H16" s="22" t="s">
        <v>344</v>
      </c>
      <c r="I16" s="22"/>
      <c r="J16" s="22" t="s">
        <v>393</v>
      </c>
      <c r="K16" s="22" t="s">
        <v>464</v>
      </c>
      <c r="L16" s="22">
        <v>1</v>
      </c>
      <c r="M16" s="22">
        <f t="shared" ref="M16" si="13">L16*5</f>
        <v>5</v>
      </c>
      <c r="N16" s="22" t="s">
        <v>527</v>
      </c>
      <c r="O16" s="32" t="s">
        <v>514</v>
      </c>
      <c r="P16" s="23" t="s">
        <v>534</v>
      </c>
      <c r="Q16" s="23">
        <f t="shared" ref="Q16" si="14">P16*N16</f>
        <v>4.2190000000000003</v>
      </c>
      <c r="R16" s="22"/>
    </row>
    <row r="17" spans="1:18">
      <c r="A17" s="1"/>
      <c r="B17" s="18">
        <f>ROW(B17) - ROW($B$2)</f>
        <v>15</v>
      </c>
      <c r="C17" s="25" t="s">
        <v>4</v>
      </c>
      <c r="D17" s="10" t="s">
        <v>45</v>
      </c>
      <c r="E17" s="10" t="s">
        <v>139</v>
      </c>
      <c r="F17" s="10" t="s">
        <v>218</v>
      </c>
      <c r="G17" s="10" t="s">
        <v>274</v>
      </c>
      <c r="H17" s="10" t="s">
        <v>342</v>
      </c>
      <c r="I17" s="10"/>
      <c r="J17" s="10" t="s">
        <v>394</v>
      </c>
      <c r="K17" s="10" t="s">
        <v>464</v>
      </c>
      <c r="L17" s="10">
        <v>1</v>
      </c>
      <c r="M17" s="10">
        <f>L17*5</f>
        <v>5</v>
      </c>
      <c r="N17" s="22" t="s">
        <v>531</v>
      </c>
      <c r="O17" s="32" t="s">
        <v>514</v>
      </c>
      <c r="P17" s="23" t="s">
        <v>535</v>
      </c>
      <c r="Q17" s="11">
        <f>P17*N17</f>
        <v>0.50800000000000001</v>
      </c>
      <c r="R17" s="10"/>
    </row>
    <row r="18" spans="1:18">
      <c r="A18" s="1"/>
      <c r="B18" s="19">
        <f t="shared" si="0"/>
        <v>16</v>
      </c>
      <c r="C18" s="25" t="s">
        <v>4</v>
      </c>
      <c r="D18" s="22" t="s">
        <v>46</v>
      </c>
      <c r="E18" s="22" t="s">
        <v>140</v>
      </c>
      <c r="F18" s="22" t="s">
        <v>217</v>
      </c>
      <c r="G18" s="22" t="s">
        <v>275</v>
      </c>
      <c r="H18" s="22" t="s">
        <v>342</v>
      </c>
      <c r="I18" s="22"/>
      <c r="J18" s="22" t="s">
        <v>395</v>
      </c>
      <c r="K18" s="22" t="s">
        <v>473</v>
      </c>
      <c r="L18" s="22">
        <v>2</v>
      </c>
      <c r="M18" s="22">
        <f t="shared" ref="M18" si="15">L18*5</f>
        <v>10</v>
      </c>
      <c r="N18" s="22" t="s">
        <v>536</v>
      </c>
      <c r="O18" s="32" t="s">
        <v>514</v>
      </c>
      <c r="P18" s="23" t="s">
        <v>537</v>
      </c>
      <c r="Q18" s="23">
        <f t="shared" ref="Q18" si="16">P18*N18</f>
        <v>0.39300000000000002</v>
      </c>
      <c r="R18" s="22"/>
    </row>
    <row r="19" spans="1:18">
      <c r="A19" s="1"/>
      <c r="B19" s="18">
        <f>ROW(B19) - ROW($B$2)</f>
        <v>17</v>
      </c>
      <c r="C19" s="24" t="s">
        <v>4</v>
      </c>
      <c r="D19" s="10" t="s">
        <v>47</v>
      </c>
      <c r="E19" s="10" t="s">
        <v>141</v>
      </c>
      <c r="F19" s="10" t="s">
        <v>218</v>
      </c>
      <c r="G19" s="10" t="s">
        <v>276</v>
      </c>
      <c r="H19" s="10" t="s">
        <v>347</v>
      </c>
      <c r="I19" s="10"/>
      <c r="J19" s="10" t="s">
        <v>396</v>
      </c>
      <c r="K19" s="10" t="s">
        <v>474</v>
      </c>
      <c r="L19" s="10">
        <v>2</v>
      </c>
      <c r="M19" s="10">
        <f>L19*5</f>
        <v>10</v>
      </c>
      <c r="N19" s="10" t="s">
        <v>515</v>
      </c>
      <c r="O19" s="32" t="s">
        <v>514</v>
      </c>
      <c r="P19" s="11" t="s">
        <v>538</v>
      </c>
      <c r="Q19" s="11">
        <f>P19*N19</f>
        <v>0.89500000000000002</v>
      </c>
      <c r="R19" s="10"/>
    </row>
    <row r="20" spans="1:18" ht="24">
      <c r="A20" s="1"/>
      <c r="B20" s="19">
        <f t="shared" si="0"/>
        <v>18</v>
      </c>
      <c r="C20" s="25" t="s">
        <v>7</v>
      </c>
      <c r="D20" s="22" t="s">
        <v>48</v>
      </c>
      <c r="E20" s="22" t="s">
        <v>142</v>
      </c>
      <c r="F20" s="22" t="s">
        <v>221</v>
      </c>
      <c r="G20" s="22" t="s">
        <v>277</v>
      </c>
      <c r="H20" s="22" t="s">
        <v>348</v>
      </c>
      <c r="I20" s="22"/>
      <c r="J20" s="22" t="s">
        <v>397</v>
      </c>
      <c r="K20" s="22" t="s">
        <v>513</v>
      </c>
      <c r="L20" s="22">
        <v>1</v>
      </c>
      <c r="M20" s="22">
        <f t="shared" ref="M20" si="17">L20*5</f>
        <v>5</v>
      </c>
      <c r="N20" s="10">
        <v>20</v>
      </c>
      <c r="O20" s="32" t="s">
        <v>514</v>
      </c>
      <c r="P20" s="11" t="s">
        <v>539</v>
      </c>
      <c r="Q20" s="23">
        <f t="shared" ref="Q20" si="18">P20*N20</f>
        <v>0.42000000000000004</v>
      </c>
      <c r="R20" s="22"/>
    </row>
    <row r="21" spans="1:18">
      <c r="A21" s="1"/>
      <c r="B21" s="18">
        <f>ROW(B21) - ROW($B$2)</f>
        <v>19</v>
      </c>
      <c r="C21" s="24" t="s">
        <v>6</v>
      </c>
      <c r="D21" s="10" t="s">
        <v>49</v>
      </c>
      <c r="E21" s="10" t="s">
        <v>143</v>
      </c>
      <c r="F21" s="10" t="s">
        <v>221</v>
      </c>
      <c r="G21" s="10" t="s">
        <v>278</v>
      </c>
      <c r="H21" s="10" t="s">
        <v>349</v>
      </c>
      <c r="I21" s="10"/>
      <c r="J21" s="10" t="s">
        <v>398</v>
      </c>
      <c r="K21" s="22" t="s">
        <v>513</v>
      </c>
      <c r="L21" s="10">
        <v>1</v>
      </c>
      <c r="M21" s="10">
        <f>L21*5</f>
        <v>5</v>
      </c>
      <c r="N21" s="22" t="s">
        <v>536</v>
      </c>
      <c r="O21" s="32" t="s">
        <v>514</v>
      </c>
      <c r="P21" s="23" t="s">
        <v>540</v>
      </c>
      <c r="Q21" s="11">
        <f>P21*N21</f>
        <v>1.7110000000000001</v>
      </c>
      <c r="R21" s="10"/>
    </row>
    <row r="22" spans="1:18" ht="24">
      <c r="A22" s="1"/>
      <c r="B22" s="19">
        <f t="shared" si="0"/>
        <v>20</v>
      </c>
      <c r="C22" s="25" t="s">
        <v>7</v>
      </c>
      <c r="D22" s="22" t="s">
        <v>50</v>
      </c>
      <c r="E22" s="22" t="s">
        <v>144</v>
      </c>
      <c r="F22" s="22" t="s">
        <v>222</v>
      </c>
      <c r="G22" s="22" t="s">
        <v>279</v>
      </c>
      <c r="H22" s="22" t="s">
        <v>350</v>
      </c>
      <c r="I22" s="22"/>
      <c r="J22" s="22" t="s">
        <v>399</v>
      </c>
      <c r="K22" s="22" t="s">
        <v>513</v>
      </c>
      <c r="L22" s="22">
        <v>1</v>
      </c>
      <c r="M22" s="22">
        <f t="shared" ref="M22" si="19">L22*5</f>
        <v>5</v>
      </c>
      <c r="N22" s="22" t="s">
        <v>536</v>
      </c>
      <c r="O22" s="32" t="s">
        <v>514</v>
      </c>
      <c r="P22" s="23" t="s">
        <v>541</v>
      </c>
      <c r="Q22" s="23">
        <f t="shared" ref="Q22" si="20">P22*N22</f>
        <v>0.82000000000000006</v>
      </c>
      <c r="R22" s="22"/>
    </row>
    <row r="23" spans="1:18" ht="24">
      <c r="A23" s="1"/>
      <c r="B23" s="18">
        <f>ROW(B23) - ROW($B$2)</f>
        <v>21</v>
      </c>
      <c r="C23" s="24" t="s">
        <v>7</v>
      </c>
      <c r="D23" s="10" t="s">
        <v>51</v>
      </c>
      <c r="E23" s="10" t="s">
        <v>145</v>
      </c>
      <c r="F23" s="10" t="s">
        <v>223</v>
      </c>
      <c r="G23" s="10" t="s">
        <v>280</v>
      </c>
      <c r="H23" s="10" t="s">
        <v>351</v>
      </c>
      <c r="I23" s="10"/>
      <c r="J23" s="10" t="s">
        <v>400</v>
      </c>
      <c r="K23" s="22" t="s">
        <v>513</v>
      </c>
      <c r="L23" s="10">
        <v>1</v>
      </c>
      <c r="M23" s="10">
        <f>L23*5</f>
        <v>5</v>
      </c>
      <c r="N23" s="10" t="s">
        <v>536</v>
      </c>
      <c r="O23" s="32" t="s">
        <v>514</v>
      </c>
      <c r="P23" s="11" t="s">
        <v>542</v>
      </c>
      <c r="Q23" s="11">
        <f>P23*N23</f>
        <v>0.44800000000000001</v>
      </c>
      <c r="R23" s="10"/>
    </row>
    <row r="24" spans="1:18" ht="36">
      <c r="A24" s="1"/>
      <c r="B24" s="19">
        <f t="shared" si="0"/>
        <v>22</v>
      </c>
      <c r="C24" s="25" t="s">
        <v>7</v>
      </c>
      <c r="D24" s="22" t="s">
        <v>52</v>
      </c>
      <c r="E24" s="22" t="s">
        <v>146</v>
      </c>
      <c r="F24" s="22" t="s">
        <v>224</v>
      </c>
      <c r="G24" s="22" t="s">
        <v>281</v>
      </c>
      <c r="H24" s="22" t="s">
        <v>352</v>
      </c>
      <c r="I24" s="22"/>
      <c r="J24" s="22" t="s">
        <v>401</v>
      </c>
      <c r="K24" s="22" t="s">
        <v>513</v>
      </c>
      <c r="L24" s="22">
        <v>1</v>
      </c>
      <c r="M24" s="22">
        <f t="shared" ref="M24" si="21">L24*5</f>
        <v>5</v>
      </c>
      <c r="N24" s="22" t="s">
        <v>536</v>
      </c>
      <c r="O24" s="32" t="s">
        <v>514</v>
      </c>
      <c r="P24" s="23" t="s">
        <v>543</v>
      </c>
      <c r="Q24" s="23">
        <f t="shared" ref="Q24" si="22">P24*N24</f>
        <v>0.58699999999999997</v>
      </c>
      <c r="R24" s="22"/>
    </row>
    <row r="25" spans="1:18">
      <c r="A25" s="1"/>
      <c r="B25" s="18">
        <f>ROW(B25) - ROW($B$2)</f>
        <v>23</v>
      </c>
      <c r="C25" s="24" t="s">
        <v>7</v>
      </c>
      <c r="D25" s="10" t="s">
        <v>53</v>
      </c>
      <c r="E25" s="10" t="s">
        <v>147</v>
      </c>
      <c r="F25" s="10" t="s">
        <v>224</v>
      </c>
      <c r="G25" s="10" t="s">
        <v>282</v>
      </c>
      <c r="H25" s="10" t="s">
        <v>353</v>
      </c>
      <c r="I25" s="10"/>
      <c r="J25" s="10" t="s">
        <v>402</v>
      </c>
      <c r="K25" s="22" t="s">
        <v>513</v>
      </c>
      <c r="L25" s="10">
        <v>1</v>
      </c>
      <c r="M25" s="10">
        <f>L25*5</f>
        <v>5</v>
      </c>
      <c r="N25" s="10" t="s">
        <v>536</v>
      </c>
      <c r="O25" s="32" t="s">
        <v>514</v>
      </c>
      <c r="P25" s="11" t="s">
        <v>544</v>
      </c>
      <c r="Q25" s="11">
        <f>P25*N25</f>
        <v>0.36200000000000004</v>
      </c>
      <c r="R25" s="10"/>
    </row>
    <row r="26" spans="1:18">
      <c r="A26" s="1"/>
      <c r="B26" s="19">
        <f t="shared" si="0"/>
        <v>24</v>
      </c>
      <c r="C26" s="25" t="s">
        <v>7</v>
      </c>
      <c r="D26" s="22" t="s">
        <v>54</v>
      </c>
      <c r="E26" s="22" t="s">
        <v>148</v>
      </c>
      <c r="F26" s="22" t="s">
        <v>225</v>
      </c>
      <c r="G26" s="22" t="s">
        <v>283</v>
      </c>
      <c r="H26" s="22" t="s">
        <v>8</v>
      </c>
      <c r="I26" s="22"/>
      <c r="J26" s="22" t="s">
        <v>403</v>
      </c>
      <c r="K26" s="22" t="s">
        <v>513</v>
      </c>
      <c r="L26" s="22">
        <v>1</v>
      </c>
      <c r="M26" s="22">
        <f t="shared" ref="M26" si="23">L26*5</f>
        <v>5</v>
      </c>
      <c r="N26" s="22" t="s">
        <v>515</v>
      </c>
      <c r="O26" s="32" t="s">
        <v>514</v>
      </c>
      <c r="P26" s="23" t="s">
        <v>545</v>
      </c>
      <c r="Q26" s="23">
        <f t="shared" ref="Q26" si="24">P26*N26</f>
        <v>0.80499999999999994</v>
      </c>
      <c r="R26" s="22"/>
    </row>
    <row r="27" spans="1:18" ht="24">
      <c r="A27" s="1"/>
      <c r="B27" s="18">
        <f>ROW(B27) - ROW($B$2)</f>
        <v>25</v>
      </c>
      <c r="C27" s="24" t="s">
        <v>7</v>
      </c>
      <c r="D27" s="10" t="s">
        <v>55</v>
      </c>
      <c r="E27" s="10" t="s">
        <v>149</v>
      </c>
      <c r="F27" s="10" t="s">
        <v>226</v>
      </c>
      <c r="G27" s="10" t="s">
        <v>284</v>
      </c>
      <c r="H27" s="10" t="s">
        <v>353</v>
      </c>
      <c r="I27" s="10"/>
      <c r="J27" s="10" t="s">
        <v>404</v>
      </c>
      <c r="K27" s="22" t="s">
        <v>513</v>
      </c>
      <c r="L27" s="10">
        <v>1</v>
      </c>
      <c r="M27" s="10">
        <f>L27*5</f>
        <v>5</v>
      </c>
      <c r="N27" s="10" t="s">
        <v>527</v>
      </c>
      <c r="O27" s="32" t="s">
        <v>514</v>
      </c>
      <c r="P27" s="11" t="s">
        <v>546</v>
      </c>
      <c r="Q27" s="11">
        <f>P27*N27</f>
        <v>0.78950000000000009</v>
      </c>
      <c r="R27" s="10"/>
    </row>
    <row r="28" spans="1:18">
      <c r="A28" s="1"/>
      <c r="B28" s="19">
        <f t="shared" si="0"/>
        <v>26</v>
      </c>
      <c r="C28" s="25" t="s">
        <v>8</v>
      </c>
      <c r="D28" s="22" t="s">
        <v>56</v>
      </c>
      <c r="E28" s="22" t="s">
        <v>150</v>
      </c>
      <c r="F28" s="22" t="s">
        <v>227</v>
      </c>
      <c r="G28" s="22" t="s">
        <v>285</v>
      </c>
      <c r="H28" s="22" t="s">
        <v>8</v>
      </c>
      <c r="I28" s="22"/>
      <c r="J28" s="22" t="s">
        <v>405</v>
      </c>
      <c r="K28" s="22" t="s">
        <v>513</v>
      </c>
      <c r="L28" s="22">
        <v>1</v>
      </c>
      <c r="M28" s="22">
        <f t="shared" ref="M28" si="25">L28*5</f>
        <v>5</v>
      </c>
      <c r="N28" s="22" t="s">
        <v>531</v>
      </c>
      <c r="O28" s="32" t="s">
        <v>514</v>
      </c>
      <c r="P28" s="23" t="s">
        <v>547</v>
      </c>
      <c r="Q28" s="23">
        <f t="shared" ref="Q28" si="26">P28*N28</f>
        <v>0.69400000000000006</v>
      </c>
      <c r="R28" s="22"/>
    </row>
    <row r="29" spans="1:18">
      <c r="A29" s="1"/>
      <c r="B29" s="18">
        <f>ROW(B29) - ROW($B$2)</f>
        <v>27</v>
      </c>
      <c r="C29" s="24" t="s">
        <v>9</v>
      </c>
      <c r="D29" s="10" t="s">
        <v>57</v>
      </c>
      <c r="E29" s="10" t="s">
        <v>151</v>
      </c>
      <c r="F29" s="10" t="s">
        <v>512</v>
      </c>
      <c r="G29" s="10" t="s">
        <v>286</v>
      </c>
      <c r="H29" s="10" t="s">
        <v>354</v>
      </c>
      <c r="I29" s="10"/>
      <c r="J29" s="10" t="s">
        <v>406</v>
      </c>
      <c r="K29" s="22" t="s">
        <v>513</v>
      </c>
      <c r="L29" s="10">
        <v>1</v>
      </c>
      <c r="M29" s="10">
        <f>L29*5</f>
        <v>5</v>
      </c>
      <c r="N29" s="10" t="s">
        <v>536</v>
      </c>
      <c r="O29" s="32" t="s">
        <v>514</v>
      </c>
      <c r="P29" s="11" t="s">
        <v>548</v>
      </c>
      <c r="Q29" s="11">
        <f>P29*N29</f>
        <v>6.8759999999999994</v>
      </c>
      <c r="R29" s="10"/>
    </row>
    <row r="30" spans="1:18" ht="36">
      <c r="A30" s="1"/>
      <c r="B30" s="19">
        <f t="shared" si="0"/>
        <v>28</v>
      </c>
      <c r="C30" s="25" t="s">
        <v>10</v>
      </c>
      <c r="D30" s="22" t="s">
        <v>58</v>
      </c>
      <c r="E30" s="22" t="s">
        <v>152</v>
      </c>
      <c r="F30" s="10" t="s">
        <v>512</v>
      </c>
      <c r="G30" s="22" t="s">
        <v>228</v>
      </c>
      <c r="H30" s="22" t="s">
        <v>355</v>
      </c>
      <c r="I30" s="22"/>
      <c r="J30" s="22" t="s">
        <v>407</v>
      </c>
      <c r="K30" s="22" t="s">
        <v>513</v>
      </c>
      <c r="L30" s="22">
        <v>1</v>
      </c>
      <c r="M30" s="22">
        <f t="shared" ref="M30" si="27">L30*5</f>
        <v>5</v>
      </c>
      <c r="N30" s="22" t="s">
        <v>527</v>
      </c>
      <c r="O30" s="32" t="s">
        <v>514</v>
      </c>
      <c r="P30" s="23" t="s">
        <v>549</v>
      </c>
      <c r="Q30" s="23">
        <f t="shared" ref="Q30" si="28">P30*N30</f>
        <v>3.3559999999999999</v>
      </c>
      <c r="R30" s="22"/>
    </row>
    <row r="31" spans="1:18">
      <c r="A31" s="1"/>
      <c r="B31" s="18">
        <f>ROW(B31) - ROW($B$2)</f>
        <v>29</v>
      </c>
      <c r="C31" s="24" t="s">
        <v>11</v>
      </c>
      <c r="D31" s="10" t="s">
        <v>59</v>
      </c>
      <c r="E31" s="10" t="s">
        <v>153</v>
      </c>
      <c r="F31" s="10" t="s">
        <v>512</v>
      </c>
      <c r="G31" s="10" t="s">
        <v>229</v>
      </c>
      <c r="H31" s="10" t="s">
        <v>356</v>
      </c>
      <c r="I31" s="10"/>
      <c r="J31" s="10" t="s">
        <v>550</v>
      </c>
      <c r="K31" s="10" t="s">
        <v>513</v>
      </c>
      <c r="L31" s="10">
        <v>1</v>
      </c>
      <c r="M31" s="10">
        <f>L31*5</f>
        <v>5</v>
      </c>
      <c r="N31" s="10">
        <v>5</v>
      </c>
      <c r="O31" s="32" t="s">
        <v>514</v>
      </c>
      <c r="P31" s="11">
        <v>0.48949999999999999</v>
      </c>
      <c r="Q31" s="11">
        <f>P31*N31</f>
        <v>2.4474999999999998</v>
      </c>
      <c r="R31" s="10"/>
    </row>
    <row r="32" spans="1:18">
      <c r="A32" s="1"/>
      <c r="B32" s="19">
        <f t="shared" si="0"/>
        <v>30</v>
      </c>
      <c r="C32" s="25" t="s">
        <v>12</v>
      </c>
      <c r="D32" s="22" t="s">
        <v>60</v>
      </c>
      <c r="E32" s="22" t="s">
        <v>154</v>
      </c>
      <c r="F32" s="10" t="s">
        <v>512</v>
      </c>
      <c r="G32" s="22" t="s">
        <v>287</v>
      </c>
      <c r="H32" s="22" t="s">
        <v>354</v>
      </c>
      <c r="I32" s="22"/>
      <c r="J32" s="22" t="s">
        <v>408</v>
      </c>
      <c r="K32" s="22" t="s">
        <v>513</v>
      </c>
      <c r="L32" s="22">
        <v>1</v>
      </c>
      <c r="M32" s="22">
        <f t="shared" ref="M32" si="29">L32*5</f>
        <v>5</v>
      </c>
      <c r="N32" s="22" t="s">
        <v>527</v>
      </c>
      <c r="O32" s="32" t="s">
        <v>514</v>
      </c>
      <c r="P32" s="23" t="s">
        <v>551</v>
      </c>
      <c r="Q32" s="23">
        <f t="shared" ref="Q32" si="30">P32*N32</f>
        <v>1.0739999999999998</v>
      </c>
      <c r="R32" s="22"/>
    </row>
    <row r="33" spans="1:18">
      <c r="A33" s="1"/>
      <c r="B33" s="18">
        <f>ROW(B33) - ROW($B$2)</f>
        <v>31</v>
      </c>
      <c r="C33" s="24" t="s">
        <v>13</v>
      </c>
      <c r="D33" s="10" t="s">
        <v>61</v>
      </c>
      <c r="E33" s="10" t="s">
        <v>155</v>
      </c>
      <c r="F33" s="10" t="s">
        <v>512</v>
      </c>
      <c r="G33" s="10">
        <v>22112022</v>
      </c>
      <c r="H33" s="10" t="s">
        <v>357</v>
      </c>
      <c r="I33" s="10"/>
      <c r="J33" s="10" t="s">
        <v>409</v>
      </c>
      <c r="K33" s="10" t="s">
        <v>513</v>
      </c>
      <c r="L33" s="10">
        <v>1</v>
      </c>
      <c r="M33" s="10">
        <f>L33*5</f>
        <v>5</v>
      </c>
      <c r="N33" s="10" t="s">
        <v>527</v>
      </c>
      <c r="O33" s="32" t="s">
        <v>514</v>
      </c>
      <c r="P33" s="11" t="s">
        <v>552</v>
      </c>
      <c r="Q33" s="11">
        <f>P33*N33</f>
        <v>1.2195</v>
      </c>
      <c r="R33" s="10"/>
    </row>
    <row r="34" spans="1:18" ht="48">
      <c r="A34" s="1"/>
      <c r="B34" s="19">
        <f t="shared" si="0"/>
        <v>32</v>
      </c>
      <c r="C34" s="25" t="s">
        <v>14</v>
      </c>
      <c r="D34" s="22" t="s">
        <v>62</v>
      </c>
      <c r="E34" s="22" t="s">
        <v>156</v>
      </c>
      <c r="F34" s="10" t="s">
        <v>512</v>
      </c>
      <c r="G34" s="22" t="s">
        <v>230</v>
      </c>
      <c r="H34" s="22" t="s">
        <v>358</v>
      </c>
      <c r="I34" s="22"/>
      <c r="J34" s="22" t="s">
        <v>410</v>
      </c>
      <c r="K34" s="22" t="s">
        <v>513</v>
      </c>
      <c r="L34" s="22">
        <v>1</v>
      </c>
      <c r="M34" s="22">
        <f t="shared" ref="M34" si="31">L34*5</f>
        <v>5</v>
      </c>
      <c r="N34" s="22" t="s">
        <v>553</v>
      </c>
      <c r="O34" s="32" t="s">
        <v>514</v>
      </c>
      <c r="P34" s="23" t="s">
        <v>554</v>
      </c>
      <c r="Q34" s="23">
        <f t="shared" ref="Q34" si="32">P34*N34</f>
        <v>2.5590000000000002</v>
      </c>
      <c r="R34" s="22"/>
    </row>
    <row r="35" spans="1:18" ht="48">
      <c r="A35" s="1"/>
      <c r="B35" s="18">
        <f>ROW(B35) - ROW($B$2)</f>
        <v>33</v>
      </c>
      <c r="C35" s="24" t="s">
        <v>15</v>
      </c>
      <c r="D35" s="10" t="s">
        <v>63</v>
      </c>
      <c r="E35" s="10" t="s">
        <v>157</v>
      </c>
      <c r="F35" s="10" t="s">
        <v>231</v>
      </c>
      <c r="G35" s="10" t="s">
        <v>288</v>
      </c>
      <c r="H35" s="10" t="s">
        <v>359</v>
      </c>
      <c r="I35" s="10"/>
      <c r="J35" s="10" t="s">
        <v>411</v>
      </c>
      <c r="K35" s="10" t="s">
        <v>288</v>
      </c>
      <c r="L35" s="10">
        <v>2</v>
      </c>
      <c r="M35" s="10">
        <f>L35*5</f>
        <v>10</v>
      </c>
      <c r="N35" s="10" t="s">
        <v>515</v>
      </c>
      <c r="O35" s="32" t="s">
        <v>514</v>
      </c>
      <c r="P35" s="11" t="s">
        <v>555</v>
      </c>
      <c r="Q35" s="11">
        <f>P35*N35</f>
        <v>0.83499999999999996</v>
      </c>
      <c r="R35" s="10"/>
    </row>
    <row r="36" spans="1:18">
      <c r="A36" s="1"/>
      <c r="B36" s="19">
        <f t="shared" si="0"/>
        <v>34</v>
      </c>
      <c r="C36" s="25" t="s">
        <v>11</v>
      </c>
      <c r="D36" s="22" t="s">
        <v>64</v>
      </c>
      <c r="E36" s="22" t="s">
        <v>153</v>
      </c>
      <c r="F36" s="10" t="s">
        <v>512</v>
      </c>
      <c r="G36" s="22" t="s">
        <v>232</v>
      </c>
      <c r="H36" s="22" t="s">
        <v>356</v>
      </c>
      <c r="I36" s="22"/>
      <c r="J36" s="22" t="s">
        <v>513</v>
      </c>
      <c r="K36" s="22" t="s">
        <v>513</v>
      </c>
      <c r="L36" s="22">
        <v>1</v>
      </c>
      <c r="M36" s="22">
        <f t="shared" ref="M36" si="33">L36*5</f>
        <v>5</v>
      </c>
      <c r="N36" s="22">
        <v>5</v>
      </c>
      <c r="O36" s="39" t="s">
        <v>522</v>
      </c>
      <c r="P36" s="23">
        <v>0.88</v>
      </c>
      <c r="Q36" s="23">
        <f t="shared" ref="Q36" si="34">P36*N36</f>
        <v>4.4000000000000004</v>
      </c>
      <c r="R36" s="22"/>
    </row>
    <row r="37" spans="1:18">
      <c r="A37" s="1"/>
      <c r="B37" s="18">
        <f>ROW(B37) - ROW($B$2)</f>
        <v>35</v>
      </c>
      <c r="C37" s="24" t="s">
        <v>16</v>
      </c>
      <c r="D37" s="10" t="s">
        <v>65</v>
      </c>
      <c r="E37" s="10" t="s">
        <v>158</v>
      </c>
      <c r="F37" s="10" t="s">
        <v>233</v>
      </c>
      <c r="G37" s="10" t="s">
        <v>289</v>
      </c>
      <c r="H37" s="10" t="s">
        <v>360</v>
      </c>
      <c r="I37" s="10"/>
      <c r="J37" s="10" t="s">
        <v>412</v>
      </c>
      <c r="K37" s="10" t="s">
        <v>475</v>
      </c>
      <c r="L37" s="10">
        <v>1</v>
      </c>
      <c r="M37" s="10">
        <f>L37*5</f>
        <v>5</v>
      </c>
      <c r="N37" s="22" t="s">
        <v>536</v>
      </c>
      <c r="O37" s="32" t="s">
        <v>514</v>
      </c>
      <c r="P37" s="23" t="s">
        <v>556</v>
      </c>
      <c r="Q37" s="11">
        <f>P37*N37</f>
        <v>0.39399999999999996</v>
      </c>
      <c r="R37" s="10"/>
    </row>
    <row r="38" spans="1:18" ht="36">
      <c r="A38" s="1"/>
      <c r="B38" s="19">
        <f t="shared" si="0"/>
        <v>36</v>
      </c>
      <c r="C38" s="25" t="s">
        <v>16</v>
      </c>
      <c r="D38" s="22" t="s">
        <v>66</v>
      </c>
      <c r="E38" s="22" t="s">
        <v>159</v>
      </c>
      <c r="F38" s="10" t="s">
        <v>512</v>
      </c>
      <c r="G38" s="22" t="s">
        <v>234</v>
      </c>
      <c r="H38" s="22" t="s">
        <v>344</v>
      </c>
      <c r="I38" s="22"/>
      <c r="J38" s="22" t="s">
        <v>413</v>
      </c>
      <c r="K38" s="22" t="s">
        <v>476</v>
      </c>
      <c r="L38" s="22">
        <v>1</v>
      </c>
      <c r="M38" s="22">
        <f t="shared" ref="M38" si="35">L38*5</f>
        <v>5</v>
      </c>
      <c r="N38" s="10" t="s">
        <v>527</v>
      </c>
      <c r="O38" s="32" t="s">
        <v>514</v>
      </c>
      <c r="P38" s="11" t="s">
        <v>557</v>
      </c>
      <c r="Q38" s="23">
        <f t="shared" ref="Q38" si="36">P38*N38</f>
        <v>2.1574999999999998</v>
      </c>
      <c r="R38" s="22"/>
    </row>
    <row r="39" spans="1:18" ht="24">
      <c r="A39" s="1"/>
      <c r="B39" s="18">
        <f>ROW(B39) - ROW($B$2)</f>
        <v>37</v>
      </c>
      <c r="C39" s="24" t="s">
        <v>16</v>
      </c>
      <c r="D39" s="10" t="s">
        <v>67</v>
      </c>
      <c r="E39" s="10" t="s">
        <v>160</v>
      </c>
      <c r="F39" s="10" t="s">
        <v>512</v>
      </c>
      <c r="G39" s="10" t="s">
        <v>235</v>
      </c>
      <c r="H39" s="10" t="s">
        <v>361</v>
      </c>
      <c r="I39" s="10"/>
      <c r="J39" s="10" t="s">
        <v>414</v>
      </c>
      <c r="K39" s="10" t="s">
        <v>477</v>
      </c>
      <c r="L39" s="10">
        <v>1</v>
      </c>
      <c r="M39" s="10">
        <f>L39*5</f>
        <v>5</v>
      </c>
      <c r="N39" s="22" t="s">
        <v>527</v>
      </c>
      <c r="O39" s="32" t="s">
        <v>514</v>
      </c>
      <c r="P39" s="23" t="s">
        <v>558</v>
      </c>
      <c r="Q39" s="11">
        <f>P39*N39</f>
        <v>1.1455</v>
      </c>
      <c r="R39" s="10"/>
    </row>
    <row r="40" spans="1:18">
      <c r="A40" s="1"/>
      <c r="B40" s="19">
        <f t="shared" si="0"/>
        <v>38</v>
      </c>
      <c r="C40" s="25" t="s">
        <v>17</v>
      </c>
      <c r="D40" s="22" t="s">
        <v>68</v>
      </c>
      <c r="E40" s="22" t="s">
        <v>161</v>
      </c>
      <c r="F40" s="22" t="s">
        <v>236</v>
      </c>
      <c r="G40" s="22" t="s">
        <v>290</v>
      </c>
      <c r="H40" s="22" t="s">
        <v>362</v>
      </c>
      <c r="I40" s="22"/>
      <c r="J40" s="22" t="s">
        <v>513</v>
      </c>
      <c r="K40" s="22" t="s">
        <v>513</v>
      </c>
      <c r="L40" s="22">
        <v>3</v>
      </c>
      <c r="M40" s="22">
        <f t="shared" ref="M40" si="37">L40*5</f>
        <v>15</v>
      </c>
      <c r="N40" s="22">
        <v>15</v>
      </c>
      <c r="O40" s="32" t="s">
        <v>522</v>
      </c>
      <c r="P40" s="23">
        <v>0.22</v>
      </c>
      <c r="Q40" s="23">
        <f t="shared" ref="Q40" si="38">P40*N40</f>
        <v>3.3</v>
      </c>
      <c r="R40" s="22"/>
    </row>
    <row r="41" spans="1:18" ht="24">
      <c r="A41" s="1"/>
      <c r="B41" s="18">
        <f>ROW(B41) - ROW($B$2)</f>
        <v>39</v>
      </c>
      <c r="C41" s="24" t="s">
        <v>18</v>
      </c>
      <c r="D41" s="10" t="s">
        <v>69</v>
      </c>
      <c r="E41" s="10" t="s">
        <v>162</v>
      </c>
      <c r="F41" s="10" t="s">
        <v>512</v>
      </c>
      <c r="G41" s="10" t="s">
        <v>291</v>
      </c>
      <c r="H41" s="10" t="s">
        <v>363</v>
      </c>
      <c r="I41" s="10"/>
      <c r="J41" s="10" t="s">
        <v>415</v>
      </c>
      <c r="K41" s="10" t="s">
        <v>513</v>
      </c>
      <c r="L41" s="10">
        <v>1</v>
      </c>
      <c r="M41" s="10">
        <f>L41*5</f>
        <v>5</v>
      </c>
      <c r="N41" s="10" t="s">
        <v>527</v>
      </c>
      <c r="O41" s="32" t="s">
        <v>514</v>
      </c>
      <c r="P41" s="11" t="s">
        <v>559</v>
      </c>
      <c r="Q41" s="11">
        <f>P41*N41</f>
        <v>1.6355</v>
      </c>
      <c r="R41" s="10"/>
    </row>
    <row r="42" spans="1:18">
      <c r="A42" s="1"/>
      <c r="B42" s="19">
        <f t="shared" si="0"/>
        <v>40</v>
      </c>
      <c r="C42" s="25" t="s">
        <v>19</v>
      </c>
      <c r="D42" s="34" t="s">
        <v>70</v>
      </c>
      <c r="E42" s="34" t="s">
        <v>163</v>
      </c>
      <c r="F42" s="34" t="s">
        <v>237</v>
      </c>
      <c r="G42" s="34" t="s">
        <v>237</v>
      </c>
      <c r="H42" s="34" t="s">
        <v>513</v>
      </c>
      <c r="I42" s="34" t="s">
        <v>513</v>
      </c>
      <c r="J42" s="34" t="s">
        <v>513</v>
      </c>
      <c r="K42" s="34" t="s">
        <v>513</v>
      </c>
      <c r="L42" s="34">
        <v>6</v>
      </c>
      <c r="M42" s="34">
        <f t="shared" ref="M42" si="39">L42*5</f>
        <v>30</v>
      </c>
      <c r="N42" s="34" t="s">
        <v>513</v>
      </c>
      <c r="O42" s="34" t="s">
        <v>513</v>
      </c>
      <c r="P42" s="35" t="s">
        <v>513</v>
      </c>
      <c r="Q42" s="35" t="s">
        <v>513</v>
      </c>
      <c r="R42" s="36" t="s">
        <v>560</v>
      </c>
    </row>
    <row r="43" spans="1:18">
      <c r="A43" s="1"/>
      <c r="B43" s="18">
        <f>ROW(B43) - ROW($B$2)</f>
        <v>41</v>
      </c>
      <c r="C43" s="24" t="s">
        <v>20</v>
      </c>
      <c r="D43" s="10" t="s">
        <v>71</v>
      </c>
      <c r="E43" s="10" t="s">
        <v>164</v>
      </c>
      <c r="F43" s="10" t="s">
        <v>238</v>
      </c>
      <c r="G43" s="10" t="s">
        <v>292</v>
      </c>
      <c r="H43" s="10" t="s">
        <v>364</v>
      </c>
      <c r="I43" s="10"/>
      <c r="J43" s="10" t="s">
        <v>416</v>
      </c>
      <c r="K43" s="10" t="s">
        <v>478</v>
      </c>
      <c r="L43" s="10">
        <v>1</v>
      </c>
      <c r="M43" s="10">
        <f>L43*5</f>
        <v>5</v>
      </c>
      <c r="N43" s="22" t="s">
        <v>515</v>
      </c>
      <c r="O43" s="32" t="s">
        <v>514</v>
      </c>
      <c r="P43" s="23" t="s">
        <v>561</v>
      </c>
      <c r="Q43" s="11">
        <f>P43*N43</f>
        <v>0.48</v>
      </c>
      <c r="R43" s="10"/>
    </row>
    <row r="44" spans="1:18">
      <c r="A44" s="1"/>
      <c r="B44" s="19">
        <f t="shared" si="0"/>
        <v>42</v>
      </c>
      <c r="C44" s="25" t="s">
        <v>21</v>
      </c>
      <c r="D44" s="22" t="s">
        <v>72</v>
      </c>
      <c r="E44" s="22" t="s">
        <v>165</v>
      </c>
      <c r="F44" s="22" t="s">
        <v>238</v>
      </c>
      <c r="G44" s="22" t="s">
        <v>293</v>
      </c>
      <c r="H44" s="22" t="s">
        <v>365</v>
      </c>
      <c r="I44" s="22"/>
      <c r="J44" s="22" t="s">
        <v>417</v>
      </c>
      <c r="K44" s="22" t="s">
        <v>293</v>
      </c>
      <c r="L44" s="22">
        <v>1</v>
      </c>
      <c r="M44" s="22">
        <f t="shared" ref="M44" si="40">L44*5</f>
        <v>5</v>
      </c>
      <c r="N44" s="10" t="s">
        <v>527</v>
      </c>
      <c r="O44" s="32" t="s">
        <v>514</v>
      </c>
      <c r="P44" s="11" t="s">
        <v>562</v>
      </c>
      <c r="Q44" s="23">
        <f t="shared" ref="Q44" si="41">P44*N44</f>
        <v>0.98</v>
      </c>
      <c r="R44" s="22"/>
    </row>
    <row r="45" spans="1:18">
      <c r="A45" s="1"/>
      <c r="B45" s="18">
        <f>ROW(B45) - ROW($B$2)</f>
        <v>43</v>
      </c>
      <c r="C45" s="24" t="s">
        <v>21</v>
      </c>
      <c r="D45" s="10" t="s">
        <v>73</v>
      </c>
      <c r="E45" s="10" t="s">
        <v>166</v>
      </c>
      <c r="F45" s="10" t="s">
        <v>239</v>
      </c>
      <c r="G45" s="10" t="s">
        <v>294</v>
      </c>
      <c r="H45" s="10" t="s">
        <v>366</v>
      </c>
      <c r="I45" s="10"/>
      <c r="J45" s="10" t="s">
        <v>418</v>
      </c>
      <c r="K45" s="10" t="s">
        <v>294</v>
      </c>
      <c r="L45" s="10">
        <v>1</v>
      </c>
      <c r="M45" s="10">
        <f>L45*5</f>
        <v>5</v>
      </c>
      <c r="N45" s="22" t="s">
        <v>536</v>
      </c>
      <c r="O45" s="32" t="s">
        <v>514</v>
      </c>
      <c r="P45" s="23" t="s">
        <v>563</v>
      </c>
      <c r="Q45" s="11">
        <f>P45*N45</f>
        <v>6.2780000000000005</v>
      </c>
      <c r="R45" s="10"/>
    </row>
    <row r="46" spans="1:18">
      <c r="A46" s="1"/>
      <c r="B46" s="19">
        <f t="shared" si="0"/>
        <v>44</v>
      </c>
      <c r="C46" s="25" t="s">
        <v>21</v>
      </c>
      <c r="D46" s="22" t="s">
        <v>74</v>
      </c>
      <c r="E46" s="22" t="s">
        <v>167</v>
      </c>
      <c r="F46" s="22" t="s">
        <v>238</v>
      </c>
      <c r="G46" s="22" t="s">
        <v>295</v>
      </c>
      <c r="H46" s="22" t="s">
        <v>8</v>
      </c>
      <c r="I46" s="22"/>
      <c r="J46" s="22" t="s">
        <v>419</v>
      </c>
      <c r="K46" s="22" t="s">
        <v>295</v>
      </c>
      <c r="L46" s="22">
        <v>1</v>
      </c>
      <c r="M46" s="22">
        <f t="shared" ref="M46" si="42">L46*5</f>
        <v>5</v>
      </c>
      <c r="N46" s="22" t="s">
        <v>531</v>
      </c>
      <c r="O46" s="32" t="s">
        <v>514</v>
      </c>
      <c r="P46" s="23" t="s">
        <v>564</v>
      </c>
      <c r="Q46" s="23">
        <f t="shared" ref="Q46" si="43">P46*N46</f>
        <v>0.55000000000000004</v>
      </c>
      <c r="R46" s="22"/>
    </row>
    <row r="47" spans="1:18">
      <c r="A47" s="1"/>
      <c r="B47" s="18">
        <f>ROW(B47) - ROW($B$2)</f>
        <v>45</v>
      </c>
      <c r="C47" s="24" t="s">
        <v>22</v>
      </c>
      <c r="D47" s="10" t="s">
        <v>75</v>
      </c>
      <c r="E47" s="10" t="s">
        <v>168</v>
      </c>
      <c r="F47" s="10" t="s">
        <v>240</v>
      </c>
      <c r="G47" s="10" t="s">
        <v>296</v>
      </c>
      <c r="H47" s="10" t="s">
        <v>367</v>
      </c>
      <c r="I47" s="10"/>
      <c r="J47" s="10" t="s">
        <v>420</v>
      </c>
      <c r="K47" s="10" t="s">
        <v>296</v>
      </c>
      <c r="L47" s="10">
        <v>1</v>
      </c>
      <c r="M47" s="10">
        <f>L47*5</f>
        <v>5</v>
      </c>
      <c r="N47" s="10">
        <v>5</v>
      </c>
      <c r="O47" s="32" t="s">
        <v>522</v>
      </c>
      <c r="P47" s="11">
        <v>2.17</v>
      </c>
      <c r="Q47" s="11">
        <f>P47*N47</f>
        <v>10.85</v>
      </c>
      <c r="R47" s="10"/>
    </row>
    <row r="48" spans="1:18">
      <c r="A48" s="1"/>
      <c r="B48" s="19">
        <f t="shared" si="0"/>
        <v>46</v>
      </c>
      <c r="C48" s="25" t="s">
        <v>21</v>
      </c>
      <c r="D48" s="22" t="s">
        <v>76</v>
      </c>
      <c r="E48" s="22" t="s">
        <v>169</v>
      </c>
      <c r="F48" s="22" t="s">
        <v>222</v>
      </c>
      <c r="G48" s="22" t="s">
        <v>297</v>
      </c>
      <c r="H48" s="22" t="s">
        <v>368</v>
      </c>
      <c r="I48" s="22"/>
      <c r="J48" s="22" t="s">
        <v>421</v>
      </c>
      <c r="K48" s="22" t="s">
        <v>479</v>
      </c>
      <c r="L48" s="22">
        <v>1</v>
      </c>
      <c r="M48" s="22">
        <f t="shared" ref="M48" si="44">L48*5</f>
        <v>5</v>
      </c>
      <c r="N48" s="22" t="s">
        <v>531</v>
      </c>
      <c r="O48" s="32" t="s">
        <v>514</v>
      </c>
      <c r="P48" s="23" t="s">
        <v>565</v>
      </c>
      <c r="Q48" s="23">
        <f t="shared" ref="Q48" si="45">P48*N48</f>
        <v>0.48399999999999999</v>
      </c>
      <c r="R48" s="22"/>
    </row>
    <row r="49" spans="1:18" ht="36">
      <c r="A49" s="1"/>
      <c r="B49" s="18">
        <f>ROW(B49) - ROW($B$2)</f>
        <v>47</v>
      </c>
      <c r="C49" s="24" t="s">
        <v>21</v>
      </c>
      <c r="D49" s="10" t="s">
        <v>77</v>
      </c>
      <c r="E49" s="10" t="s">
        <v>170</v>
      </c>
      <c r="F49" s="10" t="s">
        <v>238</v>
      </c>
      <c r="G49" s="10" t="s">
        <v>298</v>
      </c>
      <c r="H49" s="10" t="s">
        <v>348</v>
      </c>
      <c r="I49" s="10"/>
      <c r="J49" s="10" t="s">
        <v>422</v>
      </c>
      <c r="K49" s="10" t="s">
        <v>298</v>
      </c>
      <c r="L49" s="10">
        <v>1</v>
      </c>
      <c r="M49" s="10">
        <f>L49*5</f>
        <v>5</v>
      </c>
      <c r="N49" s="10" t="s">
        <v>531</v>
      </c>
      <c r="O49" s="32" t="s">
        <v>514</v>
      </c>
      <c r="P49" s="11" t="s">
        <v>566</v>
      </c>
      <c r="Q49" s="11">
        <f>P49*N49</f>
        <v>0.54800000000000004</v>
      </c>
      <c r="R49" s="10"/>
    </row>
    <row r="50" spans="1:18" ht="36">
      <c r="A50" s="1"/>
      <c r="B50" s="19">
        <f t="shared" si="0"/>
        <v>48</v>
      </c>
      <c r="C50" s="25" t="s">
        <v>23</v>
      </c>
      <c r="D50" s="22" t="s">
        <v>78</v>
      </c>
      <c r="E50" s="22" t="s">
        <v>171</v>
      </c>
      <c r="F50" s="22" t="s">
        <v>241</v>
      </c>
      <c r="G50" s="22" t="s">
        <v>299</v>
      </c>
      <c r="H50" s="22" t="s">
        <v>369</v>
      </c>
      <c r="I50" s="22"/>
      <c r="J50" s="22" t="s">
        <v>423</v>
      </c>
      <c r="K50" s="22" t="s">
        <v>480</v>
      </c>
      <c r="L50" s="22">
        <v>1</v>
      </c>
      <c r="M50" s="22">
        <f t="shared" ref="M50" si="46">L50*5</f>
        <v>5</v>
      </c>
      <c r="N50" s="10" t="s">
        <v>517</v>
      </c>
      <c r="O50" s="32" t="s">
        <v>514</v>
      </c>
      <c r="P50" s="11" t="s">
        <v>567</v>
      </c>
      <c r="Q50" s="23">
        <f t="shared" ref="Q50" si="47">P50*N50</f>
        <v>0.12</v>
      </c>
      <c r="R50" s="22"/>
    </row>
    <row r="51" spans="1:18" ht="36">
      <c r="A51" s="1"/>
      <c r="B51" s="18">
        <f>ROW(B51) - ROW($B$2)</f>
        <v>49</v>
      </c>
      <c r="C51" s="24" t="s">
        <v>23</v>
      </c>
      <c r="D51" s="10" t="s">
        <v>79</v>
      </c>
      <c r="E51" s="10" t="s">
        <v>172</v>
      </c>
      <c r="F51" s="10" t="s">
        <v>241</v>
      </c>
      <c r="G51" s="10" t="s">
        <v>300</v>
      </c>
      <c r="H51" s="10" t="s">
        <v>370</v>
      </c>
      <c r="I51" s="10"/>
      <c r="J51" s="10" t="s">
        <v>424</v>
      </c>
      <c r="K51" s="10" t="s">
        <v>481</v>
      </c>
      <c r="L51" s="10">
        <v>1</v>
      </c>
      <c r="M51" s="10">
        <f>L51*5</f>
        <v>5</v>
      </c>
      <c r="N51" s="22" t="s">
        <v>517</v>
      </c>
      <c r="O51" s="32" t="s">
        <v>514</v>
      </c>
      <c r="P51" s="23" t="s">
        <v>533</v>
      </c>
      <c r="Q51" s="11">
        <f>P51*N51</f>
        <v>0.45999999999999996</v>
      </c>
      <c r="R51" s="10"/>
    </row>
    <row r="52" spans="1:18">
      <c r="A52" s="1"/>
      <c r="B52" s="19">
        <f t="shared" si="0"/>
        <v>50</v>
      </c>
      <c r="C52" s="25" t="s">
        <v>23</v>
      </c>
      <c r="D52" s="22" t="s">
        <v>80</v>
      </c>
      <c r="E52" s="22" t="s">
        <v>173</v>
      </c>
      <c r="F52" s="22" t="s">
        <v>241</v>
      </c>
      <c r="G52" s="22" t="s">
        <v>301</v>
      </c>
      <c r="H52" s="22" t="s">
        <v>342</v>
      </c>
      <c r="I52" s="22"/>
      <c r="J52" s="22" t="s">
        <v>425</v>
      </c>
      <c r="K52" s="22" t="s">
        <v>482</v>
      </c>
      <c r="L52" s="22">
        <v>1</v>
      </c>
      <c r="M52" s="22">
        <f t="shared" ref="M52" si="48">L52*5</f>
        <v>5</v>
      </c>
      <c r="N52" s="10" t="s">
        <v>517</v>
      </c>
      <c r="O52" s="32" t="s">
        <v>514</v>
      </c>
      <c r="P52" s="11" t="s">
        <v>567</v>
      </c>
      <c r="Q52" s="23">
        <f t="shared" ref="Q52" si="49">P52*N52</f>
        <v>0.12</v>
      </c>
      <c r="R52" s="22"/>
    </row>
    <row r="53" spans="1:18">
      <c r="A53" s="1"/>
      <c r="B53" s="18">
        <f>ROW(B53) - ROW($B$2)</f>
        <v>51</v>
      </c>
      <c r="C53" s="24" t="s">
        <v>23</v>
      </c>
      <c r="D53" s="10" t="s">
        <v>81</v>
      </c>
      <c r="E53" s="10" t="s">
        <v>174</v>
      </c>
      <c r="F53" s="10" t="s">
        <v>241</v>
      </c>
      <c r="G53" s="10" t="s">
        <v>302</v>
      </c>
      <c r="H53" s="10" t="s">
        <v>342</v>
      </c>
      <c r="I53" s="10"/>
      <c r="J53" s="10" t="s">
        <v>426</v>
      </c>
      <c r="K53" s="10" t="s">
        <v>483</v>
      </c>
      <c r="L53" s="10">
        <v>1</v>
      </c>
      <c r="M53" s="10">
        <f>L53*5</f>
        <v>5</v>
      </c>
      <c r="N53" s="10" t="s">
        <v>531</v>
      </c>
      <c r="O53" s="32" t="s">
        <v>514</v>
      </c>
      <c r="P53" s="11" t="s">
        <v>568</v>
      </c>
      <c r="Q53" s="11">
        <f>P53*N53</f>
        <v>0.46600000000000003</v>
      </c>
      <c r="R53" s="10"/>
    </row>
    <row r="54" spans="1:18">
      <c r="A54" s="1"/>
      <c r="B54" s="19">
        <f t="shared" si="0"/>
        <v>52</v>
      </c>
      <c r="C54" s="25" t="s">
        <v>23</v>
      </c>
      <c r="D54" s="22" t="s">
        <v>82</v>
      </c>
      <c r="E54" s="22" t="s">
        <v>175</v>
      </c>
      <c r="F54" s="22" t="s">
        <v>241</v>
      </c>
      <c r="G54" s="22" t="s">
        <v>303</v>
      </c>
      <c r="H54" s="22" t="s">
        <v>342</v>
      </c>
      <c r="I54" s="22"/>
      <c r="J54" s="22" t="s">
        <v>427</v>
      </c>
      <c r="K54" s="22" t="s">
        <v>483</v>
      </c>
      <c r="L54" s="22">
        <v>1</v>
      </c>
      <c r="M54" s="22">
        <f t="shared" ref="M54" si="50">L54*5</f>
        <v>5</v>
      </c>
      <c r="N54" s="22" t="s">
        <v>517</v>
      </c>
      <c r="O54" s="32" t="s">
        <v>514</v>
      </c>
      <c r="P54" s="23" t="s">
        <v>569</v>
      </c>
      <c r="Q54" s="23">
        <f t="shared" ref="Q54" si="51">P54*N54</f>
        <v>0.11</v>
      </c>
      <c r="R54" s="22"/>
    </row>
    <row r="55" spans="1:18">
      <c r="A55" s="1"/>
      <c r="B55" s="18">
        <f>ROW(B55) - ROW($B$2)</f>
        <v>53</v>
      </c>
      <c r="C55" s="24" t="s">
        <v>23</v>
      </c>
      <c r="D55" s="10" t="s">
        <v>83</v>
      </c>
      <c r="E55" s="10" t="s">
        <v>176</v>
      </c>
      <c r="F55" s="10" t="s">
        <v>241</v>
      </c>
      <c r="G55" s="10" t="s">
        <v>304</v>
      </c>
      <c r="H55" s="10" t="s">
        <v>342</v>
      </c>
      <c r="I55" s="10"/>
      <c r="J55" s="10" t="s">
        <v>428</v>
      </c>
      <c r="K55" s="10" t="s">
        <v>484</v>
      </c>
      <c r="L55" s="10">
        <v>1</v>
      </c>
      <c r="M55" s="10">
        <f>L55*5</f>
        <v>5</v>
      </c>
      <c r="N55" s="22" t="s">
        <v>531</v>
      </c>
      <c r="O55" s="32" t="s">
        <v>514</v>
      </c>
      <c r="P55" s="23" t="s">
        <v>570</v>
      </c>
      <c r="Q55" s="11">
        <f>P55*N55</f>
        <v>0.48199999999999998</v>
      </c>
      <c r="R55" s="10"/>
    </row>
    <row r="56" spans="1:18">
      <c r="A56" s="1"/>
      <c r="B56" s="19">
        <f t="shared" si="0"/>
        <v>54</v>
      </c>
      <c r="C56" s="25" t="s">
        <v>23</v>
      </c>
      <c r="D56" s="22" t="s">
        <v>84</v>
      </c>
      <c r="E56" s="22" t="s">
        <v>177</v>
      </c>
      <c r="F56" s="22" t="s">
        <v>241</v>
      </c>
      <c r="G56" s="22" t="s">
        <v>305</v>
      </c>
      <c r="H56" s="22" t="s">
        <v>342</v>
      </c>
      <c r="I56" s="22"/>
      <c r="J56" s="22" t="s">
        <v>429</v>
      </c>
      <c r="K56" s="22" t="s">
        <v>485</v>
      </c>
      <c r="L56" s="22">
        <v>1</v>
      </c>
      <c r="M56" s="22">
        <f t="shared" ref="M56" si="52">L56*5</f>
        <v>5</v>
      </c>
      <c r="N56" s="10" t="s">
        <v>517</v>
      </c>
      <c r="O56" s="32" t="s">
        <v>514</v>
      </c>
      <c r="P56" s="11" t="s">
        <v>567</v>
      </c>
      <c r="Q56" s="23">
        <f t="shared" ref="Q56" si="53">P56*N56</f>
        <v>0.12</v>
      </c>
      <c r="R56" s="22"/>
    </row>
    <row r="57" spans="1:18" ht="36">
      <c r="A57" s="1"/>
      <c r="B57" s="18">
        <f>ROW(B57) - ROW($B$2)</f>
        <v>55</v>
      </c>
      <c r="C57" s="24" t="s">
        <v>23</v>
      </c>
      <c r="D57" s="10" t="s">
        <v>85</v>
      </c>
      <c r="E57" s="10" t="s">
        <v>178</v>
      </c>
      <c r="F57" s="10" t="s">
        <v>242</v>
      </c>
      <c r="G57" s="10" t="s">
        <v>306</v>
      </c>
      <c r="H57" s="10" t="s">
        <v>369</v>
      </c>
      <c r="I57" s="10"/>
      <c r="J57" s="10" t="s">
        <v>430</v>
      </c>
      <c r="K57" s="10" t="s">
        <v>486</v>
      </c>
      <c r="L57" s="10">
        <v>1</v>
      </c>
      <c r="M57" s="10">
        <f>L57*5</f>
        <v>5</v>
      </c>
      <c r="N57" s="22" t="s">
        <v>517</v>
      </c>
      <c r="O57" s="32" t="s">
        <v>514</v>
      </c>
      <c r="P57" s="23" t="s">
        <v>571</v>
      </c>
      <c r="Q57" s="11">
        <f>P57*N57</f>
        <v>0.18</v>
      </c>
      <c r="R57" s="10"/>
    </row>
    <row r="58" spans="1:18">
      <c r="A58" s="1"/>
      <c r="B58" s="19">
        <f t="shared" si="0"/>
        <v>56</v>
      </c>
      <c r="C58" s="25" t="s">
        <v>23</v>
      </c>
      <c r="D58" s="22" t="s">
        <v>86</v>
      </c>
      <c r="E58" s="22" t="s">
        <v>179</v>
      </c>
      <c r="F58" s="22" t="s">
        <v>241</v>
      </c>
      <c r="G58" s="22" t="s">
        <v>307</v>
      </c>
      <c r="H58" s="22" t="s">
        <v>342</v>
      </c>
      <c r="I58" s="22"/>
      <c r="J58" s="22" t="s">
        <v>431</v>
      </c>
      <c r="K58" s="22" t="s">
        <v>487</v>
      </c>
      <c r="L58" s="22">
        <v>1</v>
      </c>
      <c r="M58" s="22">
        <f t="shared" ref="M58" si="54">L58*5</f>
        <v>5</v>
      </c>
      <c r="N58" s="10" t="s">
        <v>517</v>
      </c>
      <c r="O58" s="32" t="s">
        <v>514</v>
      </c>
      <c r="P58" s="11" t="s">
        <v>567</v>
      </c>
      <c r="Q58" s="23">
        <f t="shared" ref="Q58" si="55">P58*N58</f>
        <v>0.12</v>
      </c>
      <c r="R58" s="22"/>
    </row>
    <row r="59" spans="1:18">
      <c r="A59" s="1"/>
      <c r="B59" s="18">
        <f>ROW(B59) - ROW($B$2)</f>
        <v>57</v>
      </c>
      <c r="C59" s="24" t="s">
        <v>23</v>
      </c>
      <c r="D59" s="10" t="s">
        <v>87</v>
      </c>
      <c r="E59" s="10" t="s">
        <v>180</v>
      </c>
      <c r="F59" s="10" t="s">
        <v>241</v>
      </c>
      <c r="G59" s="10" t="s">
        <v>308</v>
      </c>
      <c r="H59" s="10" t="s">
        <v>342</v>
      </c>
      <c r="I59" s="10"/>
      <c r="J59" s="10" t="s">
        <v>432</v>
      </c>
      <c r="K59" s="10" t="s">
        <v>488</v>
      </c>
      <c r="L59" s="10">
        <v>1</v>
      </c>
      <c r="M59" s="10">
        <f>L59*5</f>
        <v>5</v>
      </c>
      <c r="N59" s="22" t="s">
        <v>517</v>
      </c>
      <c r="O59" s="32" t="s">
        <v>514</v>
      </c>
      <c r="P59" s="23" t="s">
        <v>572</v>
      </c>
      <c r="Q59" s="11">
        <f>P59*N59</f>
        <v>0.53</v>
      </c>
      <c r="R59" s="10"/>
    </row>
    <row r="60" spans="1:18">
      <c r="A60" s="1"/>
      <c r="B60" s="19">
        <f t="shared" si="0"/>
        <v>58</v>
      </c>
      <c r="C60" s="25" t="s">
        <v>23</v>
      </c>
      <c r="D60" s="22" t="s">
        <v>88</v>
      </c>
      <c r="E60" s="22" t="s">
        <v>181</v>
      </c>
      <c r="F60" s="22" t="s">
        <v>241</v>
      </c>
      <c r="G60" s="22" t="s">
        <v>309</v>
      </c>
      <c r="H60" s="22" t="s">
        <v>342</v>
      </c>
      <c r="I60" s="22"/>
      <c r="J60" s="22" t="s">
        <v>433</v>
      </c>
      <c r="K60" s="22" t="s">
        <v>489</v>
      </c>
      <c r="L60" s="22">
        <v>3</v>
      </c>
      <c r="M60" s="22">
        <f t="shared" ref="M60" si="56">L60*5</f>
        <v>15</v>
      </c>
      <c r="N60" s="10" t="s">
        <v>517</v>
      </c>
      <c r="O60" s="32" t="s">
        <v>514</v>
      </c>
      <c r="P60" s="11" t="s">
        <v>567</v>
      </c>
      <c r="Q60" s="23">
        <f t="shared" ref="Q60" si="57">P60*N60</f>
        <v>0.12</v>
      </c>
      <c r="R60" s="22"/>
    </row>
    <row r="61" spans="1:18">
      <c r="A61" s="1"/>
      <c r="B61" s="18">
        <f>ROW(B61) - ROW($B$2)</f>
        <v>59</v>
      </c>
      <c r="C61" s="24" t="s">
        <v>23</v>
      </c>
      <c r="D61" s="10" t="s">
        <v>89</v>
      </c>
      <c r="E61" s="10" t="s">
        <v>182</v>
      </c>
      <c r="F61" s="10" t="s">
        <v>243</v>
      </c>
      <c r="G61" s="10" t="s">
        <v>310</v>
      </c>
      <c r="H61" s="10" t="s">
        <v>342</v>
      </c>
      <c r="I61" s="10"/>
      <c r="J61" s="10" t="s">
        <v>434</v>
      </c>
      <c r="K61" s="10" t="s">
        <v>483</v>
      </c>
      <c r="L61" s="10">
        <v>2</v>
      </c>
      <c r="M61" s="10">
        <f>L61*5</f>
        <v>10</v>
      </c>
      <c r="N61" s="22" t="s">
        <v>517</v>
      </c>
      <c r="O61" s="32" t="s">
        <v>514</v>
      </c>
      <c r="P61" s="23" t="s">
        <v>573</v>
      </c>
      <c r="Q61" s="11">
        <f>P61*N61</f>
        <v>6.9999999999999993E-2</v>
      </c>
      <c r="R61" s="10"/>
    </row>
    <row r="62" spans="1:18">
      <c r="A62" s="1"/>
      <c r="B62" s="19">
        <f t="shared" si="0"/>
        <v>60</v>
      </c>
      <c r="C62" s="24" t="s">
        <v>23</v>
      </c>
      <c r="D62" s="22" t="s">
        <v>90</v>
      </c>
      <c r="E62" s="22" t="s">
        <v>183</v>
      </c>
      <c r="F62" s="22" t="s">
        <v>241</v>
      </c>
      <c r="G62" s="22" t="s">
        <v>311</v>
      </c>
      <c r="H62" s="22" t="s">
        <v>342</v>
      </c>
      <c r="I62" s="22"/>
      <c r="J62" s="22" t="s">
        <v>435</v>
      </c>
      <c r="K62" s="22" t="s">
        <v>490</v>
      </c>
      <c r="L62" s="22">
        <v>1</v>
      </c>
      <c r="M62" s="22">
        <f t="shared" ref="M62" si="58">L62*5</f>
        <v>5</v>
      </c>
      <c r="N62" s="10" t="s">
        <v>517</v>
      </c>
      <c r="O62" s="32" t="s">
        <v>514</v>
      </c>
      <c r="P62" s="11" t="s">
        <v>567</v>
      </c>
      <c r="Q62" s="23">
        <f t="shared" ref="Q62" si="59">P62*N62</f>
        <v>0.12</v>
      </c>
      <c r="R62" s="22"/>
    </row>
    <row r="63" spans="1:18">
      <c r="A63" s="1"/>
      <c r="B63" s="18">
        <f>ROW(B63) - ROW($B$2)</f>
        <v>61</v>
      </c>
      <c r="C63" s="24" t="s">
        <v>23</v>
      </c>
      <c r="D63" s="10" t="s">
        <v>91</v>
      </c>
      <c r="E63" s="10" t="s">
        <v>184</v>
      </c>
      <c r="F63" s="10" t="s">
        <v>241</v>
      </c>
      <c r="G63" s="10" t="s">
        <v>312</v>
      </c>
      <c r="H63" s="10" t="s">
        <v>342</v>
      </c>
      <c r="I63" s="10"/>
      <c r="J63" s="10" t="s">
        <v>436</v>
      </c>
      <c r="K63" s="10" t="s">
        <v>485</v>
      </c>
      <c r="L63" s="10">
        <v>1</v>
      </c>
      <c r="M63" s="10">
        <f>L63*5</f>
        <v>5</v>
      </c>
      <c r="N63" s="10" t="s">
        <v>517</v>
      </c>
      <c r="O63" s="32" t="s">
        <v>514</v>
      </c>
      <c r="P63" s="11">
        <v>5.9999999999999995E-4</v>
      </c>
      <c r="Q63" s="11">
        <f>P63*N63</f>
        <v>0.06</v>
      </c>
      <c r="R63" s="10"/>
    </row>
    <row r="64" spans="1:18">
      <c r="A64" s="1"/>
      <c r="B64" s="19">
        <f t="shared" si="0"/>
        <v>62</v>
      </c>
      <c r="C64" s="25" t="s">
        <v>23</v>
      </c>
      <c r="D64" s="22" t="s">
        <v>92</v>
      </c>
      <c r="E64" s="22" t="s">
        <v>185</v>
      </c>
      <c r="F64" s="22" t="s">
        <v>244</v>
      </c>
      <c r="G64" s="22" t="s">
        <v>313</v>
      </c>
      <c r="H64" s="22" t="s">
        <v>342</v>
      </c>
      <c r="I64" s="22"/>
      <c r="J64" s="22" t="s">
        <v>437</v>
      </c>
      <c r="K64" s="22" t="s">
        <v>491</v>
      </c>
      <c r="L64" s="22">
        <v>1</v>
      </c>
      <c r="M64" s="22">
        <f t="shared" ref="M64" si="60">L64*5</f>
        <v>5</v>
      </c>
      <c r="N64" s="22" t="s">
        <v>517</v>
      </c>
      <c r="O64" s="32" t="s">
        <v>514</v>
      </c>
      <c r="P64" s="23" t="s">
        <v>574</v>
      </c>
      <c r="Q64" s="23">
        <f t="shared" ref="Q64" si="61">P64*N64</f>
        <v>0.22</v>
      </c>
      <c r="R64" s="22"/>
    </row>
    <row r="65" spans="1:18">
      <c r="A65" s="1"/>
      <c r="B65" s="18">
        <f>ROW(B65) - ROW($B$2)</f>
        <v>63</v>
      </c>
      <c r="C65" s="24" t="s">
        <v>23</v>
      </c>
      <c r="D65" s="10" t="s">
        <v>93</v>
      </c>
      <c r="E65" s="10" t="s">
        <v>186</v>
      </c>
      <c r="F65" s="10" t="s">
        <v>241</v>
      </c>
      <c r="G65" s="10" t="s">
        <v>314</v>
      </c>
      <c r="H65" s="10" t="s">
        <v>342</v>
      </c>
      <c r="I65" s="10"/>
      <c r="J65" s="10" t="s">
        <v>438</v>
      </c>
      <c r="K65" s="10" t="s">
        <v>492</v>
      </c>
      <c r="L65" s="10">
        <v>4</v>
      </c>
      <c r="M65" s="10">
        <f>L65*5</f>
        <v>20</v>
      </c>
      <c r="N65" s="10" t="s">
        <v>517</v>
      </c>
      <c r="O65" s="32" t="s">
        <v>514</v>
      </c>
      <c r="P65" s="11" t="s">
        <v>569</v>
      </c>
      <c r="Q65" s="11">
        <f>P65*N65</f>
        <v>0.11</v>
      </c>
      <c r="R65" s="10"/>
    </row>
    <row r="66" spans="1:18">
      <c r="A66" s="1"/>
      <c r="B66" s="19">
        <f t="shared" si="0"/>
        <v>64</v>
      </c>
      <c r="C66" s="25" t="s">
        <v>23</v>
      </c>
      <c r="D66" s="22" t="s">
        <v>94</v>
      </c>
      <c r="E66" s="22" t="s">
        <v>187</v>
      </c>
      <c r="F66" s="22" t="s">
        <v>241</v>
      </c>
      <c r="G66" s="22" t="s">
        <v>315</v>
      </c>
      <c r="H66" s="22" t="s">
        <v>342</v>
      </c>
      <c r="I66" s="22"/>
      <c r="J66" s="22" t="s">
        <v>439</v>
      </c>
      <c r="K66" s="22" t="s">
        <v>493</v>
      </c>
      <c r="L66" s="22">
        <v>2</v>
      </c>
      <c r="M66" s="22">
        <f t="shared" ref="M66" si="62">L66*5</f>
        <v>10</v>
      </c>
      <c r="N66" s="22" t="s">
        <v>517</v>
      </c>
      <c r="O66" s="32" t="s">
        <v>514</v>
      </c>
      <c r="P66" s="23" t="s">
        <v>569</v>
      </c>
      <c r="Q66" s="23">
        <f t="shared" ref="Q66" si="63">P66*N66</f>
        <v>0.11</v>
      </c>
      <c r="R66" s="22"/>
    </row>
    <row r="67" spans="1:18">
      <c r="A67" s="1"/>
      <c r="B67" s="18">
        <f>ROW(B67) - ROW($B$2)</f>
        <v>65</v>
      </c>
      <c r="C67" s="24" t="s">
        <v>23</v>
      </c>
      <c r="D67" s="10" t="s">
        <v>95</v>
      </c>
      <c r="E67" s="10" t="s">
        <v>188</v>
      </c>
      <c r="F67" s="10" t="s">
        <v>241</v>
      </c>
      <c r="G67" s="10" t="s">
        <v>316</v>
      </c>
      <c r="H67" s="10" t="s">
        <v>342</v>
      </c>
      <c r="I67" s="10"/>
      <c r="J67" s="10" t="s">
        <v>440</v>
      </c>
      <c r="K67" s="10" t="s">
        <v>494</v>
      </c>
      <c r="L67" s="10">
        <v>2</v>
      </c>
      <c r="M67" s="10">
        <f>L67*5</f>
        <v>10</v>
      </c>
      <c r="N67" s="22" t="s">
        <v>517</v>
      </c>
      <c r="O67" s="32" t="s">
        <v>514</v>
      </c>
      <c r="P67" s="23" t="s">
        <v>567</v>
      </c>
      <c r="Q67" s="11">
        <f>P67*N67</f>
        <v>0.12</v>
      </c>
      <c r="R67" s="10"/>
    </row>
    <row r="68" spans="1:18">
      <c r="A68" s="1"/>
      <c r="B68" s="19">
        <f t="shared" si="0"/>
        <v>66</v>
      </c>
      <c r="C68" s="25" t="s">
        <v>24</v>
      </c>
      <c r="D68" s="22" t="s">
        <v>96</v>
      </c>
      <c r="E68" s="22" t="s">
        <v>189</v>
      </c>
      <c r="F68" s="22" t="s">
        <v>243</v>
      </c>
      <c r="G68" s="22" t="s">
        <v>317</v>
      </c>
      <c r="H68" s="22" t="s">
        <v>342</v>
      </c>
      <c r="I68" s="22"/>
      <c r="J68" s="22" t="s">
        <v>441</v>
      </c>
      <c r="K68" s="22" t="s">
        <v>495</v>
      </c>
      <c r="L68" s="22">
        <v>6</v>
      </c>
      <c r="M68" s="22">
        <f t="shared" ref="M68" si="64">L68*5</f>
        <v>30</v>
      </c>
      <c r="N68" s="10" t="s">
        <v>517</v>
      </c>
      <c r="O68" s="32" t="s">
        <v>514</v>
      </c>
      <c r="P68" s="11" t="s">
        <v>575</v>
      </c>
      <c r="Q68" s="23">
        <f t="shared" ref="Q68" si="65">P68*N68</f>
        <v>0.06</v>
      </c>
      <c r="R68" s="22"/>
    </row>
    <row r="69" spans="1:18">
      <c r="A69" s="1"/>
      <c r="B69" s="18">
        <f>ROW(B69) - ROW($B$2)</f>
        <v>67</v>
      </c>
      <c r="C69" s="24" t="s">
        <v>23</v>
      </c>
      <c r="D69" s="10" t="s">
        <v>97</v>
      </c>
      <c r="E69" s="10" t="s">
        <v>190</v>
      </c>
      <c r="F69" s="10" t="s">
        <v>245</v>
      </c>
      <c r="G69" s="10" t="s">
        <v>318</v>
      </c>
      <c r="H69" s="10" t="s">
        <v>342</v>
      </c>
      <c r="I69" s="10"/>
      <c r="J69" s="10" t="s">
        <v>442</v>
      </c>
      <c r="K69" s="10" t="s">
        <v>492</v>
      </c>
      <c r="L69" s="10">
        <v>1</v>
      </c>
      <c r="M69" s="10">
        <f>L69*5</f>
        <v>5</v>
      </c>
      <c r="N69" s="22" t="s">
        <v>515</v>
      </c>
      <c r="O69" s="32" t="s">
        <v>514</v>
      </c>
      <c r="P69" s="23" t="s">
        <v>576</v>
      </c>
      <c r="Q69" s="11">
        <f>P69*N69</f>
        <v>0.52</v>
      </c>
      <c r="R69" s="10"/>
    </row>
    <row r="70" spans="1:18">
      <c r="A70" s="1"/>
      <c r="B70" s="19">
        <f t="shared" si="0"/>
        <v>68</v>
      </c>
      <c r="C70" s="25" t="s">
        <v>23</v>
      </c>
      <c r="D70" s="22" t="s">
        <v>98</v>
      </c>
      <c r="E70" s="22" t="s">
        <v>191</v>
      </c>
      <c r="F70" s="22" t="s">
        <v>241</v>
      </c>
      <c r="G70" s="22" t="s">
        <v>319</v>
      </c>
      <c r="H70" s="22" t="s">
        <v>342</v>
      </c>
      <c r="I70" s="22"/>
      <c r="J70" s="22" t="s">
        <v>443</v>
      </c>
      <c r="K70" s="22" t="s">
        <v>496</v>
      </c>
      <c r="L70" s="22">
        <v>1</v>
      </c>
      <c r="M70" s="22">
        <f t="shared" ref="M70" si="66">L70*5</f>
        <v>5</v>
      </c>
      <c r="N70" s="10" t="s">
        <v>531</v>
      </c>
      <c r="O70" s="32" t="s">
        <v>514</v>
      </c>
      <c r="P70" s="11" t="s">
        <v>577</v>
      </c>
      <c r="Q70" s="23">
        <f t="shared" ref="Q70" si="67">P70*N70</f>
        <v>0.496</v>
      </c>
      <c r="R70" s="22"/>
    </row>
    <row r="71" spans="1:18">
      <c r="A71" s="1"/>
      <c r="B71" s="18">
        <f>ROW(B71) - ROW($B$2)</f>
        <v>69</v>
      </c>
      <c r="C71" s="24" t="s">
        <v>23</v>
      </c>
      <c r="D71" s="10" t="s">
        <v>99</v>
      </c>
      <c r="E71" s="10" t="s">
        <v>192</v>
      </c>
      <c r="F71" s="10" t="s">
        <v>241</v>
      </c>
      <c r="G71" s="10" t="s">
        <v>320</v>
      </c>
      <c r="H71" s="10" t="s">
        <v>342</v>
      </c>
      <c r="I71" s="10"/>
      <c r="J71" s="10" t="s">
        <v>444</v>
      </c>
      <c r="K71" s="10" t="s">
        <v>495</v>
      </c>
      <c r="L71" s="10">
        <v>4</v>
      </c>
      <c r="M71" s="10">
        <f>L71*5</f>
        <v>20</v>
      </c>
      <c r="N71" s="10" t="s">
        <v>517</v>
      </c>
      <c r="O71" s="32" t="s">
        <v>514</v>
      </c>
      <c r="P71" s="11">
        <v>1.1000000000000001E-3</v>
      </c>
      <c r="Q71" s="11">
        <f>P71*N71</f>
        <v>0.11</v>
      </c>
      <c r="R71" s="10"/>
    </row>
    <row r="72" spans="1:18">
      <c r="A72" s="1"/>
      <c r="B72" s="19">
        <f t="shared" si="0"/>
        <v>70</v>
      </c>
      <c r="C72" s="24" t="s">
        <v>23</v>
      </c>
      <c r="D72" s="22" t="s">
        <v>100</v>
      </c>
      <c r="E72" s="22" t="s">
        <v>193</v>
      </c>
      <c r="F72" s="22" t="s">
        <v>241</v>
      </c>
      <c r="G72" s="22" t="s">
        <v>321</v>
      </c>
      <c r="H72" s="22" t="s">
        <v>342</v>
      </c>
      <c r="I72" s="22"/>
      <c r="J72" s="22" t="s">
        <v>445</v>
      </c>
      <c r="K72" s="22" t="s">
        <v>497</v>
      </c>
      <c r="L72" s="22">
        <v>1</v>
      </c>
      <c r="M72" s="22">
        <f t="shared" ref="M72" si="68">L72*5</f>
        <v>5</v>
      </c>
      <c r="N72" s="22" t="s">
        <v>517</v>
      </c>
      <c r="O72" s="32" t="s">
        <v>514</v>
      </c>
      <c r="P72" s="23" t="s">
        <v>567</v>
      </c>
      <c r="Q72" s="23">
        <f t="shared" ref="Q72" si="69">P72*N72</f>
        <v>0.12</v>
      </c>
      <c r="R72" s="22"/>
    </row>
    <row r="73" spans="1:18">
      <c r="A73" s="1"/>
      <c r="B73" s="18">
        <f>ROW(B73) - ROW($B$2)</f>
        <v>71</v>
      </c>
      <c r="C73" s="24" t="s">
        <v>23</v>
      </c>
      <c r="D73" s="10" t="s">
        <v>101</v>
      </c>
      <c r="E73" s="10" t="s">
        <v>194</v>
      </c>
      <c r="F73" s="10" t="s">
        <v>243</v>
      </c>
      <c r="G73" s="10" t="s">
        <v>322</v>
      </c>
      <c r="H73" s="10" t="s">
        <v>342</v>
      </c>
      <c r="I73" s="10"/>
      <c r="J73" s="10" t="s">
        <v>446</v>
      </c>
      <c r="K73" s="10" t="s">
        <v>493</v>
      </c>
      <c r="L73" s="10">
        <v>3</v>
      </c>
      <c r="M73" s="10">
        <f>L73*5</f>
        <v>15</v>
      </c>
      <c r="N73" s="10" t="s">
        <v>517</v>
      </c>
      <c r="O73" s="32" t="s">
        <v>514</v>
      </c>
      <c r="P73" s="11" t="s">
        <v>575</v>
      </c>
      <c r="Q73" s="11">
        <f>P73*N73</f>
        <v>0.06</v>
      </c>
      <c r="R73" s="10"/>
    </row>
    <row r="74" spans="1:18">
      <c r="A74" s="1"/>
      <c r="B74" s="19">
        <f t="shared" si="0"/>
        <v>72</v>
      </c>
      <c r="C74" s="25" t="s">
        <v>23</v>
      </c>
      <c r="D74" s="22" t="s">
        <v>102</v>
      </c>
      <c r="E74" s="22" t="s">
        <v>195</v>
      </c>
      <c r="F74" s="22" t="s">
        <v>241</v>
      </c>
      <c r="G74" s="22" t="s">
        <v>323</v>
      </c>
      <c r="H74" s="22" t="s">
        <v>342</v>
      </c>
      <c r="I74" s="22"/>
      <c r="J74" s="22" t="s">
        <v>447</v>
      </c>
      <c r="K74" s="22" t="s">
        <v>498</v>
      </c>
      <c r="L74" s="22">
        <v>1</v>
      </c>
      <c r="M74" s="22">
        <f t="shared" ref="M74" si="70">L74*5</f>
        <v>5</v>
      </c>
      <c r="N74" s="22" t="s">
        <v>517</v>
      </c>
      <c r="O74" s="32" t="s">
        <v>514</v>
      </c>
      <c r="P74" s="23" t="s">
        <v>530</v>
      </c>
      <c r="Q74" s="23">
        <f t="shared" ref="Q74" si="71">P74*N74</f>
        <v>0.1</v>
      </c>
      <c r="R74" s="22"/>
    </row>
    <row r="75" spans="1:18">
      <c r="A75" s="1"/>
      <c r="B75" s="18">
        <f>ROW(B75) - ROW($B$2)</f>
        <v>73</v>
      </c>
      <c r="C75" s="24" t="s">
        <v>23</v>
      </c>
      <c r="D75" s="10" t="s">
        <v>103</v>
      </c>
      <c r="E75" s="10" t="s">
        <v>196</v>
      </c>
      <c r="F75" s="10" t="s">
        <v>241</v>
      </c>
      <c r="G75" s="10" t="s">
        <v>324</v>
      </c>
      <c r="H75" s="10" t="s">
        <v>342</v>
      </c>
      <c r="I75" s="10"/>
      <c r="J75" s="10" t="s">
        <v>448</v>
      </c>
      <c r="K75" s="10" t="s">
        <v>493</v>
      </c>
      <c r="L75" s="10">
        <v>2</v>
      </c>
      <c r="M75" s="10">
        <f>L75*5</f>
        <v>10</v>
      </c>
      <c r="N75" s="10">
        <v>20</v>
      </c>
      <c r="O75" s="32" t="s">
        <v>514</v>
      </c>
      <c r="P75" s="11">
        <v>2.01E-2</v>
      </c>
      <c r="Q75" s="11">
        <f>P75*N75</f>
        <v>0.40200000000000002</v>
      </c>
      <c r="R75" s="10"/>
    </row>
    <row r="76" spans="1:18">
      <c r="A76" s="1"/>
      <c r="B76" s="19">
        <f t="shared" si="0"/>
        <v>74</v>
      </c>
      <c r="C76" s="25" t="s">
        <v>23</v>
      </c>
      <c r="D76" s="22" t="s">
        <v>104</v>
      </c>
      <c r="E76" s="22" t="s">
        <v>197</v>
      </c>
      <c r="F76" s="22" t="s">
        <v>241</v>
      </c>
      <c r="G76" s="22" t="s">
        <v>325</v>
      </c>
      <c r="H76" s="22" t="s">
        <v>342</v>
      </c>
      <c r="I76" s="22"/>
      <c r="J76" s="22" t="s">
        <v>449</v>
      </c>
      <c r="K76" s="22" t="s">
        <v>499</v>
      </c>
      <c r="L76" s="22">
        <v>2</v>
      </c>
      <c r="M76" s="22">
        <f t="shared" ref="M76" si="72">L76*5</f>
        <v>10</v>
      </c>
      <c r="N76" s="22">
        <v>20</v>
      </c>
      <c r="O76" s="39" t="s">
        <v>514</v>
      </c>
      <c r="P76" s="23">
        <v>2.4299999999999999E-2</v>
      </c>
      <c r="Q76" s="23">
        <f t="shared" ref="Q76" si="73">P76*N76</f>
        <v>0.48599999999999999</v>
      </c>
      <c r="R76" s="22"/>
    </row>
    <row r="77" spans="1:18">
      <c r="A77" s="1"/>
      <c r="B77" s="18">
        <f>ROW(B77) - ROW($B$2)</f>
        <v>75</v>
      </c>
      <c r="C77" s="24" t="s">
        <v>23</v>
      </c>
      <c r="D77" s="33" t="s">
        <v>105</v>
      </c>
      <c r="E77" s="33" t="s">
        <v>192</v>
      </c>
      <c r="F77" s="33" t="s">
        <v>241</v>
      </c>
      <c r="G77" s="33" t="s">
        <v>320</v>
      </c>
      <c r="H77" s="33" t="s">
        <v>342</v>
      </c>
      <c r="I77" s="33"/>
      <c r="J77" s="33" t="s">
        <v>444</v>
      </c>
      <c r="K77" s="33" t="s">
        <v>500</v>
      </c>
      <c r="L77" s="33">
        <v>2</v>
      </c>
      <c r="M77" s="33">
        <f>L77*5</f>
        <v>10</v>
      </c>
      <c r="N77" s="33" t="s">
        <v>513</v>
      </c>
      <c r="O77" s="33" t="s">
        <v>513</v>
      </c>
      <c r="P77" s="37" t="s">
        <v>513</v>
      </c>
      <c r="Q77" s="37" t="s">
        <v>513</v>
      </c>
      <c r="R77" s="38" t="s">
        <v>560</v>
      </c>
    </row>
    <row r="78" spans="1:18">
      <c r="A78" s="1"/>
      <c r="B78" s="19">
        <f t="shared" si="0"/>
        <v>76</v>
      </c>
      <c r="C78" s="25" t="s">
        <v>23</v>
      </c>
      <c r="D78" s="34" t="s">
        <v>106</v>
      </c>
      <c r="E78" s="34" t="s">
        <v>196</v>
      </c>
      <c r="F78" s="34" t="s">
        <v>241</v>
      </c>
      <c r="G78" s="34" t="s">
        <v>324</v>
      </c>
      <c r="H78" s="34" t="s">
        <v>342</v>
      </c>
      <c r="I78" s="34"/>
      <c r="J78" s="34" t="s">
        <v>448</v>
      </c>
      <c r="K78" s="34" t="s">
        <v>500</v>
      </c>
      <c r="L78" s="34">
        <v>2</v>
      </c>
      <c r="M78" s="34">
        <f t="shared" ref="M78" si="74">L78*5</f>
        <v>10</v>
      </c>
      <c r="N78" s="34" t="s">
        <v>513</v>
      </c>
      <c r="O78" s="34" t="s">
        <v>513</v>
      </c>
      <c r="P78" s="35" t="s">
        <v>513</v>
      </c>
      <c r="Q78" s="35" t="s">
        <v>513</v>
      </c>
      <c r="R78" s="38" t="s">
        <v>560</v>
      </c>
    </row>
    <row r="79" spans="1:18" ht="36">
      <c r="A79" s="1"/>
      <c r="B79" s="18">
        <f>ROW(B79) - ROW($B$2)</f>
        <v>77</v>
      </c>
      <c r="C79" s="24" t="s">
        <v>23</v>
      </c>
      <c r="D79" s="10" t="s">
        <v>107</v>
      </c>
      <c r="E79" s="10" t="s">
        <v>198</v>
      </c>
      <c r="F79" s="10" t="s">
        <v>246</v>
      </c>
      <c r="G79" s="10" t="s">
        <v>326</v>
      </c>
      <c r="H79" s="10" t="s">
        <v>371</v>
      </c>
      <c r="I79" s="10"/>
      <c r="J79" s="10" t="s">
        <v>450</v>
      </c>
      <c r="K79" s="10" t="s">
        <v>495</v>
      </c>
      <c r="L79" s="10">
        <v>1</v>
      </c>
      <c r="M79" s="10">
        <f>L79*5</f>
        <v>5</v>
      </c>
      <c r="N79" s="22" t="s">
        <v>515</v>
      </c>
      <c r="O79" s="32" t="s">
        <v>514</v>
      </c>
      <c r="P79" s="23" t="s">
        <v>578</v>
      </c>
      <c r="Q79" s="11">
        <f>P79*N79</f>
        <v>0.95</v>
      </c>
      <c r="R79" s="10"/>
    </row>
    <row r="80" spans="1:18">
      <c r="A80" s="1"/>
      <c r="B80" s="19">
        <f t="shared" si="0"/>
        <v>78</v>
      </c>
      <c r="C80" s="25" t="s">
        <v>25</v>
      </c>
      <c r="D80" s="22" t="s">
        <v>108</v>
      </c>
      <c r="E80" s="22" t="s">
        <v>199</v>
      </c>
      <c r="F80" s="10" t="s">
        <v>512</v>
      </c>
      <c r="G80" s="22" t="s">
        <v>327</v>
      </c>
      <c r="H80" s="22" t="s">
        <v>372</v>
      </c>
      <c r="I80" s="22"/>
      <c r="J80" s="22" t="s">
        <v>451</v>
      </c>
      <c r="K80" s="22" t="s">
        <v>513</v>
      </c>
      <c r="L80" s="22">
        <v>1</v>
      </c>
      <c r="M80" s="22">
        <f t="shared" ref="M80" si="75">L80*5</f>
        <v>5</v>
      </c>
      <c r="N80" s="22" t="s">
        <v>527</v>
      </c>
      <c r="O80" s="32" t="s">
        <v>514</v>
      </c>
      <c r="P80" s="23" t="s">
        <v>579</v>
      </c>
      <c r="Q80" s="23">
        <f t="shared" ref="Q80" si="76">P80*N80</f>
        <v>4.3625000000000007</v>
      </c>
      <c r="R80" s="22"/>
    </row>
    <row r="81" spans="1:18" ht="48">
      <c r="A81" s="1"/>
      <c r="B81" s="18">
        <f>ROW(B81) - ROW($B$2)</f>
        <v>79</v>
      </c>
      <c r="C81" s="24" t="s">
        <v>26</v>
      </c>
      <c r="D81" s="10" t="s">
        <v>109</v>
      </c>
      <c r="E81" s="10" t="s">
        <v>200</v>
      </c>
      <c r="F81" s="10" t="s">
        <v>512</v>
      </c>
      <c r="G81" s="10" t="s">
        <v>247</v>
      </c>
      <c r="H81" s="10" t="s">
        <v>373</v>
      </c>
      <c r="I81" s="10"/>
      <c r="J81" s="10" t="s">
        <v>452</v>
      </c>
      <c r="K81" s="22" t="s">
        <v>513</v>
      </c>
      <c r="L81" s="10">
        <v>1</v>
      </c>
      <c r="M81" s="10">
        <f>L81*5</f>
        <v>5</v>
      </c>
      <c r="N81" s="10" t="s">
        <v>527</v>
      </c>
      <c r="O81" s="32" t="s">
        <v>514</v>
      </c>
      <c r="P81" s="11" t="s">
        <v>580</v>
      </c>
      <c r="Q81" s="11">
        <f>P81*N81</f>
        <v>0.47</v>
      </c>
      <c r="R81" s="10"/>
    </row>
    <row r="82" spans="1:18">
      <c r="A82" s="1"/>
      <c r="B82" s="19">
        <f t="shared" si="0"/>
        <v>80</v>
      </c>
      <c r="C82" s="25" t="s">
        <v>27</v>
      </c>
      <c r="D82" s="22" t="s">
        <v>110</v>
      </c>
      <c r="E82" s="22" t="s">
        <v>201</v>
      </c>
      <c r="F82" s="22" t="s">
        <v>248</v>
      </c>
      <c r="G82" s="22" t="s">
        <v>328</v>
      </c>
      <c r="H82" s="22" t="s">
        <v>374</v>
      </c>
      <c r="I82" s="22"/>
      <c r="J82" s="22" t="s">
        <v>453</v>
      </c>
      <c r="K82" s="22" t="s">
        <v>513</v>
      </c>
      <c r="L82" s="22">
        <v>1</v>
      </c>
      <c r="M82" s="22">
        <f t="shared" ref="M82" si="77">L82*5</f>
        <v>5</v>
      </c>
      <c r="N82" s="22" t="s">
        <v>536</v>
      </c>
      <c r="O82" s="32" t="s">
        <v>514</v>
      </c>
      <c r="P82" s="23" t="s">
        <v>581</v>
      </c>
      <c r="Q82" s="23">
        <f t="shared" ref="Q82" si="78">P82*N82</f>
        <v>27.63</v>
      </c>
      <c r="R82" s="22"/>
    </row>
    <row r="83" spans="1:18">
      <c r="A83" s="1"/>
      <c r="B83" s="18">
        <f>ROW(B83) - ROW($B$2)</f>
        <v>81</v>
      </c>
      <c r="C83" s="24" t="s">
        <v>5</v>
      </c>
      <c r="D83" s="10" t="s">
        <v>111</v>
      </c>
      <c r="E83" s="10" t="s">
        <v>202</v>
      </c>
      <c r="F83" s="10" t="s">
        <v>249</v>
      </c>
      <c r="G83" s="10" t="s">
        <v>329</v>
      </c>
      <c r="H83" s="10" t="s">
        <v>375</v>
      </c>
      <c r="I83" s="10"/>
      <c r="J83" s="10" t="s">
        <v>454</v>
      </c>
      <c r="K83" s="22" t="s">
        <v>513</v>
      </c>
      <c r="L83" s="10">
        <v>1</v>
      </c>
      <c r="M83" s="10">
        <f>L83*5</f>
        <v>5</v>
      </c>
      <c r="N83" s="10" t="s">
        <v>527</v>
      </c>
      <c r="O83" s="32" t="s">
        <v>514</v>
      </c>
      <c r="P83" s="11" t="s">
        <v>582</v>
      </c>
      <c r="Q83" s="11">
        <f>P83*N83</f>
        <v>0.88249999999999995</v>
      </c>
      <c r="R83" s="10"/>
    </row>
    <row r="84" spans="1:18">
      <c r="A84" s="1"/>
      <c r="B84" s="19">
        <f t="shared" si="0"/>
        <v>82</v>
      </c>
      <c r="C84" s="25" t="s">
        <v>5</v>
      </c>
      <c r="D84" s="22" t="s">
        <v>112</v>
      </c>
      <c r="E84" s="22" t="s">
        <v>203</v>
      </c>
      <c r="F84" s="22" t="s">
        <v>250</v>
      </c>
      <c r="G84" s="22" t="s">
        <v>330</v>
      </c>
      <c r="H84" s="22" t="s">
        <v>375</v>
      </c>
      <c r="I84" s="22"/>
      <c r="J84" s="22" t="s">
        <v>455</v>
      </c>
      <c r="K84" s="22" t="s">
        <v>513</v>
      </c>
      <c r="L84" s="22">
        <v>1</v>
      </c>
      <c r="M84" s="22">
        <f t="shared" ref="M84" si="79">L84*5</f>
        <v>5</v>
      </c>
      <c r="N84" s="22" t="s">
        <v>536</v>
      </c>
      <c r="O84" s="32" t="s">
        <v>514</v>
      </c>
      <c r="P84" s="23" t="s">
        <v>583</v>
      </c>
      <c r="Q84" s="23">
        <f t="shared" ref="Q84" si="80">P84*N84</f>
        <v>9.9789999999999992</v>
      </c>
      <c r="R84" s="22"/>
    </row>
    <row r="85" spans="1:18">
      <c r="A85" s="1"/>
      <c r="B85" s="18">
        <f>ROW(B85) - ROW($B$2)</f>
        <v>83</v>
      </c>
      <c r="C85" s="24" t="s">
        <v>5</v>
      </c>
      <c r="D85" s="10" t="s">
        <v>113</v>
      </c>
      <c r="E85" s="10" t="s">
        <v>204</v>
      </c>
      <c r="F85" s="10" t="s">
        <v>249</v>
      </c>
      <c r="G85" s="10" t="s">
        <v>331</v>
      </c>
      <c r="H85" s="10" t="s">
        <v>364</v>
      </c>
      <c r="I85" s="10"/>
      <c r="J85" s="22" t="s">
        <v>584</v>
      </c>
      <c r="K85" s="22" t="s">
        <v>513</v>
      </c>
      <c r="L85" s="10">
        <v>1</v>
      </c>
      <c r="M85" s="10">
        <f>L85*5</f>
        <v>5</v>
      </c>
      <c r="N85" s="22" t="s">
        <v>527</v>
      </c>
      <c r="O85" s="32" t="s">
        <v>514</v>
      </c>
      <c r="P85" s="23" t="s">
        <v>586</v>
      </c>
      <c r="Q85" s="11">
        <f>P85*N85</f>
        <v>6.7215000000000007</v>
      </c>
      <c r="R85" s="10"/>
    </row>
    <row r="86" spans="1:18" ht="24">
      <c r="A86" s="1"/>
      <c r="B86" s="19">
        <f t="shared" si="0"/>
        <v>84</v>
      </c>
      <c r="C86" s="25" t="s">
        <v>5</v>
      </c>
      <c r="D86" s="22" t="s">
        <v>114</v>
      </c>
      <c r="E86" s="22" t="s">
        <v>205</v>
      </c>
      <c r="F86" s="22" t="s">
        <v>251</v>
      </c>
      <c r="G86" s="22" t="s">
        <v>332</v>
      </c>
      <c r="H86" s="22" t="s">
        <v>376</v>
      </c>
      <c r="I86" s="22"/>
      <c r="J86" s="10" t="s">
        <v>585</v>
      </c>
      <c r="K86" s="22" t="s">
        <v>513</v>
      </c>
      <c r="L86" s="22">
        <v>1</v>
      </c>
      <c r="M86" s="22">
        <f t="shared" ref="M86" si="81">L86*5</f>
        <v>5</v>
      </c>
      <c r="N86" s="10" t="s">
        <v>527</v>
      </c>
      <c r="O86" s="32" t="s">
        <v>514</v>
      </c>
      <c r="P86" s="11" t="s">
        <v>587</v>
      </c>
      <c r="Q86" s="23">
        <f t="shared" ref="Q86" si="82">P86*N86</f>
        <v>27.503500000000003</v>
      </c>
      <c r="R86" s="22"/>
    </row>
    <row r="87" spans="1:18">
      <c r="A87" s="1"/>
      <c r="B87" s="18">
        <f>ROW(B87) - ROW($B$2)</f>
        <v>85</v>
      </c>
      <c r="C87" s="24" t="s">
        <v>5</v>
      </c>
      <c r="D87" s="10" t="s">
        <v>115</v>
      </c>
      <c r="E87" s="10" t="s">
        <v>206</v>
      </c>
      <c r="F87" s="10" t="s">
        <v>252</v>
      </c>
      <c r="G87" s="10" t="s">
        <v>333</v>
      </c>
      <c r="H87" s="10" t="s">
        <v>375</v>
      </c>
      <c r="I87" s="10"/>
      <c r="J87" s="10" t="s">
        <v>456</v>
      </c>
      <c r="K87" s="22" t="s">
        <v>513</v>
      </c>
      <c r="L87" s="10">
        <v>3</v>
      </c>
      <c r="M87" s="10">
        <f>L87*5</f>
        <v>15</v>
      </c>
      <c r="N87" s="22" t="s">
        <v>553</v>
      </c>
      <c r="O87" s="32" t="s">
        <v>514</v>
      </c>
      <c r="P87" s="23" t="s">
        <v>588</v>
      </c>
      <c r="Q87" s="11">
        <f>P87*N87</f>
        <v>1.3320000000000001</v>
      </c>
      <c r="R87" s="10"/>
    </row>
    <row r="88" spans="1:18">
      <c r="A88" s="1"/>
      <c r="B88" s="19">
        <f t="shared" si="0"/>
        <v>86</v>
      </c>
      <c r="C88" s="25" t="s">
        <v>5</v>
      </c>
      <c r="D88" s="22" t="s">
        <v>116</v>
      </c>
      <c r="E88" s="22" t="s">
        <v>207</v>
      </c>
      <c r="F88" s="22" t="s">
        <v>253</v>
      </c>
      <c r="G88" s="22" t="s">
        <v>334</v>
      </c>
      <c r="H88" s="22" t="s">
        <v>375</v>
      </c>
      <c r="I88" s="22"/>
      <c r="J88" s="22" t="s">
        <v>457</v>
      </c>
      <c r="K88" s="22" t="s">
        <v>513</v>
      </c>
      <c r="L88" s="22">
        <v>1</v>
      </c>
      <c r="M88" s="22">
        <f t="shared" ref="M88" si="83">L88*5</f>
        <v>5</v>
      </c>
      <c r="N88" s="10" t="s">
        <v>527</v>
      </c>
      <c r="O88" s="32" t="s">
        <v>514</v>
      </c>
      <c r="P88" s="11" t="s">
        <v>589</v>
      </c>
      <c r="Q88" s="23">
        <f t="shared" ref="Q88" si="84">P88*N88</f>
        <v>3.093</v>
      </c>
      <c r="R88" s="22"/>
    </row>
    <row r="89" spans="1:18" ht="24">
      <c r="A89" s="1"/>
      <c r="B89" s="18">
        <f>ROW(B89) - ROW($B$2)</f>
        <v>87</v>
      </c>
      <c r="C89" s="24" t="s">
        <v>28</v>
      </c>
      <c r="D89" s="10" t="s">
        <v>117</v>
      </c>
      <c r="E89" s="10" t="s">
        <v>208</v>
      </c>
      <c r="F89" s="10" t="s">
        <v>254</v>
      </c>
      <c r="G89" s="10" t="s">
        <v>254</v>
      </c>
      <c r="H89" s="10" t="s">
        <v>377</v>
      </c>
      <c r="I89" s="10"/>
      <c r="J89" s="10" t="s">
        <v>458</v>
      </c>
      <c r="K89" s="22" t="s">
        <v>513</v>
      </c>
      <c r="L89" s="10">
        <v>1</v>
      </c>
      <c r="M89" s="10">
        <f>L89*5</f>
        <v>5</v>
      </c>
      <c r="N89" s="22" t="s">
        <v>527</v>
      </c>
      <c r="O89" s="32" t="s">
        <v>514</v>
      </c>
      <c r="P89" s="23" t="s">
        <v>590</v>
      </c>
      <c r="Q89" s="11">
        <f>P89*N89</f>
        <v>4.6665000000000001</v>
      </c>
      <c r="R89" s="10"/>
    </row>
    <row r="90" spans="1:18">
      <c r="A90" s="1"/>
      <c r="B90" s="19">
        <f t="shared" si="0"/>
        <v>88</v>
      </c>
      <c r="C90" s="25" t="s">
        <v>5</v>
      </c>
      <c r="D90" s="22" t="s">
        <v>118</v>
      </c>
      <c r="E90" s="22" t="s">
        <v>209</v>
      </c>
      <c r="F90" s="22" t="s">
        <v>255</v>
      </c>
      <c r="G90" s="22" t="s">
        <v>335</v>
      </c>
      <c r="H90" s="22" t="s">
        <v>375</v>
      </c>
      <c r="I90" s="22"/>
      <c r="J90" s="22" t="s">
        <v>513</v>
      </c>
      <c r="K90" s="22" t="s">
        <v>513</v>
      </c>
      <c r="L90" s="22">
        <v>2</v>
      </c>
      <c r="M90" s="22">
        <f t="shared" ref="M90" si="85">L90*5</f>
        <v>10</v>
      </c>
      <c r="N90" s="22">
        <v>11</v>
      </c>
      <c r="O90" s="32" t="s">
        <v>522</v>
      </c>
      <c r="P90" s="23">
        <v>1.18</v>
      </c>
      <c r="Q90" s="23">
        <f t="shared" ref="Q90" si="86">P90*N90</f>
        <v>12.979999999999999</v>
      </c>
      <c r="R90" s="22"/>
    </row>
    <row r="91" spans="1:18">
      <c r="A91" s="1"/>
      <c r="B91" s="18">
        <f>ROW(B91) - ROW($B$2)</f>
        <v>89</v>
      </c>
      <c r="C91" s="24" t="s">
        <v>5</v>
      </c>
      <c r="D91" s="10" t="s">
        <v>119</v>
      </c>
      <c r="E91" s="10" t="s">
        <v>210</v>
      </c>
      <c r="F91" s="10" t="s">
        <v>256</v>
      </c>
      <c r="G91" s="10" t="s">
        <v>336</v>
      </c>
      <c r="H91" s="10" t="s">
        <v>378</v>
      </c>
      <c r="I91" s="10"/>
      <c r="J91" s="10" t="s">
        <v>459</v>
      </c>
      <c r="K91" s="22" t="s">
        <v>513</v>
      </c>
      <c r="L91" s="10">
        <v>1</v>
      </c>
      <c r="M91" s="10">
        <f>L91*5</f>
        <v>5</v>
      </c>
      <c r="N91" s="10">
        <v>6</v>
      </c>
      <c r="O91" s="32" t="s">
        <v>514</v>
      </c>
      <c r="P91" s="11">
        <v>0.71709999999999996</v>
      </c>
      <c r="Q91" s="11">
        <f>P91*N91</f>
        <v>4.3026</v>
      </c>
      <c r="R91" s="10"/>
    </row>
    <row r="92" spans="1:18">
      <c r="A92" s="1"/>
      <c r="B92" s="19">
        <f t="shared" si="0"/>
        <v>90</v>
      </c>
      <c r="C92" s="25" t="s">
        <v>5</v>
      </c>
      <c r="D92" s="22" t="s">
        <v>120</v>
      </c>
      <c r="E92" s="22" t="s">
        <v>211</v>
      </c>
      <c r="F92" s="22" t="s">
        <v>257</v>
      </c>
      <c r="G92" s="22" t="s">
        <v>337</v>
      </c>
      <c r="H92" s="22" t="s">
        <v>378</v>
      </c>
      <c r="I92" s="22"/>
      <c r="J92" s="22" t="s">
        <v>460</v>
      </c>
      <c r="K92" s="22" t="s">
        <v>513</v>
      </c>
      <c r="L92" s="22">
        <v>1</v>
      </c>
      <c r="M92" s="22">
        <f t="shared" ref="M92" si="87">L92*5</f>
        <v>5</v>
      </c>
      <c r="N92" s="22" t="s">
        <v>527</v>
      </c>
      <c r="O92" s="32" t="s">
        <v>514</v>
      </c>
      <c r="P92" s="23" t="s">
        <v>591</v>
      </c>
      <c r="Q92" s="23">
        <f t="shared" ref="Q92" si="88">P92*N92</f>
        <v>26.158999999999999</v>
      </c>
      <c r="R92" s="22"/>
    </row>
    <row r="93" spans="1:18">
      <c r="A93" s="1"/>
      <c r="B93" s="18">
        <f>ROW(B93) - ROW($B$2)</f>
        <v>91</v>
      </c>
      <c r="C93" s="24" t="s">
        <v>5</v>
      </c>
      <c r="D93" s="10" t="s">
        <v>121</v>
      </c>
      <c r="E93" s="10" t="s">
        <v>212</v>
      </c>
      <c r="F93" s="10" t="s">
        <v>258</v>
      </c>
      <c r="G93" s="10" t="s">
        <v>338</v>
      </c>
      <c r="H93" s="10" t="s">
        <v>8</v>
      </c>
      <c r="I93" s="10"/>
      <c r="J93" s="10" t="s">
        <v>461</v>
      </c>
      <c r="K93" s="22" t="s">
        <v>513</v>
      </c>
      <c r="L93" s="10">
        <v>1</v>
      </c>
      <c r="M93" s="10">
        <f>L93*5</f>
        <v>5</v>
      </c>
      <c r="N93" s="10" t="s">
        <v>527</v>
      </c>
      <c r="O93" s="32" t="str">
        <f t="shared" ref="O93:O95" si="89">HYPERLINK(N93, "LCSC")</f>
        <v>LCSC</v>
      </c>
      <c r="P93" s="11" t="s">
        <v>528</v>
      </c>
      <c r="Q93" s="11">
        <f>P93*N93</f>
        <v>1.8979999999999999</v>
      </c>
      <c r="R93" s="10"/>
    </row>
    <row r="94" spans="1:18">
      <c r="A94" s="1"/>
      <c r="B94" s="19">
        <f t="shared" si="0"/>
        <v>92</v>
      </c>
      <c r="C94" s="25" t="s">
        <v>29</v>
      </c>
      <c r="D94" s="22" t="s">
        <v>122</v>
      </c>
      <c r="E94" s="22" t="s">
        <v>213</v>
      </c>
      <c r="F94" s="10" t="s">
        <v>512</v>
      </c>
      <c r="G94" s="22" t="s">
        <v>259</v>
      </c>
      <c r="H94" s="22" t="s">
        <v>379</v>
      </c>
      <c r="I94" s="22"/>
      <c r="J94" s="22" t="s">
        <v>462</v>
      </c>
      <c r="K94" s="22" t="s">
        <v>501</v>
      </c>
      <c r="L94" s="22">
        <v>1</v>
      </c>
      <c r="M94" s="22">
        <f t="shared" ref="M94" si="90">L94*5</f>
        <v>5</v>
      </c>
      <c r="N94" s="10" t="s">
        <v>527</v>
      </c>
      <c r="O94" s="32" t="str">
        <f t="shared" si="89"/>
        <v>LCSC</v>
      </c>
      <c r="P94" s="11" t="s">
        <v>592</v>
      </c>
      <c r="Q94" s="23">
        <f t="shared" ref="Q94" si="91">P94*N94</f>
        <v>1.6239999999999999</v>
      </c>
      <c r="R94" s="22"/>
    </row>
    <row r="95" spans="1:18" ht="15.75" thickBot="1">
      <c r="A95" s="1"/>
      <c r="B95" s="18">
        <f>ROW(B95) - ROW($B$2)</f>
        <v>93</v>
      </c>
      <c r="C95" s="25" t="s">
        <v>29</v>
      </c>
      <c r="D95" s="10" t="s">
        <v>123</v>
      </c>
      <c r="E95" s="10" t="s">
        <v>214</v>
      </c>
      <c r="F95" s="10" t="s">
        <v>512</v>
      </c>
      <c r="G95" s="10" t="s">
        <v>339</v>
      </c>
      <c r="H95" s="10" t="s">
        <v>380</v>
      </c>
      <c r="I95" s="10"/>
      <c r="J95" s="10" t="s">
        <v>463</v>
      </c>
      <c r="K95" s="10" t="s">
        <v>502</v>
      </c>
      <c r="L95" s="10">
        <v>1</v>
      </c>
      <c r="M95" s="10">
        <f>L95*5</f>
        <v>5</v>
      </c>
      <c r="N95" s="10" t="s">
        <v>527</v>
      </c>
      <c r="O95" s="32" t="str">
        <f t="shared" si="89"/>
        <v>LCSC</v>
      </c>
      <c r="P95" s="11" t="s">
        <v>593</v>
      </c>
      <c r="Q95" s="11">
        <f>P95*N95</f>
        <v>1.2404999999999999</v>
      </c>
      <c r="R95" s="10"/>
    </row>
    <row r="96" spans="1:18" ht="19.5" thickBot="1">
      <c r="A96" s="1"/>
      <c r="B96" s="12"/>
      <c r="C96" s="13"/>
      <c r="D96" s="14"/>
      <c r="E96" s="15"/>
      <c r="F96" s="16"/>
      <c r="G96" s="17"/>
      <c r="H96" s="16"/>
      <c r="I96" s="17"/>
      <c r="J96" s="16"/>
      <c r="K96" s="17"/>
      <c r="L96" s="17"/>
      <c r="M96" s="17"/>
      <c r="N96" s="29" t="s">
        <v>1</v>
      </c>
      <c r="O96" s="30"/>
      <c r="P96" s="30"/>
      <c r="Q96" s="20">
        <f>SUM(Q3:Q95)</f>
        <v>219.80559999999994</v>
      </c>
      <c r="R96" s="27"/>
    </row>
    <row r="97" spans="1:18" ht="19.5" thickBot="1">
      <c r="A97" s="1"/>
      <c r="B97" s="6"/>
      <c r="C97" s="9"/>
      <c r="D97" s="3"/>
      <c r="E97" s="4"/>
      <c r="F97" s="4"/>
      <c r="G97" s="4"/>
      <c r="H97" s="4"/>
      <c r="I97" s="4"/>
      <c r="J97" s="4"/>
      <c r="K97" s="4"/>
      <c r="L97" s="4"/>
      <c r="M97" s="4"/>
      <c r="N97" s="29" t="s">
        <v>2</v>
      </c>
      <c r="O97" s="30"/>
      <c r="P97" s="30"/>
      <c r="Q97" s="21">
        <f>Q96/5</f>
        <v>43.961119999999987</v>
      </c>
      <c r="R97" s="28"/>
    </row>
  </sheetData>
  <mergeCells count="4">
    <mergeCell ref="K1:R1"/>
    <mergeCell ref="R96:R97"/>
    <mergeCell ref="N96:P96"/>
    <mergeCell ref="N97:P97"/>
  </mergeCells>
  <hyperlinks>
    <hyperlink ref="O4" r:id="rId1"/>
    <hyperlink ref="O5" r:id="rId2"/>
    <hyperlink ref="O3" r:id="rId3"/>
    <hyperlink ref="O6" r:id="rId4"/>
    <hyperlink ref="O7" r:id="rId5"/>
    <hyperlink ref="O8" r:id="rId6"/>
    <hyperlink ref="O9" r:id="rId7"/>
    <hyperlink ref="O10" r:id="rId8"/>
    <hyperlink ref="O11" r:id="rId9"/>
    <hyperlink ref="O12" r:id="rId10"/>
    <hyperlink ref="O13" r:id="rId11"/>
    <hyperlink ref="O14" r:id="rId12"/>
    <hyperlink ref="O15" r:id="rId13"/>
    <hyperlink ref="O16" r:id="rId14"/>
    <hyperlink ref="O17" r:id="rId15"/>
    <hyperlink ref="O18" r:id="rId16"/>
    <hyperlink ref="O19" r:id="rId17"/>
    <hyperlink ref="O20" r:id="rId18"/>
    <hyperlink ref="O21" r:id="rId19"/>
    <hyperlink ref="O22" r:id="rId20"/>
    <hyperlink ref="O23" r:id="rId21"/>
    <hyperlink ref="O24" r:id="rId22"/>
    <hyperlink ref="O25" r:id="rId23"/>
    <hyperlink ref="O26" r:id="rId24"/>
    <hyperlink ref="O27" r:id="rId25"/>
    <hyperlink ref="O28" r:id="rId26"/>
    <hyperlink ref="O30" r:id="rId27"/>
    <hyperlink ref="O29" r:id="rId28"/>
    <hyperlink ref="O31" r:id="rId29"/>
    <hyperlink ref="O32" r:id="rId30"/>
    <hyperlink ref="O33" r:id="rId31"/>
    <hyperlink ref="O34" r:id="rId32"/>
    <hyperlink ref="O35" r:id="rId33"/>
    <hyperlink ref="O37" r:id="rId34"/>
    <hyperlink ref="O38" r:id="rId35"/>
    <hyperlink ref="O39" r:id="rId36"/>
    <hyperlink ref="O41" r:id="rId37"/>
    <hyperlink ref="O43" r:id="rId38"/>
    <hyperlink ref="O44" r:id="rId39"/>
    <hyperlink ref="O45" r:id="rId40"/>
    <hyperlink ref="O46" r:id="rId41"/>
    <hyperlink ref="O48" r:id="rId42"/>
    <hyperlink ref="O49" r:id="rId43"/>
    <hyperlink ref="O47" r:id="rId44"/>
    <hyperlink ref="O50" r:id="rId45"/>
    <hyperlink ref="O51" r:id="rId46"/>
    <hyperlink ref="O52" r:id="rId47"/>
    <hyperlink ref="O53" r:id="rId48"/>
    <hyperlink ref="O54" r:id="rId49"/>
    <hyperlink ref="O55" r:id="rId50"/>
    <hyperlink ref="O56" r:id="rId51"/>
    <hyperlink ref="O57" r:id="rId52"/>
    <hyperlink ref="O58" r:id="rId53"/>
    <hyperlink ref="O59" r:id="rId54"/>
    <hyperlink ref="O60" r:id="rId55"/>
    <hyperlink ref="O61" r:id="rId56"/>
    <hyperlink ref="O62" r:id="rId57"/>
    <hyperlink ref="O63" r:id="rId58"/>
    <hyperlink ref="O64" r:id="rId59"/>
    <hyperlink ref="O65" r:id="rId60"/>
    <hyperlink ref="O66" r:id="rId61"/>
    <hyperlink ref="O67" r:id="rId62"/>
    <hyperlink ref="O68" r:id="rId63"/>
    <hyperlink ref="O69" r:id="rId64"/>
    <hyperlink ref="O70" r:id="rId65"/>
    <hyperlink ref="O71" r:id="rId66"/>
    <hyperlink ref="O72" r:id="rId67"/>
    <hyperlink ref="O73" r:id="rId68"/>
    <hyperlink ref="O74" r:id="rId69"/>
    <hyperlink ref="O79" r:id="rId70"/>
    <hyperlink ref="O80" r:id="rId71"/>
    <hyperlink ref="O81" r:id="rId72"/>
    <hyperlink ref="O82" r:id="rId73"/>
    <hyperlink ref="O83" r:id="rId74"/>
    <hyperlink ref="O84" r:id="rId75"/>
    <hyperlink ref="O85" r:id="rId76"/>
    <hyperlink ref="O86" r:id="rId77"/>
    <hyperlink ref="O87" r:id="rId78"/>
    <hyperlink ref="O88" r:id="rId79"/>
    <hyperlink ref="O89" r:id="rId80"/>
    <hyperlink ref="O92" r:id="rId81"/>
    <hyperlink ref="O90" r:id="rId82"/>
    <hyperlink ref="O91" r:id="rId83"/>
    <hyperlink ref="O75" r:id="rId84"/>
    <hyperlink ref="O76" r:id="rId85"/>
    <hyperlink ref="O40" r:id="rId86"/>
    <hyperlink ref="O36" r:id="rId87"/>
  </hyperlinks>
  <pageMargins left="0.7" right="0.7" top="0.75" bottom="0.75" header="0.3" footer="0.3"/>
  <pageSetup paperSize="9" orientation="portrait"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2025-07-18T08:48:35Z</dcterms:modified>
</cp:coreProperties>
</file>