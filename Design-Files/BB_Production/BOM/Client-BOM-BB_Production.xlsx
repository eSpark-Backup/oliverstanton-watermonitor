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BB_Production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<sst xmlns="http://schemas.openxmlformats.org/spreadsheetml/2006/main" count="213" uniqueCount="148">
  <si>
    <t>#</t>
  </si>
  <si>
    <t>Item Type</t>
  </si>
  <si>
    <t>Capacitor</t>
  </si>
  <si>
    <t>Capacitors</t>
  </si>
  <si>
    <t>Diode</t>
  </si>
  <si>
    <t>Wire To Board Connector</t>
  </si>
  <si>
    <t>Terminal Blocks</t>
  </si>
  <si>
    <t>Male Header</t>
  </si>
  <si>
    <t>Inductor</t>
  </si>
  <si>
    <t>Mosfet</t>
  </si>
  <si>
    <t>Resistor</t>
  </si>
  <si>
    <t>Resistors</t>
  </si>
  <si>
    <t>IC</t>
  </si>
  <si>
    <t>Designator</t>
  </si>
  <si>
    <t>C1, C2</t>
  </si>
  <si>
    <t>C3</t>
  </si>
  <si>
    <t>C4, C5</t>
  </si>
  <si>
    <t>C6</t>
  </si>
  <si>
    <t>C7, C8, C9, C10, C11</t>
  </si>
  <si>
    <t>D1</t>
  </si>
  <si>
    <t>D2, D3</t>
  </si>
  <si>
    <t>J1</t>
  </si>
  <si>
    <t>J2, J4</t>
  </si>
  <si>
    <t>J3, J5</t>
  </si>
  <si>
    <t>J6, J7, J8, J12</t>
  </si>
  <si>
    <t>J9, J10, J11</t>
  </si>
  <si>
    <t>L1</t>
  </si>
  <si>
    <t>Q1, Q2, Q3</t>
  </si>
  <si>
    <t>R1, R2, R3, R4, R5, R6, R7, R8, R9, R10, R11, R12, R13</t>
  </si>
  <si>
    <t>R14</t>
  </si>
  <si>
    <t>R15</t>
  </si>
  <si>
    <t>R16, R20, R22, R26</t>
  </si>
  <si>
    <t>R17, R18, R23, R24</t>
  </si>
  <si>
    <t>R19, R25</t>
  </si>
  <si>
    <t>R21, R27</t>
  </si>
  <si>
    <t>R28, R30, R38</t>
  </si>
  <si>
    <t>R29, R37, R39</t>
  </si>
  <si>
    <t>R31, R33, R35</t>
  </si>
  <si>
    <t>R32, R34, R36</t>
  </si>
  <si>
    <t>U1</t>
  </si>
  <si>
    <t>U2, U3</t>
  </si>
  <si>
    <t>U4, U5, U6</t>
  </si>
  <si>
    <t>U7, U8, U9</t>
  </si>
  <si>
    <t>Description</t>
  </si>
  <si>
    <t>CAP CER 0.1UF 50V Y5V 0603</t>
  </si>
  <si>
    <t>CAP TANT 100UF 20% 10V 1411</t>
  </si>
  <si>
    <t>CAP CER 47UF 25V X5R 1206</t>
  </si>
  <si>
    <t>CAP CER 0.1UF 25V X7R 0402</t>
  </si>
  <si>
    <t>CAP CER 0.1UF 16V X7R 0402</t>
  </si>
  <si>
    <t>SCHOTTKY DIODE SMB 100V 5A</t>
  </si>
  <si>
    <t>SOT-23 TVS ROHS</t>
  </si>
  <si>
    <t>1x16P PicoBlade(MX 1.25) 16P Tin 16 -25℃~+85℃ 2A 1 1.25mm Brass Surface Mount,Vertical SMD,P=1.25mm Wire To Board Connector ROHS</t>
  </si>
  <si>
    <t>TERMINAL BLOCK, SCREW TYPE, 5.08</t>
  </si>
  <si>
    <t>Gold 250V 3A Straight Square Pins 2.5mm 2P 260℃ 6mm -40℃~+105℃ 3mm 2.54mm Plugin Black Brass 1x2P Plugin,P=2.54mm Pin Headers ROHS</t>
  </si>
  <si>
    <t>3.5A 47uH ±20% 4A 125mΩ SMD,10x11mm Inductors (SMD) ROHS</t>
  </si>
  <si>
    <t>Single N-Channel, 20V, 4.7A, Power MOSFET</t>
  </si>
  <si>
    <t>RES 0 OHM JUMPER 1/10W 0603</t>
  </si>
  <si>
    <t>RES 0 OHM JUMPER 1/4W 1206</t>
  </si>
  <si>
    <t>RES 10K OHM 1% 1/16W 0402</t>
  </si>
  <si>
    <t>RES 0 OHM JUMPER 1/16W 0402</t>
  </si>
  <si>
    <t>RES 120 OHM 1% 1/10W 0603</t>
  </si>
  <si>
    <t>RES SMD 100 OHM 1% 1/4W 0603</t>
  </si>
  <si>
    <t>RES 1K OHM 1% 1/16W 0402</t>
  </si>
  <si>
    <t>RES 2.2K OHM 1% 1/10W 0603</t>
  </si>
  <si>
    <t>RES SMD 3.3K OHM 1% 1/10W 0603</t>
  </si>
  <si>
    <t>IC REG BUCK 3.3V 2A 8SOP</t>
  </si>
  <si>
    <t>SOP-8 RS-485/RS-422 ICs ROHS</t>
  </si>
  <si>
    <t>TransistorOptocouplers DC 1 2500Vrms SOP-4_P1.27 Optocouplers RoHS</t>
  </si>
  <si>
    <t>IC GATE DRVR LOW-SIDE SOT23-5</t>
  </si>
  <si>
    <t>Footprint</t>
  </si>
  <si>
    <t>Cap-0603</t>
  </si>
  <si>
    <t>Case-B</t>
  </si>
  <si>
    <t>Cap-1206</t>
  </si>
  <si>
    <t>Cap-0402</t>
  </si>
  <si>
    <t>SMB_</t>
  </si>
  <si>
    <t>SOT-23</t>
  </si>
  <si>
    <t>HC-1.25-16PLT</t>
  </si>
  <si>
    <t>TB008A-508-04BE</t>
  </si>
  <si>
    <t>HDR1X2_</t>
  </si>
  <si>
    <t>TB008A-508-02BE</t>
  </si>
  <si>
    <t>TB008A-508-03BE</t>
  </si>
  <si>
    <t>MDA1040-470M</t>
  </si>
  <si>
    <t>sot-23</t>
  </si>
  <si>
    <t>Res-0603</t>
  </si>
  <si>
    <t>Res-1206</t>
  </si>
  <si>
    <t>Res-0402</t>
  </si>
  <si>
    <t>RES-0603</t>
  </si>
  <si>
    <t>SOP-8L</t>
  </si>
  <si>
    <t>SOP-8</t>
  </si>
  <si>
    <t>SOP-4_1.27</t>
  </si>
  <si>
    <t>SOT-23-5</t>
  </si>
  <si>
    <t>Manufacturer Part Number</t>
  </si>
  <si>
    <t>CC0603ZRY5V9BB104</t>
  </si>
  <si>
    <t>TAJB107M010RNJ</t>
  </si>
  <si>
    <t>GRM31CR61E476ME44L</t>
  </si>
  <si>
    <t>GRM155R71E104KE14D</t>
  </si>
  <si>
    <t>CC0402JRX7R7BB104</t>
  </si>
  <si>
    <t>SS510B</t>
  </si>
  <si>
    <t>SM712</t>
  </si>
  <si>
    <t>X6511WV-02H-C60D30</t>
  </si>
  <si>
    <t>WNM2016A-3/TR</t>
  </si>
  <si>
    <t>RC0603JR-070RL</t>
  </si>
  <si>
    <t>RC1206JR-070RL</t>
  </si>
  <si>
    <t>RC0402FR-0710KL</t>
  </si>
  <si>
    <t>RC0402FR-070RL</t>
  </si>
  <si>
    <t>RC0603FR-07120RL</t>
  </si>
  <si>
    <t>RCA0603100RFKEAHP</t>
  </si>
  <si>
    <t>RC0402FR-071KL</t>
  </si>
  <si>
    <t>RC0603FR-072K2L</t>
  </si>
  <si>
    <t>RC0603FR-073K3L</t>
  </si>
  <si>
    <t>AP1509-33SG-13</t>
  </si>
  <si>
    <t>SP3485EIM/TR</t>
  </si>
  <si>
    <t>PS2801C-1-F3-A</t>
  </si>
  <si>
    <t>UCC27517DBVR</t>
  </si>
  <si>
    <t>Manufacturer</t>
  </si>
  <si>
    <t>Yageo</t>
  </si>
  <si>
    <t>Kyocera AVX</t>
  </si>
  <si>
    <t>Murata</t>
  </si>
  <si>
    <t>MDD</t>
  </si>
  <si>
    <t>TECH PUBLIC</t>
  </si>
  <si>
    <t>HCTL</t>
  </si>
  <si>
    <t>Same Sky</t>
  </si>
  <si>
    <t>XKB</t>
  </si>
  <si>
    <t>KOHERelec</t>
  </si>
  <si>
    <t>WILLSEMI</t>
  </si>
  <si>
    <t>Vishay Dale</t>
  </si>
  <si>
    <t>Yageo Phycomp</t>
  </si>
  <si>
    <t>Diodes</t>
  </si>
  <si>
    <t>HGSEMI</t>
  </si>
  <si>
    <t>RENESAS</t>
  </si>
  <si>
    <t>Texas Instruments</t>
  </si>
  <si>
    <t>0.1uF</t>
  </si>
  <si>
    <t>100uF</t>
  </si>
  <si>
    <t>47uF</t>
  </si>
  <si>
    <t>47uH</t>
  </si>
  <si>
    <t>0R</t>
  </si>
  <si>
    <t>DNP</t>
  </si>
  <si>
    <t>10K</t>
  </si>
  <si>
    <t>120R</t>
  </si>
  <si>
    <t>100R</t>
  </si>
  <si>
    <t>1K</t>
  </si>
  <si>
    <t>2.2K</t>
  </si>
  <si>
    <t>3.3K</t>
  </si>
  <si>
    <t>Quantity</t>
  </si>
  <si>
    <t>Value</t>
  </si>
  <si>
    <t>Remarks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</si>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</sst>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1"/>
  <sheetViews>
    <sheetView tabSelected="1" topLeftCell="A7" workbookViewId="0">
      <selection activeCell="H18" sqref="H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9.28515625" bestFit="1" customWidth="1"/>
    <col min="7" max="7" width="25.28515625" bestFit="1" customWidth="1"/>
    <col min="8" max="8" width="15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13</v>
      </c>
      <c r="E2" s="6" t="s">
        <v>43</v>
      </c>
      <c r="F2" s="5" t="s">
        <v>69</v>
      </c>
      <c r="G2" s="6" t="s">
        <v>91</v>
      </c>
      <c r="H2" s="5" t="s">
        <v>114</v>
      </c>
      <c r="I2" s="6" t="s">
        <v>144</v>
      </c>
      <c r="J2" s="5" t="s">
        <v>143</v>
      </c>
      <c r="K2" s="5" t="s">
        <v>145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14</v>
      </c>
      <c r="E3" s="8" t="s">
        <v>44</v>
      </c>
      <c r="F3" s="7" t="s">
        <v>70</v>
      </c>
      <c r="G3" s="8" t="s">
        <v>92</v>
      </c>
      <c r="H3" s="7" t="s">
        <v>115</v>
      </c>
      <c r="I3" s="8" t="s">
        <v>131</v>
      </c>
      <c r="J3" s="7">
        <v>2</v>
      </c>
      <c r="K3" s="7"/>
    </row>
    <row r="4" spans="1:11" ht="15.75" thickBot="1" x14ac:dyDescent="0.3">
      <c r="A4" s="1"/>
      <c r="B4" s="11">
        <f t="shared" ref="B4:B30" si="0">ROW(B4) - ROW($B$2)</f>
        <v>2</v>
      </c>
      <c r="C4" s="13" t="s">
        <v>2</v>
      </c>
      <c r="D4" s="9" t="s">
        <v>15</v>
      </c>
      <c r="E4" s="10" t="s">
        <v>45</v>
      </c>
      <c r="F4" s="9" t="s">
        <v>71</v>
      </c>
      <c r="G4" s="10" t="s">
        <v>93</v>
      </c>
      <c r="H4" s="9" t="s">
        <v>116</v>
      </c>
      <c r="I4" s="10" t="s">
        <v>132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16</v>
      </c>
      <c r="E5" s="8" t="s">
        <v>46</v>
      </c>
      <c r="F5" s="7" t="s">
        <v>72</v>
      </c>
      <c r="G5" s="8" t="s">
        <v>94</v>
      </c>
      <c r="H5" s="7" t="s">
        <v>117</v>
      </c>
      <c r="I5" s="8" t="s">
        <v>133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17</v>
      </c>
      <c r="E6" s="10" t="s">
        <v>47</v>
      </c>
      <c r="F6" s="9" t="s">
        <v>73</v>
      </c>
      <c r="G6" s="10" t="s">
        <v>95</v>
      </c>
      <c r="H6" s="9" t="s">
        <v>117</v>
      </c>
      <c r="I6" s="10" t="s">
        <v>131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18</v>
      </c>
      <c r="E7" s="8" t="s">
        <v>48</v>
      </c>
      <c r="F7" s="7" t="s">
        <v>73</v>
      </c>
      <c r="G7" s="8" t="s">
        <v>96</v>
      </c>
      <c r="H7" s="7" t="s">
        <v>115</v>
      </c>
      <c r="I7" s="8" t="s">
        <v>131</v>
      </c>
      <c r="J7" s="7">
        <v>5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19</v>
      </c>
      <c r="E8" s="10" t="s">
        <v>49</v>
      </c>
      <c r="F8" s="9" t="s">
        <v>74</v>
      </c>
      <c r="G8" s="10" t="s">
        <v>97</v>
      </c>
      <c r="H8" s="9" t="s">
        <v>118</v>
      </c>
      <c r="I8" s="10" t="s">
        <v>146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20</v>
      </c>
      <c r="E9" s="8" t="s">
        <v>50</v>
      </c>
      <c r="F9" s="7" t="s">
        <v>75</v>
      </c>
      <c r="G9" s="8" t="s">
        <v>98</v>
      </c>
      <c r="H9" s="7" t="s">
        <v>119</v>
      </c>
      <c r="I9" s="10" t="s">
        <v>146</v>
      </c>
      <c r="J9" s="7">
        <v>2</v>
      </c>
      <c r="K9" s="7"/>
    </row>
    <row r="10" spans="1:11" ht="60.75" thickBot="1" x14ac:dyDescent="0.3">
      <c r="A10" s="1"/>
      <c r="B10" s="11">
        <f t="shared" si="0"/>
        <v>8</v>
      </c>
      <c r="C10" s="13" t="s">
        <v>5</v>
      </c>
      <c r="D10" s="9" t="s">
        <v>21</v>
      </c>
      <c r="E10" s="10" t="s">
        <v>51</v>
      </c>
      <c r="F10" s="9" t="s">
        <v>147</v>
      </c>
      <c r="G10" s="10" t="s">
        <v>76</v>
      </c>
      <c r="H10" s="9" t="s">
        <v>120</v>
      </c>
      <c r="I10" s="10" t="s">
        <v>146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6</v>
      </c>
      <c r="D11" s="7" t="s">
        <v>22</v>
      </c>
      <c r="E11" s="8" t="s">
        <v>52</v>
      </c>
      <c r="F11" s="9" t="s">
        <v>147</v>
      </c>
      <c r="G11" s="8" t="s">
        <v>77</v>
      </c>
      <c r="H11" s="7" t="s">
        <v>121</v>
      </c>
      <c r="I11" s="10" t="s">
        <v>146</v>
      </c>
      <c r="J11" s="7">
        <v>2</v>
      </c>
      <c r="K11" s="7"/>
    </row>
    <row r="12" spans="1:11" ht="48.75" thickBot="1" x14ac:dyDescent="0.3">
      <c r="A12" s="1"/>
      <c r="B12" s="11">
        <f t="shared" si="0"/>
        <v>10</v>
      </c>
      <c r="C12" s="13" t="s">
        <v>7</v>
      </c>
      <c r="D12" s="9" t="s">
        <v>23</v>
      </c>
      <c r="E12" s="10" t="s">
        <v>53</v>
      </c>
      <c r="F12" s="9" t="s">
        <v>78</v>
      </c>
      <c r="G12" s="10" t="s">
        <v>99</v>
      </c>
      <c r="H12" s="9" t="s">
        <v>122</v>
      </c>
      <c r="I12" s="10" t="s">
        <v>146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6</v>
      </c>
      <c r="D13" s="7" t="s">
        <v>24</v>
      </c>
      <c r="E13" s="8" t="s">
        <v>52</v>
      </c>
      <c r="F13" s="9" t="s">
        <v>147</v>
      </c>
      <c r="G13" s="8" t="s">
        <v>79</v>
      </c>
      <c r="H13" s="7" t="s">
        <v>121</v>
      </c>
      <c r="I13" s="10" t="s">
        <v>146</v>
      </c>
      <c r="J13" s="7">
        <v>4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6</v>
      </c>
      <c r="D14" s="9" t="s">
        <v>25</v>
      </c>
      <c r="E14" s="10" t="s">
        <v>52</v>
      </c>
      <c r="F14" s="9" t="s">
        <v>147</v>
      </c>
      <c r="G14" s="10" t="s">
        <v>80</v>
      </c>
      <c r="H14" s="9" t="s">
        <v>121</v>
      </c>
      <c r="I14" s="10" t="s">
        <v>146</v>
      </c>
      <c r="J14" s="9">
        <v>3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8</v>
      </c>
      <c r="D15" s="7" t="s">
        <v>26</v>
      </c>
      <c r="E15" s="8" t="s">
        <v>54</v>
      </c>
      <c r="F15" s="9" t="s">
        <v>147</v>
      </c>
      <c r="G15" s="8" t="s">
        <v>81</v>
      </c>
      <c r="H15" s="7" t="s">
        <v>123</v>
      </c>
      <c r="I15" s="8" t="s">
        <v>134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9</v>
      </c>
      <c r="D16" s="9" t="s">
        <v>27</v>
      </c>
      <c r="E16" s="10" t="s">
        <v>55</v>
      </c>
      <c r="F16" s="9" t="s">
        <v>82</v>
      </c>
      <c r="G16" s="10" t="s">
        <v>100</v>
      </c>
      <c r="H16" s="9" t="s">
        <v>124</v>
      </c>
      <c r="I16" s="10" t="s">
        <v>146</v>
      </c>
      <c r="J16" s="9">
        <v>3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10</v>
      </c>
      <c r="D17" s="7" t="s">
        <v>28</v>
      </c>
      <c r="E17" s="8" t="s">
        <v>56</v>
      </c>
      <c r="F17" s="7" t="s">
        <v>83</v>
      </c>
      <c r="G17" s="8" t="s">
        <v>101</v>
      </c>
      <c r="H17" s="7" t="s">
        <v>115</v>
      </c>
      <c r="I17" s="8" t="s">
        <v>135</v>
      </c>
      <c r="J17" s="7">
        <v>13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29</v>
      </c>
      <c r="E18" s="10" t="s">
        <v>57</v>
      </c>
      <c r="F18" s="9" t="s">
        <v>84</v>
      </c>
      <c r="G18" s="10" t="s">
        <v>102</v>
      </c>
      <c r="H18" s="9" t="s">
        <v>115</v>
      </c>
      <c r="I18" s="10" t="s">
        <v>136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11</v>
      </c>
      <c r="D19" s="7" t="s">
        <v>30</v>
      </c>
      <c r="E19" s="8" t="s">
        <v>57</v>
      </c>
      <c r="F19" s="7" t="s">
        <v>84</v>
      </c>
      <c r="G19" s="8" t="s">
        <v>102</v>
      </c>
      <c r="H19" s="7" t="s">
        <v>115</v>
      </c>
      <c r="I19" s="8" t="s">
        <v>135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10</v>
      </c>
      <c r="D20" s="9" t="s">
        <v>31</v>
      </c>
      <c r="E20" s="10" t="s">
        <v>58</v>
      </c>
      <c r="F20" s="9" t="s">
        <v>85</v>
      </c>
      <c r="G20" s="10" t="s">
        <v>103</v>
      </c>
      <c r="H20" s="9" t="s">
        <v>115</v>
      </c>
      <c r="I20" s="10" t="s">
        <v>137</v>
      </c>
      <c r="J20" s="9">
        <v>4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11</v>
      </c>
      <c r="D21" s="7" t="s">
        <v>32</v>
      </c>
      <c r="E21" s="8" t="s">
        <v>59</v>
      </c>
      <c r="F21" s="7" t="s">
        <v>85</v>
      </c>
      <c r="G21" s="8" t="s">
        <v>104</v>
      </c>
      <c r="H21" s="7" t="s">
        <v>115</v>
      </c>
      <c r="I21" s="8" t="s">
        <v>135</v>
      </c>
      <c r="J21" s="7">
        <v>4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10</v>
      </c>
      <c r="D22" s="9" t="s">
        <v>33</v>
      </c>
      <c r="E22" s="10" t="s">
        <v>60</v>
      </c>
      <c r="F22" s="9" t="s">
        <v>83</v>
      </c>
      <c r="G22" s="10" t="s">
        <v>105</v>
      </c>
      <c r="H22" s="9" t="s">
        <v>115</v>
      </c>
      <c r="I22" s="10" t="s">
        <v>138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34</v>
      </c>
      <c r="E23" s="8" t="s">
        <v>58</v>
      </c>
      <c r="F23" s="7" t="s">
        <v>85</v>
      </c>
      <c r="G23" s="8" t="s">
        <v>103</v>
      </c>
      <c r="H23" s="7" t="s">
        <v>115</v>
      </c>
      <c r="I23" s="8" t="s">
        <v>136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10</v>
      </c>
      <c r="D24" s="9" t="s">
        <v>35</v>
      </c>
      <c r="E24" s="10" t="s">
        <v>61</v>
      </c>
      <c r="F24" s="9" t="s">
        <v>86</v>
      </c>
      <c r="G24" s="10" t="s">
        <v>106</v>
      </c>
      <c r="H24" s="9" t="s">
        <v>125</v>
      </c>
      <c r="I24" s="10" t="s">
        <v>139</v>
      </c>
      <c r="J24" s="9">
        <v>3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10</v>
      </c>
      <c r="D25" s="7" t="s">
        <v>36</v>
      </c>
      <c r="E25" s="8" t="s">
        <v>62</v>
      </c>
      <c r="F25" s="7" t="s">
        <v>85</v>
      </c>
      <c r="G25" s="8" t="s">
        <v>107</v>
      </c>
      <c r="H25" s="7" t="s">
        <v>115</v>
      </c>
      <c r="I25" s="8" t="s">
        <v>140</v>
      </c>
      <c r="J25" s="7">
        <v>3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10</v>
      </c>
      <c r="D26" s="9" t="s">
        <v>37</v>
      </c>
      <c r="E26" s="10" t="s">
        <v>63</v>
      </c>
      <c r="F26" s="9" t="s">
        <v>83</v>
      </c>
      <c r="G26" s="10" t="s">
        <v>108</v>
      </c>
      <c r="H26" s="9" t="s">
        <v>115</v>
      </c>
      <c r="I26" s="10" t="s">
        <v>141</v>
      </c>
      <c r="J26" s="9">
        <v>3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10</v>
      </c>
      <c r="D27" s="7" t="s">
        <v>38</v>
      </c>
      <c r="E27" s="8" t="s">
        <v>64</v>
      </c>
      <c r="F27" s="7" t="s">
        <v>83</v>
      </c>
      <c r="G27" s="8" t="s">
        <v>109</v>
      </c>
      <c r="H27" s="7" t="s">
        <v>126</v>
      </c>
      <c r="I27" s="8" t="s">
        <v>142</v>
      </c>
      <c r="J27" s="7">
        <v>3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12</v>
      </c>
      <c r="D28" s="9" t="s">
        <v>39</v>
      </c>
      <c r="E28" s="10" t="s">
        <v>65</v>
      </c>
      <c r="F28" s="9" t="s">
        <v>87</v>
      </c>
      <c r="G28" s="10" t="s">
        <v>110</v>
      </c>
      <c r="H28" s="9" t="s">
        <v>127</v>
      </c>
      <c r="I28" s="10" t="s">
        <v>146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12</v>
      </c>
      <c r="D29" s="7" t="s">
        <v>40</v>
      </c>
      <c r="E29" s="8" t="s">
        <v>66</v>
      </c>
      <c r="F29" s="7" t="s">
        <v>88</v>
      </c>
      <c r="G29" s="8" t="s">
        <v>111</v>
      </c>
      <c r="H29" s="7" t="s">
        <v>128</v>
      </c>
      <c r="I29" s="10" t="s">
        <v>146</v>
      </c>
      <c r="J29" s="7">
        <v>2</v>
      </c>
      <c r="K29" s="7"/>
    </row>
    <row r="30" spans="1:11" ht="36.75" thickBot="1" x14ac:dyDescent="0.3">
      <c r="A30" s="1"/>
      <c r="B30" s="11">
        <f t="shared" si="0"/>
        <v>28</v>
      </c>
      <c r="C30" s="12" t="s">
        <v>12</v>
      </c>
      <c r="D30" s="9" t="s">
        <v>41</v>
      </c>
      <c r="E30" s="10" t="s">
        <v>67</v>
      </c>
      <c r="F30" s="9" t="s">
        <v>89</v>
      </c>
      <c r="G30" s="10" t="s">
        <v>112</v>
      </c>
      <c r="H30" s="9" t="s">
        <v>129</v>
      </c>
      <c r="I30" s="10" t="s">
        <v>146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12</v>
      </c>
      <c r="D31" s="7" t="s">
        <v>42</v>
      </c>
      <c r="E31" s="8" t="s">
        <v>68</v>
      </c>
      <c r="F31" s="7" t="s">
        <v>90</v>
      </c>
      <c r="G31" s="8" t="s">
        <v>113</v>
      </c>
      <c r="H31" s="7" t="s">
        <v>130</v>
      </c>
      <c r="I31" s="10" t="s">
        <v>146</v>
      </c>
      <c r="J31" s="7">
        <v>3</v>
      </c>
      <c r="K31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2025-07-18T15:06:03Z</dcterms:modified>
</cp:coreProperties>
</file>