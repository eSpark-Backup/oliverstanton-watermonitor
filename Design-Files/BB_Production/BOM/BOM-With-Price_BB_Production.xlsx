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6780" activeTab="1"/>
  </bookViews>
  <sheets>
    <sheet name="5 Boards" sheetId="1" r:id="rId1"/>
    <sheet name="10 Boards" sheetId="3" r:id="rId2"/>
    <sheet name="100 Board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<sst xmlns="http://schemas.openxmlformats.org/spreadsheetml/2006/main" count="1020" uniqueCount="256">
  <si>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</si>
  <si>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</si>
  <si>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</si>
  <si>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</si>
  <si>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</si>
  <si>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</si>
  <si>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</si>
  <si>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Alternate Part Number</t>
  </si>
  <si>
    <t>LCSC Part Number</t>
  </si>
  <si>
    <t>Value</t>
  </si>
  <si>
    <t>Quantity</t>
  </si>
  <si>
    <t>Quantity (5 Boards)</t>
  </si>
  <si>
    <t>MOQ (5 Boards)</t>
  </si>
  <si>
    <t>Links</t>
  </si>
  <si>
    <t>Unit Cost (5 Boards)</t>
  </si>
  <si>
    <t>Total Cost (5 Boards)</t>
  </si>
  <si>
    <t xml:space="preserve"> Remarks</t>
  </si>
  <si>
    <t>Capacitor</t>
  </si>
  <si>
    <t>C1, C2</t>
  </si>
  <si>
    <t>CAP CER 0.1UF 50V Y5V 0603</t>
  </si>
  <si>
    <t>Cap-0603</t>
  </si>
  <si>
    <t>CC0603ZRY5V9BB104</t>
  </si>
  <si>
    <t>Yageo</t>
  </si>
  <si>
    <t>-</t>
  </si>
  <si>
    <t>C106221</t>
  </si>
  <si>
    <t>0.1uF</t>
  </si>
  <si>
    <t>LCSC</t>
  </si>
  <si>
    <t>C3</t>
  </si>
  <si>
    <t>CAP TANT 100UF 20% 10V 1411</t>
  </si>
  <si>
    <t>Case-B</t>
  </si>
  <si>
    <t>TAJB107M010RNJ</t>
  </si>
  <si>
    <t>Kyocera AVX</t>
  </si>
  <si>
    <t>C7196</t>
  </si>
  <si>
    <t>100uF</t>
  </si>
  <si>
    <t>5</t>
  </si>
  <si>
    <t>0.2615</t>
  </si>
  <si>
    <t>https://lcsc.com/product-detail/tantalum-capacitors_kyocera-avx-tajb107m010rnj_C7196.html</t>
  </si>
  <si>
    <t>C4, C5</t>
  </si>
  <si>
    <t>CAP CER 47UF 25V X5R 1206</t>
  </si>
  <si>
    <t>Cap-1206</t>
  </si>
  <si>
    <t>GRM31CR61E476ME44L</t>
  </si>
  <si>
    <t>Murata</t>
  </si>
  <si>
    <t>C403725</t>
  </si>
  <si>
    <t>47uF</t>
  </si>
  <si>
    <t>10</t>
  </si>
  <si>
    <t>0.2845</t>
  </si>
  <si>
    <t>https://lcsc.com/product-detail/multilayer-ceramic-capacitors-mlcc-smd-smt_murata-grm31cr61e476me44l_C403725.html</t>
  </si>
  <si>
    <t>Capacitors</t>
  </si>
  <si>
    <t>C6</t>
  </si>
  <si>
    <t>CAP CER 0.1UF 25V X7R 0402</t>
  </si>
  <si>
    <t>Cap-0402</t>
  </si>
  <si>
    <t>GRM155R71E104KE14D</t>
  </si>
  <si>
    <t>C77014</t>
  </si>
  <si>
    <t>100</t>
  </si>
  <si>
    <t>0.0030</t>
  </si>
  <si>
    <t>https://lcsc.com/product-detail/multilayer-ceramic-capacitors-mlcc-smd-smt_murata-grm155r71e104ke14d_C77014.html</t>
  </si>
  <si>
    <t>C7, C8, C9, C10, C11</t>
  </si>
  <si>
    <t>CAP CER 0.1UF 16V X7R 0402</t>
  </si>
  <si>
    <t>CC0402JRX7R7BB104</t>
  </si>
  <si>
    <t>C541464</t>
  </si>
  <si>
    <t>0.0017</t>
  </si>
  <si>
    <t>https://lcsc.com/product-detail/multilayer-ceramic-capacitors-mlcc-smd-smt_yageo-cc0402jrx7r7bb104_C541464.html</t>
  </si>
  <si>
    <t>Diode</t>
  </si>
  <si>
    <t>D1</t>
  </si>
  <si>
    <t>SCHOTTKY DIODE SMB 100V 5A</t>
  </si>
  <si>
    <t>SMB_</t>
  </si>
  <si>
    <t>SS510B</t>
  </si>
  <si>
    <t>MDD</t>
  </si>
  <si>
    <t>C3011128</t>
  </si>
  <si>
    <t>0.0362</t>
  </si>
  <si>
    <t>https://lcsc.com/product-detail/schottky-diodes_juxing-ss510b_C3011128.html</t>
  </si>
  <si>
    <t>D2, D3</t>
  </si>
  <si>
    <t>SOT-23 TVS ROHS</t>
  </si>
  <si>
    <t>SOT-23</t>
  </si>
  <si>
    <t>SM712</t>
  </si>
  <si>
    <t>TECH PUBLIC</t>
  </si>
  <si>
    <t>C521963</t>
  </si>
  <si>
    <t>0.0397</t>
  </si>
  <si>
    <t>https://lcsc.com/product-detail/esd-and-surge-protection-tvs-esd_tech-public-sm712_C521963.html</t>
  </si>
  <si>
    <t>Wire To Board Connector</t>
  </si>
  <si>
    <t>J1</t>
  </si>
  <si>
    <t>1x16P PicoBlade(MX 1.25) 16P Tin 16 -25℃~+85℃ 2A 1 1.25mm Brass Surface Mount,Vertical SMD,P=1.25mm Wire To Board Connector ROHS</t>
  </si>
  <si>
    <t>Custom</t>
  </si>
  <si>
    <t>HC-1.25-16PLT</t>
  </si>
  <si>
    <t>HCTL</t>
  </si>
  <si>
    <t>C3012301</t>
  </si>
  <si>
    <t>0.1995</t>
  </si>
  <si>
    <t>https://lcsc.com/product-detail/wire-to-board-connector_hctl-hc-1-25-16plt_C3012301.html</t>
  </si>
  <si>
    <t>Terminal Blocks</t>
  </si>
  <si>
    <t>J2, J4</t>
  </si>
  <si>
    <t>TERMINAL BLOCK, SCREW TYPE, 5.08</t>
  </si>
  <si>
    <t>TB008A-508-04BE</t>
  </si>
  <si>
    <t>Same Sky</t>
  </si>
  <si>
    <t>Mouser</t>
  </si>
  <si>
    <t>Male Header</t>
  </si>
  <si>
    <t>J3, J5</t>
  </si>
  <si>
    <t>Gold 250V 3A Straight Square Pins 2.5mm 2P 260℃ 6mm -40℃~+105℃ 3mm 2.54mm Plugin Black Brass 1x2P Plugin,P=2.54mm Pin Headers ROHS</t>
  </si>
  <si>
    <t>HDR1X2_</t>
  </si>
  <si>
    <t>X6511WV-02H-C60D30</t>
  </si>
  <si>
    <t>XKB</t>
  </si>
  <si>
    <t>C706874</t>
  </si>
  <si>
    <t>20</t>
  </si>
  <si>
    <t>0.0308</t>
  </si>
  <si>
    <t>https://lcsc.com/product-detail/pin-headers_xkb-connection-x6511wv-02h-c60d30_C706874.html</t>
  </si>
  <si>
    <t>J6, J7, J8, J12</t>
  </si>
  <si>
    <t>TB008A-508-02BE</t>
  </si>
  <si>
    <t>J9, J10, J11</t>
  </si>
  <si>
    <t>TB008A-508-03BE</t>
  </si>
  <si>
    <t>Inductor</t>
  </si>
  <si>
    <t>L1</t>
  </si>
  <si>
    <t>3.5A 47uH ±20% 4A 125mΩ SMD,10x11mm Inductors (SMD) ROHS</t>
  </si>
  <si>
    <t>MDA1040-470M</t>
  </si>
  <si>
    <t>KOHERelec</t>
  </si>
  <si>
    <t>C2847557</t>
  </si>
  <si>
    <t>47uH</t>
  </si>
  <si>
    <t>0.9397</t>
  </si>
  <si>
    <t>https://lcsc.com/product-detail/inductors-smd_koherelec-mda1040-470m_C2847557.html</t>
  </si>
  <si>
    <t>Mosfet</t>
  </si>
  <si>
    <t>Q1, Q2, Q3</t>
  </si>
  <si>
    <t>Single N-Channel, 20V, 4.7A, Power MOSFET</t>
  </si>
  <si>
    <t>sot-23</t>
  </si>
  <si>
    <t>WNM2016A-3/TR</t>
  </si>
  <si>
    <t>WILLSEMI</t>
  </si>
  <si>
    <t>C601105</t>
  </si>
  <si>
    <t>0.0637</t>
  </si>
  <si>
    <t>https://lcsc.com/product-detail/mosfets_willsemi-wnm2016a-3-tr_C601105.html</t>
  </si>
  <si>
    <t>Resistor</t>
  </si>
  <si>
    <t>R1, R2, R3, R4, R5, R6, R7, R8, R9, R10, R11, R12, R13</t>
  </si>
  <si>
    <t>RES 0 OHM JUMPER 1/10W 0603</t>
  </si>
  <si>
    <t>Res-0603</t>
  </si>
  <si>
    <t>RC0603JR-070RL</t>
  </si>
  <si>
    <t>C95177</t>
  </si>
  <si>
    <t>0R</t>
  </si>
  <si>
    <t>0.0011</t>
  </si>
  <si>
    <t>https://lcsc.com/product-detail/chip-resistor-surface-mount_yageo-rc0603jr-070rl_C95177.html</t>
  </si>
  <si>
    <t>Resistors</t>
  </si>
  <si>
    <t>R14</t>
  </si>
  <si>
    <t>RES 0 OHM JUMPER 1/4W 1206</t>
  </si>
  <si>
    <t>Res-1206</t>
  </si>
  <si>
    <t>RC1206JR-070RL</t>
  </si>
  <si>
    <t>C108081</t>
  </si>
  <si>
    <t>DNP</t>
  </si>
  <si>
    <t>DO NOT PLACE</t>
  </si>
  <si>
    <t>https://lcsc.com/product-detail/chip-resistor-surface-mount_yageo-rc1206jr-070rl_C108081.html</t>
  </si>
  <si>
    <t>R15</t>
  </si>
  <si>
    <t>0.0031</t>
  </si>
  <si>
    <t>R16, R20, R22, R26</t>
  </si>
  <si>
    <t>RES 10K OHM 1% 1/16W 0402</t>
  </si>
  <si>
    <t>Res-0402</t>
  </si>
  <si>
    <t>RC0402FR-0710KL</t>
  </si>
  <si>
    <t>C60490</t>
  </si>
  <si>
    <t>10K</t>
  </si>
  <si>
    <t>0.0006</t>
  </si>
  <si>
    <t>https://lcsc.com/product-detail/chip-resistor-surface-mount_yageo-rc0402fr-0710kl_C60490.html</t>
  </si>
  <si>
    <t>R17, R18, R23, R24</t>
  </si>
  <si>
    <t>RES 0 OHM JUMPER 1/16W 0402</t>
  </si>
  <si>
    <t>RC0402FR-070RL</t>
  </si>
  <si>
    <t>C106231</t>
  </si>
  <si>
    <t>https://lcsc.com/product-detail/chip-resistor-surface-mount_yageo-rc0402fr-070rl_C106231.html</t>
  </si>
  <si>
    <t>R19, R25</t>
  </si>
  <si>
    <t>RES 120 OHM 1% 1/10W 0603</t>
  </si>
  <si>
    <t>RC0603FR-07120RL</t>
  </si>
  <si>
    <t>C114640</t>
  </si>
  <si>
    <t>120R</t>
  </si>
  <si>
    <t>0.0012</t>
  </si>
  <si>
    <t>https://lcsc.com/product-detail/chip-resistor-surface-mount_yageo-rc0603fr-07120rl_C114640.html</t>
  </si>
  <si>
    <t>R21, R27</t>
  </si>
  <si>
    <t>R28, R30, R38</t>
  </si>
  <si>
    <t>RES SMD 100 OHM 1% 1/4W 0603</t>
  </si>
  <si>
    <t>RES-0603</t>
  </si>
  <si>
    <t>RCA0603100RFKEAHP</t>
  </si>
  <si>
    <t>Vishay Dale</t>
  </si>
  <si>
    <t>C2074203</t>
  </si>
  <si>
    <t>100R</t>
  </si>
  <si>
    <t>15</t>
  </si>
  <si>
    <t>0.0972</t>
  </si>
  <si>
    <t>https://lcsc.com/product-detail/chip-resistor-surface-mount_vishay-rca0603100rfkeahp_C2074203.html</t>
  </si>
  <si>
    <t>R29, R37, R39</t>
  </si>
  <si>
    <t>RES 1K OHM 1% 1/16W 0402</t>
  </si>
  <si>
    <t>RC0402FR-071KL</t>
  </si>
  <si>
    <t>C106235</t>
  </si>
  <si>
    <t>1K</t>
  </si>
  <si>
    <t>https://lcsc.com/product-detail/chip-resistor-surface-mount_yageo-rc0402fr-071kl_C106235.html</t>
  </si>
  <si>
    <t>R31, R33, R35</t>
  </si>
  <si>
    <t>RES 2.2K OHM 1% 1/10W 0603</t>
  </si>
  <si>
    <t>RC0603FR-072K2L</t>
  </si>
  <si>
    <t>C114662</t>
  </si>
  <si>
    <t>2.2K</t>
  </si>
  <si>
    <t>https://lcsc.com/product-detail/chip-resistor-surface-mount_yageo-rc0603fr-072k2l_C114662.html</t>
  </si>
  <si>
    <t>R32, R34, R36</t>
  </si>
  <si>
    <t>RES SMD 3.3K OHM 1% 1/10W 0603</t>
  </si>
  <si>
    <t>RC0603FR-073K3L</t>
  </si>
  <si>
    <t>Yageo Phycomp</t>
  </si>
  <si>
    <t>C108078</t>
  </si>
  <si>
    <t>3.3K</t>
  </si>
  <si>
    <t>https://lcsc.com/product-detail/chip-resistor-surface-mount_yageo-rc0603fr-073k3l_C108078.html</t>
  </si>
  <si>
    <t>IC</t>
  </si>
  <si>
    <t>U1</t>
  </si>
  <si>
    <t>IC REG BUCK 3.3V 2A 8SOP</t>
  </si>
  <si>
    <t>SOP-8L</t>
  </si>
  <si>
    <t>AP1509-33SG-13</t>
  </si>
  <si>
    <t>Diodes</t>
  </si>
  <si>
    <t>C151823</t>
  </si>
  <si>
    <t>0.4689</t>
  </si>
  <si>
    <t>https://lcsc.com/product-detail/dc-dc-converters_diodes-ap1509-33sg-13_C151823.html</t>
  </si>
  <si>
    <t>U2, U3</t>
  </si>
  <si>
    <t>SOP-8 RS-485/RS-422 ICs ROHS</t>
  </si>
  <si>
    <t>SOP-8</t>
  </si>
  <si>
    <t>SP3485EIM/TR</t>
  </si>
  <si>
    <t>HGSEMI</t>
  </si>
  <si>
    <t>C519086</t>
  </si>
  <si>
    <t>0.2422</t>
  </si>
  <si>
    <t>https://lcsc.com/product-detail/rs-485-rs-422-ics_hgsemi-sp3485eim-tr_C519086.html</t>
  </si>
  <si>
    <t>U4, U5, U6</t>
  </si>
  <si>
    <t>TransistorOptocouplers DC 1 2500Vrms SOP-4_P1.27 Optocouplers RoHS</t>
  </si>
  <si>
    <t>SOP-4_1.27</t>
  </si>
  <si>
    <t>PS2801C-1-F3-A</t>
  </si>
  <si>
    <t>RENESAS</t>
  </si>
  <si>
    <t>C67112</t>
  </si>
  <si>
    <t>0.2725</t>
  </si>
  <si>
    <t>https://lcsc.com/product-detail/transistor-photovoltaic-output-optoisolators_renesas-ps2801c-1-f3-a_C67112.html</t>
  </si>
  <si>
    <t>U7, U8, U9</t>
  </si>
  <si>
    <t>IC GATE DRVR LOW-SIDE SOT23-5</t>
  </si>
  <si>
    <t>SOT-23-5</t>
  </si>
  <si>
    <t>UCC27517DBVR</t>
  </si>
  <si>
    <t>Texas Instruments</t>
  </si>
  <si>
    <t>C99395</t>
  </si>
  <si>
    <t>0.2074</t>
  </si>
  <si>
    <t>https://lcsc.com/product-detail/gate-drivers_ti-ucc27517dbvr_C99395.html</t>
  </si>
  <si>
    <t xml:space="preserve">Total Component Cost </t>
  </si>
  <si>
    <t>Single Board Cost</t>
  </si>
  <si>
    <t>Quantity (10 Boards)</t>
  </si>
  <si>
    <t>MOQ (10 Boards)</t>
  </si>
  <si>
    <t>Unit Cost (10 Boards)</t>
  </si>
  <si>
    <t>Total Cost (10 Boards)</t>
  </si>
  <si>
    <t>Quantity (100 Boards)</t>
  </si>
  <si>
    <t>MOQ (100 Boards)</t>
  </si>
  <si>
    <t>Unit Cost (100 Boards)</t>
  </si>
  <si>
    <t>Total Cost (100 Boards)</t>
  </si>
  <si>
    <t>0.1524</t>
  </si>
  <si>
    <t>0.1887</t>
  </si>
  <si>
    <t>0.0284</t>
  </si>
  <si>
    <t>0.1572</t>
  </si>
  <si>
    <t>0.0244</t>
  </si>
  <si>
    <t>0.5998</t>
  </si>
  <si>
    <t>300</t>
  </si>
  <si>
    <t>0.0441</t>
  </si>
  <si>
    <t>1300</t>
  </si>
  <si>
    <t>0.0008</t>
  </si>
  <si>
    <t>400</t>
  </si>
  <si>
    <t>200</t>
  </si>
  <si>
    <t>0.0377</t>
  </si>
  <si>
    <t>0.2767</t>
  </si>
  <si>
    <t>0.1703</t>
  </si>
  <si>
    <t>0.2018</t>
  </si>
  <si>
    <t>0.1398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</si>
</sst>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00"/>
    <numFmt numFmtId="179" formatCode="&quot;$&quot;#,##0.00"/>
  </numFmts>
  <fonts count="31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u/>
      <sz val="11"/>
      <color indexed="12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trike/>
      <sz val="11"/>
      <color rgb="FFFF00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indexed="12"/>
      <name val="宋体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20" applyNumberFormat="0" applyAlignment="0" applyProtection="0">
      <alignment vertical="center"/>
    </xf>
    <xf numFmtId="0" fontId="21" fillId="7" borderId="21" applyNumberFormat="0" applyAlignment="0" applyProtection="0">
      <alignment vertical="center"/>
    </xf>
    <xf numFmtId="0" fontId="22" fillId="7" borderId="20" applyNumberFormat="0" applyAlignment="0" applyProtection="0">
      <alignment vertical="center"/>
    </xf>
    <xf numFmtId="0" fontId="23" fillId="8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7" fillId="0" borderId="4" xfId="6" applyFont="1" applyBorder="1" applyAlignment="1">
      <alignment horizontal="center" vertical="center" wrapText="1"/>
    </xf>
    <xf numFmtId="178" fontId="5" fillId="2" borderId="9" xfId="0" applyNumberFormat="1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178" fontId="5" fillId="2" borderId="12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78" fontId="6" fillId="2" borderId="12" xfId="0" applyNumberFormat="1" applyFont="1" applyFill="1" applyBorder="1" applyAlignment="1">
      <alignment horizontal="center" vertical="center" wrapText="1"/>
    </xf>
    <xf numFmtId="0" fontId="7" fillId="0" borderId="13" xfId="6" applyFont="1" applyBorder="1" applyAlignment="1">
      <alignment horizontal="center" vertical="center" wrapText="1"/>
    </xf>
    <xf numFmtId="0" fontId="8" fillId="4" borderId="5" xfId="0" applyFont="1" applyFill="1" applyBorder="1" applyAlignment="1" applyProtection="1">
      <alignment horizontal="center" vertical="top"/>
      <protection locked="0"/>
    </xf>
    <xf numFmtId="0" fontId="8" fillId="4" borderId="14" xfId="0" applyFont="1" applyFill="1" applyBorder="1" applyAlignment="1" applyProtection="1">
      <alignment horizontal="center" vertical="top"/>
      <protection locked="0"/>
    </xf>
    <xf numFmtId="178" fontId="5" fillId="2" borderId="3" xfId="0" applyNumberFormat="1" applyFont="1" applyFill="1" applyBorder="1" applyAlignment="1">
      <alignment horizontal="center" vertical="center" wrapText="1"/>
    </xf>
    <xf numFmtId="178" fontId="5" fillId="2" borderId="4" xfId="0" applyNumberFormat="1" applyFont="1" applyFill="1" applyBorder="1" applyAlignment="1">
      <alignment horizontal="center" vertical="center" wrapText="1"/>
    </xf>
    <xf numFmtId="178" fontId="6" fillId="2" borderId="4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79" fontId="10" fillId="4" borderId="2" xfId="0" applyNumberFormat="1" applyFont="1" applyFill="1" applyBorder="1" applyAlignment="1">
      <alignment horizontal="center" vertical="center" wrapText="1"/>
    </xf>
    <xf numFmtId="179" fontId="10" fillId="4" borderId="15" xfId="0" applyNumberFormat="1" applyFont="1" applyFill="1" applyBorder="1" applyAlignment="1">
      <alignment horizontal="center" vertical="center"/>
    </xf>
    <xf numFmtId="0" fontId="7" fillId="0" borderId="4" xfId="6" applyFont="1" applyBorder="1" applyAlignment="1">
      <alignment horizontal="center" vertical="center"/>
    </xf>
    <xf numFmtId="0" fontId="7" fillId="0" borderId="13" xfId="6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/>
    <xf numFmtId="0" fontId="12" fillId="0" borderId="0" xfId="6" applyAlignment="1"/>
    <xf numFmtId="0" fontId="12" fillId="0" borderId="16" xfId="6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csc.com/product-detail/schottky-diodes_juxing-ss510b_C3011128.html" TargetMode="External"/><Relationship Id="rId8" Type="http://schemas.openxmlformats.org/officeDocument/2006/relationships/hyperlink" Target="https://lcsc.com/product-detail/multilayer-ceramic-capacitors-mlcc-smd-smt_yageo-cc0402jrx7r7bb104_C541464.html" TargetMode="External"/><Relationship Id="rId7" Type="http://schemas.openxmlformats.org/officeDocument/2006/relationships/hyperlink" Target="https://lcsc.com/product-detail/multilayer-ceramic-capacitors-mlcc-smd-smt_murata-grm155r71e104ke14d_C77014.html" TargetMode="External"/><Relationship Id="rId6" Type="http://schemas.openxmlformats.org/officeDocument/2006/relationships/hyperlink" Target="https://lcsc.com/product-detail/multilayer-ceramic-capacitors-mlcc-smd-smt_murata-grm31cr61e476me44l_C403725.html" TargetMode="External"/><Relationship Id="rId5" Type="http://schemas.openxmlformats.org/officeDocument/2006/relationships/hyperlink" Target="https://lcsc.com/product-detail/tantalum-capacitors_kyocera-avx-tajb107m010rnj_C7196.html" TargetMode="External"/><Relationship Id="rId4" Type="http://schemas.openxmlformats.org/officeDocument/2006/relationships/hyperlink" Target="https://lcsc.com/product-detail/Multilayer-Ceramic-Capacitors-MLCC-SMD-SMT_YAGEO-CC0603ZRY5V9BB104_C106221.html?s_z=n_C106221" TargetMode="External"/><Relationship Id="rId3" Type="http://schemas.openxmlformats.org/officeDocument/2006/relationships/hyperlink" Target="https://eu.mouser.com/ProductDetail/Same-Sky/TB008A-508-03BE?qs=vLWxofP3U2ySMdcVUeIORQ%3D%3D" TargetMode="External"/><Relationship Id="rId27" Type="http://schemas.openxmlformats.org/officeDocument/2006/relationships/hyperlink" Target="https://lcsc.com/product-detail/gate-drivers_ti-ucc27517dbvr_C99395.html" TargetMode="External"/><Relationship Id="rId26" Type="http://schemas.openxmlformats.org/officeDocument/2006/relationships/hyperlink" Target="https://lcsc.com/product-detail/transistor-photovoltaic-output-optoisolators_renesas-ps2801c-1-f3-a_C67112.html" TargetMode="External"/><Relationship Id="rId25" Type="http://schemas.openxmlformats.org/officeDocument/2006/relationships/hyperlink" Target="https://lcsc.com/product-detail/rs-485-rs-422-ics_hgsemi-sp3485eim-tr_C519086.html" TargetMode="External"/><Relationship Id="rId24" Type="http://schemas.openxmlformats.org/officeDocument/2006/relationships/hyperlink" Target="https://lcsc.com/product-detail/dc-dc-converters_diodes-ap1509-33sg-13_C151823.html" TargetMode="External"/><Relationship Id="rId23" Type="http://schemas.openxmlformats.org/officeDocument/2006/relationships/hyperlink" Target="https://lcsc.com/product-detail/chip-resistor-surface-mount_yageo-rc0603fr-073k3l_C108078.html" TargetMode="External"/><Relationship Id="rId22" Type="http://schemas.openxmlformats.org/officeDocument/2006/relationships/hyperlink" Target="https://lcsc.com/product-detail/chip-resistor-surface-mount_yageo-rc0603fr-072k2l_C114662.html" TargetMode="External"/><Relationship Id="rId21" Type="http://schemas.openxmlformats.org/officeDocument/2006/relationships/hyperlink" Target="https://lcsc.com/product-detail/chip-resistor-surface-mount_yageo-rc0402fr-071kl_C106235.html" TargetMode="External"/><Relationship Id="rId20" Type="http://schemas.openxmlformats.org/officeDocument/2006/relationships/hyperlink" Target="https://lcsc.com/product-detail/chip-resistor-surface-mount_vishay-rca0603100rfkeahp_C2074203.html" TargetMode="External"/><Relationship Id="rId2" Type="http://schemas.openxmlformats.org/officeDocument/2006/relationships/hyperlink" Target="https://eu.mouser.com/ProductDetail/Same-Sky/TB008A-508-02BE?qs=vLWxofP3U2w5I2Hxj8y2hQ%3D%3D" TargetMode="External"/><Relationship Id="rId19" Type="http://schemas.openxmlformats.org/officeDocument/2006/relationships/hyperlink" Target="https://lcsc.com/product-detail/chip-resistor-surface-mount_yageo-rc0603fr-07120rl_C114640.html" TargetMode="External"/><Relationship Id="rId18" Type="http://schemas.openxmlformats.org/officeDocument/2006/relationships/hyperlink" Target="https://lcsc.com/product-detail/chip-resistor-surface-mount_yageo-rc0402fr-070rl_C106231.html" TargetMode="External"/><Relationship Id="rId17" Type="http://schemas.openxmlformats.org/officeDocument/2006/relationships/hyperlink" Target="https://lcsc.com/product-detail/chip-resistor-surface-mount_yageo-rc0402fr-0710kl_C60490.html" TargetMode="External"/><Relationship Id="rId16" Type="http://schemas.openxmlformats.org/officeDocument/2006/relationships/hyperlink" Target="https://lcsc.com/product-detail/chip-resistor-surface-mount_yageo-rc1206jr-070rl_C108081.html" TargetMode="External"/><Relationship Id="rId15" Type="http://schemas.openxmlformats.org/officeDocument/2006/relationships/hyperlink" Target="https://lcsc.com/product-detail/chip-resistor-surface-mount_yageo-rc0603jr-070rl_C95177.html" TargetMode="External"/><Relationship Id="rId14" Type="http://schemas.openxmlformats.org/officeDocument/2006/relationships/hyperlink" Target="https://lcsc.com/product-detail/mosfets_willsemi-wnm2016a-3-tr_C601105.html" TargetMode="External"/><Relationship Id="rId13" Type="http://schemas.openxmlformats.org/officeDocument/2006/relationships/hyperlink" Target="https://lcsc.com/product-detail/inductors-smd_koherelec-mda1040-470m_C2847557.html" TargetMode="External"/><Relationship Id="rId12" Type="http://schemas.openxmlformats.org/officeDocument/2006/relationships/hyperlink" Target="https://lcsc.com/product-detail/pin-headers_xkb-connection-x6511wv-02h-c60d30_C706874.html" TargetMode="External"/><Relationship Id="rId11" Type="http://schemas.openxmlformats.org/officeDocument/2006/relationships/hyperlink" Target="https://lcsc.com/product-detail/wire-to-board-connector_hctl-hc-1-25-16plt_C3012301.html" TargetMode="External"/><Relationship Id="rId10" Type="http://schemas.openxmlformats.org/officeDocument/2006/relationships/hyperlink" Target="https://lcsc.com/product-detail/esd-and-surge-protection-tvs-esd_tech-public-sm712_C521963.html" TargetMode="External"/><Relationship Id="rId1" Type="http://schemas.openxmlformats.org/officeDocument/2006/relationships/hyperlink" Target="https://eu.mouser.com/ProductDetail/Same-Sky/TB008A-508-04BE?qs=vLWxofP3U2wE%252BeCFz1tLxg%3D%3D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lcsc.com/product-detail/Multilayer-Ceramic-Capacitors-MLCC-SMD-SMT_YAGEO-CC0603ZRY5V9BB104_C106221.html?s_z=n_C106221" TargetMode="External"/><Relationship Id="rId3" Type="http://schemas.openxmlformats.org/officeDocument/2006/relationships/hyperlink" Target="https://eu.mouser.com/ProductDetail/Same-Sky/TB008A-508-03BE?qs=vLWxofP3U2ySMdcVUeIORQ%3D%3D" TargetMode="External"/><Relationship Id="rId2" Type="http://schemas.openxmlformats.org/officeDocument/2006/relationships/hyperlink" Target="https://eu.mouser.com/ProductDetail/Same-Sky/TB008A-508-02BE?qs=vLWxofP3U2w5I2Hxj8y2hQ%3D%3D" TargetMode="External"/><Relationship Id="rId1" Type="http://schemas.openxmlformats.org/officeDocument/2006/relationships/hyperlink" Target="https://eu.mouser.com/ProductDetail/Same-Sky/TB008A-508-04BE?qs=vLWxofP3U2wE%252BeCFz1tLxg%3D%3D" TargetMode="Externa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s://lcsc.com/product-detail/Multilayer-Ceramic-Capacitors-MLCC-SMD-SMT_YAGEO-CC0603ZRY5V9BB104_C106221.html?s_z=n_C106221" TargetMode="External"/><Relationship Id="rId3" Type="http://schemas.openxmlformats.org/officeDocument/2006/relationships/hyperlink" Target="https://eu.mouser.com/ProductDetail/Same-Sky/TB008A-508-03BE?qs=vLWxofP3U2ySMdcVUeIORQ%3D%3D" TargetMode="External"/><Relationship Id="rId2" Type="http://schemas.openxmlformats.org/officeDocument/2006/relationships/hyperlink" Target="https://eu.mouser.com/ProductDetail/Same-Sky/TB008A-508-02BE?qs=vLWxofP3U2w5I2Hxj8y2hQ%3D%3D" TargetMode="External"/><Relationship Id="rId1" Type="http://schemas.openxmlformats.org/officeDocument/2006/relationships/hyperlink" Target="https://eu.mouser.com/ProductDetail/Same-Sky/TB008A-508-04BE?qs=vLWxofP3U2wE%252BeCFz1tLx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B45"/>
  <sheetViews>
    <sheetView topLeftCell="J22" workbookViewId="0">
      <selection activeCell="M38" sqref="M38"/>
    </sheetView>
  </sheetViews>
  <sheetFormatPr defaultColWidth="9" defaultRowHeight="15"/>
  <cols>
    <col min="2" max="2" width="3.14285714285714" style="38" customWidth="1"/>
    <col min="3" max="3" width="18" style="38" customWidth="1"/>
    <col min="4" max="4" width="27.4285714285714" customWidth="1"/>
    <col min="5" max="5" width="30.8571428571429" customWidth="1"/>
    <col min="6" max="6" width="22.2857142857143" customWidth="1"/>
    <col min="7" max="7" width="33.4285714285714" customWidth="1"/>
    <col min="8" max="8" width="21.4285714285714" customWidth="1"/>
    <col min="9" max="9" width="21.5714285714286" customWidth="1"/>
    <col min="10" max="10" width="17" customWidth="1"/>
    <col min="11" max="11" width="6.14285714285714" customWidth="1"/>
    <col min="12" max="12" width="8.71428571428571" customWidth="1"/>
    <col min="13" max="13" width="18.2857142857143" customWidth="1"/>
    <col min="14" max="14" width="15.1428571428571" customWidth="1"/>
    <col min="15" max="15" width="7.71428571428571" customWidth="1"/>
    <col min="16" max="16" width="18.7142857142857" customWidth="1"/>
    <col min="17" max="17" width="19.2857142857143" customWidth="1"/>
    <col min="18" max="18" width="14" customWidth="1"/>
  </cols>
  <sheetData>
    <row r="1" ht="15.75" spans="1:18">
      <c r="A1" s="2"/>
      <c r="B1" s="3"/>
      <c r="C1" s="3"/>
      <c r="D1" s="4"/>
      <c r="E1" s="4"/>
      <c r="F1" s="4"/>
      <c r="G1" s="4"/>
      <c r="H1" s="4"/>
      <c r="I1" s="4"/>
      <c r="J1" s="4"/>
      <c r="K1" s="14"/>
      <c r="L1" s="14"/>
      <c r="M1" s="14"/>
      <c r="N1" s="14"/>
      <c r="O1" s="14"/>
      <c r="P1" s="14"/>
      <c r="Q1" s="14"/>
      <c r="R1" s="14"/>
    </row>
    <row r="2" ht="15.75" spans="1:18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15" t="s">
        <v>12</v>
      </c>
      <c r="O2" s="5" t="s">
        <v>13</v>
      </c>
      <c r="P2" s="16" t="s">
        <v>14</v>
      </c>
      <c r="Q2" s="5" t="s">
        <v>15</v>
      </c>
      <c r="R2" s="5" t="s">
        <v>16</v>
      </c>
    </row>
    <row r="3" spans="1:18">
      <c r="A3" s="2"/>
      <c r="B3" s="7">
        <f>ROW(B3)-ROW($B$2)</f>
        <v>1</v>
      </c>
      <c r="C3" s="8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17" t="s">
        <v>25</v>
      </c>
      <c r="L3" s="9">
        <v>2</v>
      </c>
      <c r="M3" s="9">
        <f>L3*5</f>
        <v>10</v>
      </c>
      <c r="N3" s="18">
        <v>100</v>
      </c>
      <c r="O3" s="36" t="s">
        <v>26</v>
      </c>
      <c r="P3" s="20">
        <v>0.0031</v>
      </c>
      <c r="Q3" s="30">
        <f t="shared" ref="Q3:Q17" si="0">P3*N3</f>
        <v>0.31</v>
      </c>
      <c r="R3" s="9"/>
    </row>
    <row r="4" spans="1:28">
      <c r="A4" s="2"/>
      <c r="B4" s="10">
        <f t="shared" ref="B4:B31" si="1">ROW(B4)-ROW($B$2)</f>
        <v>2</v>
      </c>
      <c r="C4" s="11" t="s">
        <v>17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9" t="s">
        <v>23</v>
      </c>
      <c r="J4" s="12" t="s">
        <v>32</v>
      </c>
      <c r="K4" s="21" t="s">
        <v>33</v>
      </c>
      <c r="L4" s="12">
        <v>1</v>
      </c>
      <c r="M4" s="12">
        <f t="shared" ref="M4:M5" si="2">L4*5</f>
        <v>5</v>
      </c>
      <c r="N4" s="22" t="s">
        <v>34</v>
      </c>
      <c r="O4" s="36" t="str">
        <f>HYPERLINK(AB4,"LCSC")</f>
        <v>LCSC</v>
      </c>
      <c r="P4" s="23" t="s">
        <v>35</v>
      </c>
      <c r="Q4" s="31">
        <f t="shared" si="0"/>
        <v>1.3075</v>
      </c>
      <c r="R4" s="12"/>
      <c r="V4" s="40"/>
      <c r="AB4" s="41" t="s">
        <v>36</v>
      </c>
    </row>
    <row r="5" spans="1:28">
      <c r="A5" s="2"/>
      <c r="B5" s="7">
        <f t="shared" si="1"/>
        <v>3</v>
      </c>
      <c r="C5" s="8" t="s">
        <v>17</v>
      </c>
      <c r="D5" s="9" t="s">
        <v>37</v>
      </c>
      <c r="E5" s="9" t="s">
        <v>38</v>
      </c>
      <c r="F5" s="9" t="s">
        <v>39</v>
      </c>
      <c r="G5" s="9" t="s">
        <v>40</v>
      </c>
      <c r="H5" s="9" t="s">
        <v>41</v>
      </c>
      <c r="I5" s="9" t="s">
        <v>23</v>
      </c>
      <c r="J5" s="9" t="s">
        <v>42</v>
      </c>
      <c r="K5" s="17" t="s">
        <v>43</v>
      </c>
      <c r="L5" s="9">
        <v>2</v>
      </c>
      <c r="M5" s="9">
        <f t="shared" si="2"/>
        <v>10</v>
      </c>
      <c r="N5" s="18" t="s">
        <v>44</v>
      </c>
      <c r="O5" s="36" t="str">
        <f t="shared" ref="O5:O31" si="3">HYPERLINK(AB5,"LCSC")</f>
        <v>LCSC</v>
      </c>
      <c r="P5" s="20" t="s">
        <v>45</v>
      </c>
      <c r="Q5" s="30">
        <f t="shared" si="0"/>
        <v>2.845</v>
      </c>
      <c r="R5" s="9"/>
      <c r="V5" s="40"/>
      <c r="AB5" s="41" t="s">
        <v>46</v>
      </c>
    </row>
    <row r="6" spans="1:28">
      <c r="A6" s="2"/>
      <c r="B6" s="10">
        <f t="shared" si="1"/>
        <v>4</v>
      </c>
      <c r="C6" s="11" t="s">
        <v>47</v>
      </c>
      <c r="D6" s="12" t="s">
        <v>48</v>
      </c>
      <c r="E6" s="12" t="s">
        <v>49</v>
      </c>
      <c r="F6" s="12" t="s">
        <v>50</v>
      </c>
      <c r="G6" s="12" t="s">
        <v>51</v>
      </c>
      <c r="H6" s="12" t="s">
        <v>41</v>
      </c>
      <c r="I6" s="9" t="s">
        <v>23</v>
      </c>
      <c r="J6" s="12" t="s">
        <v>52</v>
      </c>
      <c r="K6" s="21" t="s">
        <v>25</v>
      </c>
      <c r="L6" s="12">
        <v>1</v>
      </c>
      <c r="M6" s="12">
        <f t="shared" ref="M6:M7" si="4">L6*5</f>
        <v>5</v>
      </c>
      <c r="N6" s="22" t="s">
        <v>53</v>
      </c>
      <c r="O6" s="36" t="str">
        <f t="shared" si="3"/>
        <v>LCSC</v>
      </c>
      <c r="P6" s="23" t="s">
        <v>54</v>
      </c>
      <c r="Q6" s="31">
        <f t="shared" si="0"/>
        <v>0.3</v>
      </c>
      <c r="R6" s="12"/>
      <c r="V6" s="40"/>
      <c r="AB6" s="41" t="s">
        <v>55</v>
      </c>
    </row>
    <row r="7" spans="1:28">
      <c r="A7" s="2"/>
      <c r="B7" s="7">
        <f t="shared" si="1"/>
        <v>5</v>
      </c>
      <c r="C7" s="8" t="s">
        <v>17</v>
      </c>
      <c r="D7" s="9" t="s">
        <v>56</v>
      </c>
      <c r="E7" s="9" t="s">
        <v>57</v>
      </c>
      <c r="F7" s="9" t="s">
        <v>50</v>
      </c>
      <c r="G7" s="9" t="s">
        <v>58</v>
      </c>
      <c r="H7" s="9" t="s">
        <v>22</v>
      </c>
      <c r="I7" s="9" t="s">
        <v>23</v>
      </c>
      <c r="J7" s="9" t="s">
        <v>59</v>
      </c>
      <c r="K7" s="17" t="s">
        <v>25</v>
      </c>
      <c r="L7" s="9">
        <v>5</v>
      </c>
      <c r="M7" s="9">
        <f t="shared" si="4"/>
        <v>25</v>
      </c>
      <c r="N7" s="18" t="s">
        <v>53</v>
      </c>
      <c r="O7" s="36" t="str">
        <f t="shared" si="3"/>
        <v>LCSC</v>
      </c>
      <c r="P7" s="20" t="s">
        <v>60</v>
      </c>
      <c r="Q7" s="30">
        <f t="shared" si="0"/>
        <v>0.17</v>
      </c>
      <c r="R7" s="9"/>
      <c r="V7" s="40"/>
      <c r="AB7" s="41" t="s">
        <v>61</v>
      </c>
    </row>
    <row r="8" spans="1:28">
      <c r="A8" s="2"/>
      <c r="B8" s="10">
        <f t="shared" si="1"/>
        <v>6</v>
      </c>
      <c r="C8" s="11" t="s">
        <v>62</v>
      </c>
      <c r="D8" s="12" t="s">
        <v>63</v>
      </c>
      <c r="E8" s="12" t="s">
        <v>64</v>
      </c>
      <c r="F8" s="12" t="s">
        <v>65</v>
      </c>
      <c r="G8" s="12" t="s">
        <v>66</v>
      </c>
      <c r="H8" s="12" t="s">
        <v>67</v>
      </c>
      <c r="I8" s="9" t="s">
        <v>23</v>
      </c>
      <c r="J8" s="12" t="s">
        <v>68</v>
      </c>
      <c r="K8" s="21" t="s">
        <v>23</v>
      </c>
      <c r="L8" s="12">
        <v>1</v>
      </c>
      <c r="M8" s="12">
        <f t="shared" ref="M8:M9" si="5">L8*5</f>
        <v>5</v>
      </c>
      <c r="N8" s="22" t="s">
        <v>44</v>
      </c>
      <c r="O8" s="36" t="str">
        <f t="shared" si="3"/>
        <v>LCSC</v>
      </c>
      <c r="P8" s="23" t="s">
        <v>69</v>
      </c>
      <c r="Q8" s="31">
        <f t="shared" si="0"/>
        <v>0.362</v>
      </c>
      <c r="R8" s="12"/>
      <c r="V8" s="40"/>
      <c r="AB8" s="41" t="s">
        <v>70</v>
      </c>
    </row>
    <row r="9" spans="1:28">
      <c r="A9" s="2"/>
      <c r="B9" s="7">
        <f t="shared" si="1"/>
        <v>7</v>
      </c>
      <c r="C9" s="8" t="s">
        <v>62</v>
      </c>
      <c r="D9" s="9" t="s">
        <v>71</v>
      </c>
      <c r="E9" s="9" t="s">
        <v>72</v>
      </c>
      <c r="F9" s="9" t="s">
        <v>73</v>
      </c>
      <c r="G9" s="9" t="s">
        <v>74</v>
      </c>
      <c r="H9" s="9" t="s">
        <v>75</v>
      </c>
      <c r="I9" s="9" t="s">
        <v>23</v>
      </c>
      <c r="J9" s="9" t="s">
        <v>76</v>
      </c>
      <c r="K9" s="21" t="s">
        <v>23</v>
      </c>
      <c r="L9" s="9">
        <v>2</v>
      </c>
      <c r="M9" s="9">
        <f t="shared" si="5"/>
        <v>10</v>
      </c>
      <c r="N9" s="18" t="s">
        <v>44</v>
      </c>
      <c r="O9" s="36" t="str">
        <f t="shared" si="3"/>
        <v>LCSC</v>
      </c>
      <c r="P9" s="20" t="s">
        <v>77</v>
      </c>
      <c r="Q9" s="30">
        <f t="shared" si="0"/>
        <v>0.397</v>
      </c>
      <c r="R9" s="9"/>
      <c r="V9" s="40"/>
      <c r="AB9" s="41" t="s">
        <v>78</v>
      </c>
    </row>
    <row r="10" ht="48" spans="1:28">
      <c r="A10" s="2"/>
      <c r="B10" s="10">
        <f t="shared" si="1"/>
        <v>8</v>
      </c>
      <c r="C10" s="11" t="s">
        <v>79</v>
      </c>
      <c r="D10" s="12" t="s">
        <v>80</v>
      </c>
      <c r="E10" s="12" t="s">
        <v>81</v>
      </c>
      <c r="F10" s="12" t="s">
        <v>82</v>
      </c>
      <c r="G10" s="12" t="s">
        <v>83</v>
      </c>
      <c r="H10" s="12" t="s">
        <v>84</v>
      </c>
      <c r="I10" s="9" t="s">
        <v>23</v>
      </c>
      <c r="J10" s="12" t="s">
        <v>85</v>
      </c>
      <c r="K10" s="21" t="s">
        <v>23</v>
      </c>
      <c r="L10" s="12">
        <v>1</v>
      </c>
      <c r="M10" s="12">
        <f t="shared" ref="M10:M11" si="6">L10*5</f>
        <v>5</v>
      </c>
      <c r="N10" s="22" t="s">
        <v>34</v>
      </c>
      <c r="O10" s="36" t="str">
        <f t="shared" si="3"/>
        <v>LCSC</v>
      </c>
      <c r="P10" s="23" t="s">
        <v>86</v>
      </c>
      <c r="Q10" s="31">
        <f t="shared" si="0"/>
        <v>0.9975</v>
      </c>
      <c r="R10" s="12"/>
      <c r="V10" s="40"/>
      <c r="AB10" s="41" t="s">
        <v>87</v>
      </c>
    </row>
    <row r="11" spans="1:28">
      <c r="A11" s="2"/>
      <c r="B11" s="7">
        <f t="shared" si="1"/>
        <v>9</v>
      </c>
      <c r="C11" s="8" t="s">
        <v>88</v>
      </c>
      <c r="D11" s="9" t="s">
        <v>89</v>
      </c>
      <c r="E11" s="9" t="s">
        <v>90</v>
      </c>
      <c r="F11" s="12" t="s">
        <v>82</v>
      </c>
      <c r="G11" s="9" t="s">
        <v>91</v>
      </c>
      <c r="H11" s="9" t="s">
        <v>92</v>
      </c>
      <c r="I11" s="9" t="s">
        <v>23</v>
      </c>
      <c r="J11" s="9" t="s">
        <v>23</v>
      </c>
      <c r="K11" s="21" t="s">
        <v>23</v>
      </c>
      <c r="L11" s="9">
        <v>2</v>
      </c>
      <c r="M11" s="9">
        <f t="shared" si="6"/>
        <v>10</v>
      </c>
      <c r="N11" s="18" t="s">
        <v>44</v>
      </c>
      <c r="O11" s="36" t="s">
        <v>93</v>
      </c>
      <c r="P11" s="20">
        <v>1.14</v>
      </c>
      <c r="Q11" s="30">
        <f t="shared" si="0"/>
        <v>11.4</v>
      </c>
      <c r="R11" s="9"/>
      <c r="V11" s="40"/>
      <c r="AB11" s="41"/>
    </row>
    <row r="12" ht="48" spans="1:28">
      <c r="A12" s="2"/>
      <c r="B12" s="10">
        <f t="shared" si="1"/>
        <v>10</v>
      </c>
      <c r="C12" s="11" t="s">
        <v>94</v>
      </c>
      <c r="D12" s="12" t="s">
        <v>95</v>
      </c>
      <c r="E12" s="12" t="s">
        <v>96</v>
      </c>
      <c r="F12" s="12" t="s">
        <v>97</v>
      </c>
      <c r="G12" s="12" t="s">
        <v>98</v>
      </c>
      <c r="H12" s="12" t="s">
        <v>99</v>
      </c>
      <c r="I12" s="9" t="s">
        <v>23</v>
      </c>
      <c r="J12" s="12" t="s">
        <v>100</v>
      </c>
      <c r="K12" s="21" t="s">
        <v>23</v>
      </c>
      <c r="L12" s="12">
        <v>2</v>
      </c>
      <c r="M12" s="12">
        <f t="shared" ref="M12:M15" si="7">L12*5</f>
        <v>10</v>
      </c>
      <c r="N12" s="22" t="s">
        <v>101</v>
      </c>
      <c r="O12" s="36" t="str">
        <f t="shared" si="3"/>
        <v>LCSC</v>
      </c>
      <c r="P12" s="23" t="s">
        <v>102</v>
      </c>
      <c r="Q12" s="31">
        <f t="shared" si="0"/>
        <v>0.616</v>
      </c>
      <c r="R12" s="12"/>
      <c r="V12" s="40"/>
      <c r="AB12" s="41" t="s">
        <v>103</v>
      </c>
    </row>
    <row r="13" spans="1:28">
      <c r="A13" s="2"/>
      <c r="B13" s="7">
        <f t="shared" si="1"/>
        <v>11</v>
      </c>
      <c r="C13" s="8" t="s">
        <v>88</v>
      </c>
      <c r="D13" s="9" t="s">
        <v>104</v>
      </c>
      <c r="E13" s="9" t="s">
        <v>90</v>
      </c>
      <c r="F13" s="12" t="s">
        <v>82</v>
      </c>
      <c r="G13" s="9" t="s">
        <v>105</v>
      </c>
      <c r="H13" s="9" t="s">
        <v>92</v>
      </c>
      <c r="I13" s="9" t="s">
        <v>23</v>
      </c>
      <c r="J13" s="9" t="s">
        <v>23</v>
      </c>
      <c r="K13" s="21" t="s">
        <v>23</v>
      </c>
      <c r="L13" s="9">
        <v>4</v>
      </c>
      <c r="M13" s="12">
        <f t="shared" si="7"/>
        <v>20</v>
      </c>
      <c r="N13" s="18">
        <v>20</v>
      </c>
      <c r="O13" s="36" t="s">
        <v>93</v>
      </c>
      <c r="P13" s="20">
        <v>0.63</v>
      </c>
      <c r="Q13" s="30">
        <f t="shared" si="0"/>
        <v>12.6</v>
      </c>
      <c r="R13" s="9"/>
      <c r="V13" s="40"/>
      <c r="AB13" s="41"/>
    </row>
    <row r="14" spans="1:28">
      <c r="A14" s="2"/>
      <c r="B14" s="10">
        <f t="shared" si="1"/>
        <v>12</v>
      </c>
      <c r="C14" s="11" t="s">
        <v>88</v>
      </c>
      <c r="D14" s="12" t="s">
        <v>106</v>
      </c>
      <c r="E14" s="12" t="s">
        <v>90</v>
      </c>
      <c r="F14" s="12" t="s">
        <v>82</v>
      </c>
      <c r="G14" s="12" t="s">
        <v>107</v>
      </c>
      <c r="H14" s="12" t="s">
        <v>92</v>
      </c>
      <c r="I14" s="9" t="s">
        <v>23</v>
      </c>
      <c r="J14" s="12" t="s">
        <v>23</v>
      </c>
      <c r="K14" s="21" t="s">
        <v>23</v>
      </c>
      <c r="L14" s="12">
        <v>3</v>
      </c>
      <c r="M14" s="12">
        <f t="shared" si="7"/>
        <v>15</v>
      </c>
      <c r="N14" s="22">
        <v>15</v>
      </c>
      <c r="O14" s="36" t="s">
        <v>93</v>
      </c>
      <c r="P14" s="23">
        <v>0.75</v>
      </c>
      <c r="Q14" s="31">
        <f t="shared" si="0"/>
        <v>11.25</v>
      </c>
      <c r="R14" s="12"/>
      <c r="V14" s="40"/>
      <c r="AB14" s="41"/>
    </row>
    <row r="15" ht="24" spans="1:28">
      <c r="A15" s="2"/>
      <c r="B15" s="7">
        <f t="shared" si="1"/>
        <v>13</v>
      </c>
      <c r="C15" s="8" t="s">
        <v>108</v>
      </c>
      <c r="D15" s="9" t="s">
        <v>109</v>
      </c>
      <c r="E15" s="9" t="s">
        <v>110</v>
      </c>
      <c r="F15" s="12" t="s">
        <v>82</v>
      </c>
      <c r="G15" s="9" t="s">
        <v>111</v>
      </c>
      <c r="H15" s="9" t="s">
        <v>112</v>
      </c>
      <c r="I15" s="9" t="s">
        <v>23</v>
      </c>
      <c r="J15" s="9" t="s">
        <v>113</v>
      </c>
      <c r="K15" s="17" t="s">
        <v>114</v>
      </c>
      <c r="L15" s="9">
        <v>1</v>
      </c>
      <c r="M15" s="9">
        <f t="shared" si="7"/>
        <v>5</v>
      </c>
      <c r="N15" s="18" t="s">
        <v>34</v>
      </c>
      <c r="O15" s="36" t="str">
        <f t="shared" si="3"/>
        <v>LCSC</v>
      </c>
      <c r="P15" s="20" t="s">
        <v>115</v>
      </c>
      <c r="Q15" s="30">
        <f t="shared" si="0"/>
        <v>4.6985</v>
      </c>
      <c r="R15" s="9"/>
      <c r="V15" s="40"/>
      <c r="AB15" s="41" t="s">
        <v>116</v>
      </c>
    </row>
    <row r="16" ht="24" spans="1:28">
      <c r="A16" s="2"/>
      <c r="B16" s="10">
        <f t="shared" si="1"/>
        <v>14</v>
      </c>
      <c r="C16" s="11" t="s">
        <v>117</v>
      </c>
      <c r="D16" s="12" t="s">
        <v>118</v>
      </c>
      <c r="E16" s="12" t="s">
        <v>119</v>
      </c>
      <c r="F16" s="12" t="s">
        <v>120</v>
      </c>
      <c r="G16" s="12" t="s">
        <v>121</v>
      </c>
      <c r="H16" s="12" t="s">
        <v>122</v>
      </c>
      <c r="I16" s="9" t="s">
        <v>23</v>
      </c>
      <c r="J16" s="12" t="s">
        <v>123</v>
      </c>
      <c r="K16" s="21" t="s">
        <v>23</v>
      </c>
      <c r="L16" s="12">
        <v>3</v>
      </c>
      <c r="M16" s="12">
        <f t="shared" ref="M16:M17" si="8">L16*5</f>
        <v>15</v>
      </c>
      <c r="N16" s="22" t="s">
        <v>101</v>
      </c>
      <c r="O16" s="36" t="str">
        <f t="shared" si="3"/>
        <v>LCSC</v>
      </c>
      <c r="P16" s="23" t="s">
        <v>124</v>
      </c>
      <c r="Q16" s="31">
        <f t="shared" si="0"/>
        <v>1.274</v>
      </c>
      <c r="R16" s="12"/>
      <c r="V16" s="40"/>
      <c r="AB16" s="41" t="s">
        <v>125</v>
      </c>
    </row>
    <row r="17" ht="24" spans="1:28">
      <c r="A17" s="2"/>
      <c r="B17" s="7">
        <f t="shared" si="1"/>
        <v>15</v>
      </c>
      <c r="C17" s="8" t="s">
        <v>126</v>
      </c>
      <c r="D17" s="9" t="s">
        <v>127</v>
      </c>
      <c r="E17" s="9" t="s">
        <v>128</v>
      </c>
      <c r="F17" s="9" t="s">
        <v>129</v>
      </c>
      <c r="G17" s="9" t="s">
        <v>130</v>
      </c>
      <c r="H17" s="9" t="s">
        <v>22</v>
      </c>
      <c r="I17" s="9" t="s">
        <v>23</v>
      </c>
      <c r="J17" s="9" t="s">
        <v>131</v>
      </c>
      <c r="K17" s="17" t="s">
        <v>132</v>
      </c>
      <c r="L17" s="9">
        <v>13</v>
      </c>
      <c r="M17" s="9">
        <f t="shared" si="8"/>
        <v>65</v>
      </c>
      <c r="N17" s="18" t="s">
        <v>53</v>
      </c>
      <c r="O17" s="36" t="str">
        <f t="shared" si="3"/>
        <v>LCSC</v>
      </c>
      <c r="P17" s="20" t="s">
        <v>133</v>
      </c>
      <c r="Q17" s="30">
        <f t="shared" si="0"/>
        <v>0.11</v>
      </c>
      <c r="R17" s="9"/>
      <c r="V17" s="40"/>
      <c r="AB17" s="41" t="s">
        <v>134</v>
      </c>
    </row>
    <row r="18" spans="1:28">
      <c r="A18" s="2"/>
      <c r="B18" s="10">
        <f t="shared" si="1"/>
        <v>16</v>
      </c>
      <c r="C18" s="11" t="s">
        <v>135</v>
      </c>
      <c r="D18" s="13" t="s">
        <v>136</v>
      </c>
      <c r="E18" s="13" t="s">
        <v>137</v>
      </c>
      <c r="F18" s="13" t="s">
        <v>138</v>
      </c>
      <c r="G18" s="13" t="s">
        <v>139</v>
      </c>
      <c r="H18" s="13" t="s">
        <v>22</v>
      </c>
      <c r="I18" s="9" t="s">
        <v>23</v>
      </c>
      <c r="J18" s="13" t="s">
        <v>140</v>
      </c>
      <c r="K18" s="24" t="s">
        <v>141</v>
      </c>
      <c r="L18" s="13">
        <v>1</v>
      </c>
      <c r="M18" s="13">
        <f t="shared" ref="M18:M19" si="9">L18*5</f>
        <v>5</v>
      </c>
      <c r="N18" s="25" t="s">
        <v>53</v>
      </c>
      <c r="O18" s="36" t="str">
        <f t="shared" si="3"/>
        <v>LCSC</v>
      </c>
      <c r="P18" s="26" t="s">
        <v>23</v>
      </c>
      <c r="Q18" s="32" t="s">
        <v>23</v>
      </c>
      <c r="R18" s="33" t="s">
        <v>142</v>
      </c>
      <c r="V18" s="40"/>
      <c r="AB18" s="41" t="s">
        <v>143</v>
      </c>
    </row>
    <row r="19" spans="1:28">
      <c r="A19" s="2"/>
      <c r="B19" s="7">
        <f t="shared" si="1"/>
        <v>17</v>
      </c>
      <c r="C19" s="8" t="s">
        <v>135</v>
      </c>
      <c r="D19" s="9" t="s">
        <v>144</v>
      </c>
      <c r="E19" s="9" t="s">
        <v>137</v>
      </c>
      <c r="F19" s="9" t="s">
        <v>138</v>
      </c>
      <c r="G19" s="9" t="s">
        <v>139</v>
      </c>
      <c r="H19" s="9" t="s">
        <v>22</v>
      </c>
      <c r="I19" s="9" t="s">
        <v>23</v>
      </c>
      <c r="J19" s="9" t="s">
        <v>140</v>
      </c>
      <c r="K19" s="17" t="s">
        <v>132</v>
      </c>
      <c r="L19" s="9">
        <v>1</v>
      </c>
      <c r="M19" s="9">
        <f t="shared" si="9"/>
        <v>5</v>
      </c>
      <c r="N19" s="18" t="s">
        <v>53</v>
      </c>
      <c r="O19" s="36" t="str">
        <f t="shared" si="3"/>
        <v>LCSC</v>
      </c>
      <c r="P19" s="20" t="s">
        <v>145</v>
      </c>
      <c r="Q19" s="30">
        <f>P19*N19</f>
        <v>0.31</v>
      </c>
      <c r="R19" s="9"/>
      <c r="V19" s="40"/>
      <c r="AB19" s="41" t="s">
        <v>143</v>
      </c>
    </row>
    <row r="20" spans="1:28">
      <c r="A20" s="2"/>
      <c r="B20" s="10">
        <f t="shared" si="1"/>
        <v>18</v>
      </c>
      <c r="C20" s="11" t="s">
        <v>126</v>
      </c>
      <c r="D20" s="12" t="s">
        <v>146</v>
      </c>
      <c r="E20" s="12" t="s">
        <v>147</v>
      </c>
      <c r="F20" s="12" t="s">
        <v>148</v>
      </c>
      <c r="G20" s="12" t="s">
        <v>149</v>
      </c>
      <c r="H20" s="12" t="s">
        <v>22</v>
      </c>
      <c r="I20" s="9" t="s">
        <v>23</v>
      </c>
      <c r="J20" s="12" t="s">
        <v>150</v>
      </c>
      <c r="K20" s="21" t="s">
        <v>151</v>
      </c>
      <c r="L20" s="12">
        <v>4</v>
      </c>
      <c r="M20" s="12">
        <f t="shared" ref="M20:M21" si="10">L20*5</f>
        <v>20</v>
      </c>
      <c r="N20" s="22" t="s">
        <v>53</v>
      </c>
      <c r="O20" s="36" t="str">
        <f t="shared" si="3"/>
        <v>LCSC</v>
      </c>
      <c r="P20" s="23" t="s">
        <v>152</v>
      </c>
      <c r="Q20" s="31">
        <f>P20*N20</f>
        <v>0.06</v>
      </c>
      <c r="R20" s="12"/>
      <c r="V20" s="40"/>
      <c r="AB20" s="41" t="s">
        <v>153</v>
      </c>
    </row>
    <row r="21" spans="1:28">
      <c r="A21" s="2"/>
      <c r="B21" s="7">
        <f t="shared" si="1"/>
        <v>19</v>
      </c>
      <c r="C21" s="8" t="s">
        <v>135</v>
      </c>
      <c r="D21" s="9" t="s">
        <v>154</v>
      </c>
      <c r="E21" s="9" t="s">
        <v>155</v>
      </c>
      <c r="F21" s="9" t="s">
        <v>148</v>
      </c>
      <c r="G21" s="9" t="s">
        <v>156</v>
      </c>
      <c r="H21" s="9" t="s">
        <v>22</v>
      </c>
      <c r="I21" s="9" t="s">
        <v>23</v>
      </c>
      <c r="J21" s="9" t="s">
        <v>157</v>
      </c>
      <c r="K21" s="17" t="s">
        <v>132</v>
      </c>
      <c r="L21" s="9">
        <v>4</v>
      </c>
      <c r="M21" s="9">
        <f t="shared" si="10"/>
        <v>20</v>
      </c>
      <c r="N21" s="18" t="s">
        <v>53</v>
      </c>
      <c r="O21" s="36" t="str">
        <f t="shared" si="3"/>
        <v>LCSC</v>
      </c>
      <c r="P21" s="20" t="s">
        <v>152</v>
      </c>
      <c r="Q21" s="30">
        <f>P21*N21</f>
        <v>0.06</v>
      </c>
      <c r="R21" s="9"/>
      <c r="V21" s="40"/>
      <c r="AB21" s="41" t="s">
        <v>158</v>
      </c>
    </row>
    <row r="22" spans="1:28">
      <c r="A22" s="2"/>
      <c r="B22" s="10">
        <f t="shared" si="1"/>
        <v>20</v>
      </c>
      <c r="C22" s="11" t="s">
        <v>126</v>
      </c>
      <c r="D22" s="12" t="s">
        <v>159</v>
      </c>
      <c r="E22" s="12" t="s">
        <v>160</v>
      </c>
      <c r="F22" s="12" t="s">
        <v>129</v>
      </c>
      <c r="G22" s="12" t="s">
        <v>161</v>
      </c>
      <c r="H22" s="12" t="s">
        <v>22</v>
      </c>
      <c r="I22" s="9" t="s">
        <v>23</v>
      </c>
      <c r="J22" s="12" t="s">
        <v>162</v>
      </c>
      <c r="K22" s="21" t="s">
        <v>163</v>
      </c>
      <c r="L22" s="12">
        <v>2</v>
      </c>
      <c r="M22" s="12">
        <f t="shared" ref="M22:M23" si="11">L22*5</f>
        <v>10</v>
      </c>
      <c r="N22" s="22" t="s">
        <v>53</v>
      </c>
      <c r="O22" s="36" t="str">
        <f t="shared" si="3"/>
        <v>LCSC</v>
      </c>
      <c r="P22" s="23" t="s">
        <v>164</v>
      </c>
      <c r="Q22" s="31">
        <f>P22*N22</f>
        <v>0.12</v>
      </c>
      <c r="R22" s="12"/>
      <c r="V22" s="40"/>
      <c r="AB22" s="41" t="s">
        <v>165</v>
      </c>
    </row>
    <row r="23" spans="1:28">
      <c r="A23" s="2"/>
      <c r="B23" s="7">
        <f t="shared" si="1"/>
        <v>21</v>
      </c>
      <c r="C23" s="8" t="s">
        <v>126</v>
      </c>
      <c r="D23" s="13" t="s">
        <v>166</v>
      </c>
      <c r="E23" s="13" t="s">
        <v>147</v>
      </c>
      <c r="F23" s="13" t="s">
        <v>148</v>
      </c>
      <c r="G23" s="13" t="s">
        <v>149</v>
      </c>
      <c r="H23" s="13" t="s">
        <v>22</v>
      </c>
      <c r="I23" s="9" t="s">
        <v>23</v>
      </c>
      <c r="J23" s="13" t="s">
        <v>150</v>
      </c>
      <c r="K23" s="24" t="s">
        <v>141</v>
      </c>
      <c r="L23" s="13">
        <v>2</v>
      </c>
      <c r="M23" s="13">
        <f t="shared" si="11"/>
        <v>10</v>
      </c>
      <c r="N23" s="25" t="s">
        <v>53</v>
      </c>
      <c r="O23" s="36" t="str">
        <f t="shared" si="3"/>
        <v>LCSC</v>
      </c>
      <c r="P23" s="26" t="s">
        <v>23</v>
      </c>
      <c r="Q23" s="32" t="s">
        <v>23</v>
      </c>
      <c r="R23" s="33" t="s">
        <v>142</v>
      </c>
      <c r="V23" s="40"/>
      <c r="AB23" s="41" t="s">
        <v>153</v>
      </c>
    </row>
    <row r="24" spans="1:28">
      <c r="A24" s="2"/>
      <c r="B24" s="10">
        <f t="shared" si="1"/>
        <v>22</v>
      </c>
      <c r="C24" s="8" t="s">
        <v>126</v>
      </c>
      <c r="D24" s="12" t="s">
        <v>167</v>
      </c>
      <c r="E24" s="12" t="s">
        <v>168</v>
      </c>
      <c r="F24" s="12" t="s">
        <v>169</v>
      </c>
      <c r="G24" s="12" t="s">
        <v>170</v>
      </c>
      <c r="H24" s="12" t="s">
        <v>171</v>
      </c>
      <c r="I24" s="9" t="s">
        <v>23</v>
      </c>
      <c r="J24" s="12" t="s">
        <v>172</v>
      </c>
      <c r="K24" s="21" t="s">
        <v>173</v>
      </c>
      <c r="L24" s="12">
        <v>3</v>
      </c>
      <c r="M24" s="12">
        <f t="shared" ref="M24:M25" si="12">L24*5</f>
        <v>15</v>
      </c>
      <c r="N24" s="22" t="s">
        <v>174</v>
      </c>
      <c r="O24" s="36" t="str">
        <f t="shared" si="3"/>
        <v>LCSC</v>
      </c>
      <c r="P24" s="23" t="s">
        <v>175</v>
      </c>
      <c r="Q24" s="31">
        <f t="shared" ref="Q24:Q31" si="13">P24*N24</f>
        <v>1.458</v>
      </c>
      <c r="R24" s="12"/>
      <c r="V24" s="40"/>
      <c r="AB24" s="41" t="s">
        <v>176</v>
      </c>
    </row>
    <row r="25" spans="1:28">
      <c r="A25" s="2"/>
      <c r="B25" s="7">
        <f t="shared" si="1"/>
        <v>23</v>
      </c>
      <c r="C25" s="8" t="s">
        <v>126</v>
      </c>
      <c r="D25" s="9" t="s">
        <v>177</v>
      </c>
      <c r="E25" s="9" t="s">
        <v>178</v>
      </c>
      <c r="F25" s="9" t="s">
        <v>148</v>
      </c>
      <c r="G25" s="9" t="s">
        <v>179</v>
      </c>
      <c r="H25" s="9" t="s">
        <v>22</v>
      </c>
      <c r="I25" s="9" t="s">
        <v>23</v>
      </c>
      <c r="J25" s="9" t="s">
        <v>180</v>
      </c>
      <c r="K25" s="17" t="s">
        <v>181</v>
      </c>
      <c r="L25" s="9">
        <v>3</v>
      </c>
      <c r="M25" s="9">
        <f t="shared" si="12"/>
        <v>15</v>
      </c>
      <c r="N25" s="18" t="s">
        <v>53</v>
      </c>
      <c r="O25" s="36" t="str">
        <f t="shared" si="3"/>
        <v>LCSC</v>
      </c>
      <c r="P25" s="20" t="s">
        <v>152</v>
      </c>
      <c r="Q25" s="30">
        <f t="shared" si="13"/>
        <v>0.06</v>
      </c>
      <c r="R25" s="9"/>
      <c r="V25" s="40"/>
      <c r="AB25" s="41" t="s">
        <v>182</v>
      </c>
    </row>
    <row r="26" spans="1:28">
      <c r="A26" s="2"/>
      <c r="B26" s="10">
        <f t="shared" si="1"/>
        <v>24</v>
      </c>
      <c r="C26" s="11" t="s">
        <v>126</v>
      </c>
      <c r="D26" s="12" t="s">
        <v>183</v>
      </c>
      <c r="E26" s="12" t="s">
        <v>184</v>
      </c>
      <c r="F26" s="12" t="s">
        <v>129</v>
      </c>
      <c r="G26" s="12" t="s">
        <v>185</v>
      </c>
      <c r="H26" s="12" t="s">
        <v>22</v>
      </c>
      <c r="I26" s="9" t="s">
        <v>23</v>
      </c>
      <c r="J26" s="12" t="s">
        <v>186</v>
      </c>
      <c r="K26" s="21" t="s">
        <v>187</v>
      </c>
      <c r="L26" s="12">
        <v>3</v>
      </c>
      <c r="M26" s="12">
        <f t="shared" ref="M26:M27" si="14">L26*5</f>
        <v>15</v>
      </c>
      <c r="N26" s="22" t="s">
        <v>53</v>
      </c>
      <c r="O26" s="36" t="str">
        <f t="shared" si="3"/>
        <v>LCSC</v>
      </c>
      <c r="P26" s="23" t="s">
        <v>164</v>
      </c>
      <c r="Q26" s="31">
        <f t="shared" si="13"/>
        <v>0.12</v>
      </c>
      <c r="R26" s="12"/>
      <c r="V26" s="40"/>
      <c r="AB26" s="41" t="s">
        <v>188</v>
      </c>
    </row>
    <row r="27" spans="1:28">
      <c r="A27" s="2"/>
      <c r="B27" s="7">
        <f t="shared" si="1"/>
        <v>25</v>
      </c>
      <c r="C27" s="8" t="s">
        <v>126</v>
      </c>
      <c r="D27" s="9" t="s">
        <v>189</v>
      </c>
      <c r="E27" s="9" t="s">
        <v>190</v>
      </c>
      <c r="F27" s="9" t="s">
        <v>129</v>
      </c>
      <c r="G27" s="9" t="s">
        <v>191</v>
      </c>
      <c r="H27" s="9" t="s">
        <v>192</v>
      </c>
      <c r="I27" s="9" t="s">
        <v>23</v>
      </c>
      <c r="J27" s="9" t="s">
        <v>193</v>
      </c>
      <c r="K27" s="17" t="s">
        <v>194</v>
      </c>
      <c r="L27" s="9">
        <v>3</v>
      </c>
      <c r="M27" s="9">
        <f t="shared" si="14"/>
        <v>15</v>
      </c>
      <c r="N27" s="18" t="s">
        <v>53</v>
      </c>
      <c r="O27" s="36" t="str">
        <f t="shared" si="3"/>
        <v>LCSC</v>
      </c>
      <c r="P27" s="20" t="s">
        <v>164</v>
      </c>
      <c r="Q27" s="30">
        <f t="shared" si="13"/>
        <v>0.12</v>
      </c>
      <c r="R27" s="9"/>
      <c r="V27" s="40"/>
      <c r="AB27" s="41" t="s">
        <v>195</v>
      </c>
    </row>
    <row r="28" spans="1:28">
      <c r="A28" s="2"/>
      <c r="B28" s="10">
        <f t="shared" si="1"/>
        <v>26</v>
      </c>
      <c r="C28" s="11" t="s">
        <v>196</v>
      </c>
      <c r="D28" s="12" t="s">
        <v>197</v>
      </c>
      <c r="E28" s="12" t="s">
        <v>198</v>
      </c>
      <c r="F28" s="12" t="s">
        <v>199</v>
      </c>
      <c r="G28" s="12" t="s">
        <v>200</v>
      </c>
      <c r="H28" s="12" t="s">
        <v>201</v>
      </c>
      <c r="I28" s="9" t="s">
        <v>23</v>
      </c>
      <c r="J28" s="12" t="s">
        <v>202</v>
      </c>
      <c r="K28" s="21" t="s">
        <v>23</v>
      </c>
      <c r="L28" s="12">
        <v>1</v>
      </c>
      <c r="M28" s="12">
        <f t="shared" ref="M28:M29" si="15">L28*5</f>
        <v>5</v>
      </c>
      <c r="N28" s="22" t="s">
        <v>34</v>
      </c>
      <c r="O28" s="36" t="str">
        <f t="shared" si="3"/>
        <v>LCSC</v>
      </c>
      <c r="P28" s="23" t="s">
        <v>203</v>
      </c>
      <c r="Q28" s="31">
        <f t="shared" si="13"/>
        <v>2.3445</v>
      </c>
      <c r="R28" s="12"/>
      <c r="V28" s="40"/>
      <c r="AB28" s="41" t="s">
        <v>204</v>
      </c>
    </row>
    <row r="29" spans="1:28">
      <c r="A29" s="2"/>
      <c r="B29" s="7">
        <f t="shared" si="1"/>
        <v>27</v>
      </c>
      <c r="C29" s="8" t="s">
        <v>196</v>
      </c>
      <c r="D29" s="9" t="s">
        <v>205</v>
      </c>
      <c r="E29" s="9" t="s">
        <v>206</v>
      </c>
      <c r="F29" s="9" t="s">
        <v>207</v>
      </c>
      <c r="G29" s="9" t="s">
        <v>208</v>
      </c>
      <c r="H29" s="9" t="s">
        <v>209</v>
      </c>
      <c r="I29" s="9" t="s">
        <v>23</v>
      </c>
      <c r="J29" s="9" t="s">
        <v>210</v>
      </c>
      <c r="K29" s="21" t="s">
        <v>23</v>
      </c>
      <c r="L29" s="9">
        <v>2</v>
      </c>
      <c r="M29" s="9">
        <f t="shared" si="15"/>
        <v>10</v>
      </c>
      <c r="N29" s="18" t="s">
        <v>44</v>
      </c>
      <c r="O29" s="36" t="str">
        <f t="shared" si="3"/>
        <v>LCSC</v>
      </c>
      <c r="P29" s="20" t="s">
        <v>211</v>
      </c>
      <c r="Q29" s="30">
        <f t="shared" si="13"/>
        <v>2.422</v>
      </c>
      <c r="R29" s="9"/>
      <c r="V29" s="40"/>
      <c r="AB29" s="41" t="s">
        <v>212</v>
      </c>
    </row>
    <row r="30" ht="24" spans="1:28">
      <c r="A30" s="2"/>
      <c r="B30" s="10">
        <f t="shared" si="1"/>
        <v>28</v>
      </c>
      <c r="C30" s="8" t="s">
        <v>196</v>
      </c>
      <c r="D30" s="12" t="s">
        <v>213</v>
      </c>
      <c r="E30" s="12" t="s">
        <v>214</v>
      </c>
      <c r="F30" s="12" t="s">
        <v>215</v>
      </c>
      <c r="G30" s="12" t="s">
        <v>216</v>
      </c>
      <c r="H30" s="12" t="s">
        <v>217</v>
      </c>
      <c r="I30" s="9" t="s">
        <v>23</v>
      </c>
      <c r="J30" s="12" t="s">
        <v>218</v>
      </c>
      <c r="K30" s="21" t="s">
        <v>23</v>
      </c>
      <c r="L30" s="12">
        <v>3</v>
      </c>
      <c r="M30" s="12">
        <f t="shared" ref="M30:M31" si="16">L30*5</f>
        <v>15</v>
      </c>
      <c r="N30" s="22" t="s">
        <v>174</v>
      </c>
      <c r="O30" s="36" t="str">
        <f t="shared" si="3"/>
        <v>LCSC</v>
      </c>
      <c r="P30" s="23" t="s">
        <v>219</v>
      </c>
      <c r="Q30" s="31">
        <f t="shared" si="13"/>
        <v>4.0875</v>
      </c>
      <c r="R30" s="12"/>
      <c r="V30" s="40"/>
      <c r="AB30" s="41" t="s">
        <v>220</v>
      </c>
    </row>
    <row r="31" ht="15.75" spans="1:28">
      <c r="A31" s="2"/>
      <c r="B31" s="7">
        <f t="shared" si="1"/>
        <v>29</v>
      </c>
      <c r="C31" s="8" t="s">
        <v>196</v>
      </c>
      <c r="D31" s="9" t="s">
        <v>221</v>
      </c>
      <c r="E31" s="9" t="s">
        <v>222</v>
      </c>
      <c r="F31" s="9" t="s">
        <v>223</v>
      </c>
      <c r="G31" s="9" t="s">
        <v>224</v>
      </c>
      <c r="H31" s="9" t="s">
        <v>225</v>
      </c>
      <c r="I31" s="9" t="s">
        <v>23</v>
      </c>
      <c r="J31" s="9" t="s">
        <v>226</v>
      </c>
      <c r="K31" s="21" t="s">
        <v>23</v>
      </c>
      <c r="L31" s="9">
        <v>3</v>
      </c>
      <c r="M31" s="9">
        <f t="shared" si="16"/>
        <v>15</v>
      </c>
      <c r="N31" s="18" t="s">
        <v>174</v>
      </c>
      <c r="O31" s="37" t="str">
        <f t="shared" si="3"/>
        <v>LCSC</v>
      </c>
      <c r="P31" s="20" t="s">
        <v>227</v>
      </c>
      <c r="Q31" s="30">
        <f t="shared" si="13"/>
        <v>3.111</v>
      </c>
      <c r="R31" s="9"/>
      <c r="V31" s="40"/>
      <c r="AB31" s="41" t="s">
        <v>228</v>
      </c>
    </row>
    <row r="32" ht="19.5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8" t="s">
        <v>229</v>
      </c>
      <c r="O32" s="29"/>
      <c r="P32" s="29"/>
      <c r="Q32" s="34">
        <f>SUM(Q3:Q31)</f>
        <v>62.9105</v>
      </c>
      <c r="R32" s="2"/>
    </row>
    <row r="33" ht="19.5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8" t="s">
        <v>230</v>
      </c>
      <c r="O33" s="29"/>
      <c r="P33" s="29"/>
      <c r="Q33" s="35">
        <f>Q32/5</f>
        <v>12.5821</v>
      </c>
      <c r="R33" s="2"/>
    </row>
    <row r="45" spans="13:13">
      <c r="M45" s="39"/>
    </row>
  </sheetData>
  <mergeCells count="3">
    <mergeCell ref="K1:R1"/>
    <mergeCell ref="N32:P32"/>
    <mergeCell ref="N33:P33"/>
  </mergeCells>
  <hyperlinks>
    <hyperlink ref="O11" r:id="rId1" display="Mouser"/>
    <hyperlink ref="O13" r:id="rId2" display="Mouser"/>
    <hyperlink ref="O14" r:id="rId3" display="Mouser"/>
    <hyperlink ref="O3" r:id="rId4" display="LCSC"/>
    <hyperlink ref="AB4" r:id="rId5" display="https://lcsc.com/product-detail/tantalum-capacitors_kyocera-avx-tajb107m010rnj_C7196.html"/>
    <hyperlink ref="AB5" r:id="rId6" display="https://lcsc.com/product-detail/multilayer-ceramic-capacitors-mlcc-smd-smt_murata-grm31cr61e476me44l_C403725.html"/>
    <hyperlink ref="AB6" r:id="rId7" display="https://lcsc.com/product-detail/multilayer-ceramic-capacitors-mlcc-smd-smt_murata-grm155r71e104ke14d_C77014.html"/>
    <hyperlink ref="AB7" r:id="rId8" display="https://lcsc.com/product-detail/multilayer-ceramic-capacitors-mlcc-smd-smt_yageo-cc0402jrx7r7bb104_C541464.html"/>
    <hyperlink ref="AB8" r:id="rId9" display="https://lcsc.com/product-detail/schottky-diodes_juxing-ss510b_C3011128.html"/>
    <hyperlink ref="AB9" r:id="rId10" display="https://lcsc.com/product-detail/esd-and-surge-protection-tvs-esd_tech-public-sm712_C521963.html"/>
    <hyperlink ref="AB10" r:id="rId11" display="https://lcsc.com/product-detail/wire-to-board-connector_hctl-hc-1-25-16plt_C3012301.html"/>
    <hyperlink ref="AB12" r:id="rId12" display="https://lcsc.com/product-detail/pin-headers_xkb-connection-x6511wv-02h-c60d30_C706874.html"/>
    <hyperlink ref="AB15" r:id="rId13" display="https://lcsc.com/product-detail/inductors-smd_koherelec-mda1040-470m_C2847557.html"/>
    <hyperlink ref="AB16" r:id="rId14" display="https://lcsc.com/product-detail/mosfets_willsemi-wnm2016a-3-tr_C601105.html"/>
    <hyperlink ref="AB17" r:id="rId15" display="https://lcsc.com/product-detail/chip-resistor-surface-mount_yageo-rc0603jr-070rl_C95177.html"/>
    <hyperlink ref="AB18" r:id="rId16" display="https://lcsc.com/product-detail/chip-resistor-surface-mount_yageo-rc1206jr-070rl_C108081.html"/>
    <hyperlink ref="AB19" r:id="rId16" display="https://lcsc.com/product-detail/chip-resistor-surface-mount_yageo-rc1206jr-070rl_C108081.html"/>
    <hyperlink ref="AB20" r:id="rId17" display="https://lcsc.com/product-detail/chip-resistor-surface-mount_yageo-rc0402fr-0710kl_C60490.html"/>
    <hyperlink ref="AB21" r:id="rId18" display="https://lcsc.com/product-detail/chip-resistor-surface-mount_yageo-rc0402fr-070rl_C106231.html"/>
    <hyperlink ref="AB22" r:id="rId19" display="https://lcsc.com/product-detail/chip-resistor-surface-mount_yageo-rc0603fr-07120rl_C114640.html"/>
    <hyperlink ref="AB23" r:id="rId17" display="https://lcsc.com/product-detail/chip-resistor-surface-mount_yageo-rc0402fr-0710kl_C60490.html"/>
    <hyperlink ref="AB24" r:id="rId20" display="https://lcsc.com/product-detail/chip-resistor-surface-mount_vishay-rca0603100rfkeahp_C2074203.html"/>
    <hyperlink ref="AB25" r:id="rId21" display="https://lcsc.com/product-detail/chip-resistor-surface-mount_yageo-rc0402fr-071kl_C106235.html"/>
    <hyperlink ref="AB26" r:id="rId22" display="https://lcsc.com/product-detail/chip-resistor-surface-mount_yageo-rc0603fr-072k2l_C114662.html"/>
    <hyperlink ref="AB27" r:id="rId23" display="https://lcsc.com/product-detail/chip-resistor-surface-mount_yageo-rc0603fr-073k3l_C108078.html"/>
    <hyperlink ref="AB28" r:id="rId24" display="https://lcsc.com/product-detail/dc-dc-converters_diodes-ap1509-33sg-13_C151823.html"/>
    <hyperlink ref="AB29" r:id="rId25" display="https://lcsc.com/product-detail/rs-485-rs-422-ics_hgsemi-sp3485eim-tr_C519086.html"/>
    <hyperlink ref="AB30" r:id="rId26" display="https://lcsc.com/product-detail/transistor-photovoltaic-output-optoisolators_renesas-ps2801c-1-f3-a_C67112.html"/>
    <hyperlink ref="AB31" r:id="rId27" display="https://lcsc.com/product-detail/gate-drivers_ti-ucc27517dbvr_C99395.htm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J1" workbookViewId="0">
      <selection activeCell="M9" sqref="M9"/>
    </sheetView>
  </sheetViews>
  <sheetFormatPr defaultColWidth="9.14285714285714" defaultRowHeight="15"/>
  <cols>
    <col min="2" max="2" width="3.57142857142857" customWidth="1"/>
    <col min="3" max="3" width="10.4285714285714" customWidth="1"/>
    <col min="4" max="4" width="11.2857142857143" customWidth="1"/>
    <col min="5" max="5" width="18.7142857142857" customWidth="1"/>
    <col min="6" max="6" width="9.85714285714286" customWidth="1"/>
    <col min="7" max="7" width="27.2857142857143" customWidth="1"/>
    <col min="8" max="8" width="14.1428571428571" customWidth="1"/>
    <col min="9" max="9" width="23.1428571428571" customWidth="1"/>
    <col min="10" max="10" width="18.2857142857143" customWidth="1"/>
    <col min="11" max="11" width="6.71428571428571" customWidth="1"/>
    <col min="12" max="12" width="9.28571428571429" customWidth="1"/>
    <col min="13" max="13" width="19.5714285714286" customWidth="1"/>
    <col min="14" max="14" width="16.2857142857143" customWidth="1"/>
    <col min="15" max="15" width="8.28571428571429" customWidth="1"/>
    <col min="16" max="16" width="20.1428571428571" customWidth="1"/>
    <col min="17" max="17" width="20.7142857142857" customWidth="1"/>
  </cols>
  <sheetData>
    <row r="1" ht="15.75" spans="1:18">
      <c r="A1" s="2"/>
      <c r="B1" s="3"/>
      <c r="C1" s="3"/>
      <c r="D1" s="4"/>
      <c r="E1" s="4"/>
      <c r="F1" s="4"/>
      <c r="G1" s="4"/>
      <c r="H1" s="4"/>
      <c r="I1" s="4"/>
      <c r="J1" s="4"/>
      <c r="K1" s="14"/>
      <c r="L1" s="14"/>
      <c r="M1" s="14"/>
      <c r="N1" s="14"/>
      <c r="O1" s="14"/>
      <c r="P1" s="14"/>
      <c r="Q1" s="14"/>
      <c r="R1" s="14"/>
    </row>
    <row r="2" spans="1:18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231</v>
      </c>
      <c r="N2" s="15" t="s">
        <v>232</v>
      </c>
      <c r="O2" s="5" t="s">
        <v>13</v>
      </c>
      <c r="P2" s="16" t="s">
        <v>233</v>
      </c>
      <c r="Q2" s="5" t="s">
        <v>234</v>
      </c>
      <c r="R2" s="5" t="s">
        <v>16</v>
      </c>
    </row>
    <row r="3" ht="24" spans="1:18">
      <c r="A3" s="2"/>
      <c r="B3" s="7">
        <f>ROW(B3)-ROW($B$2)</f>
        <v>1</v>
      </c>
      <c r="C3" s="8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17" t="s">
        <v>25</v>
      </c>
      <c r="L3" s="9">
        <v>2</v>
      </c>
      <c r="M3" s="9">
        <f>L3*10</f>
        <v>20</v>
      </c>
      <c r="N3" s="18">
        <v>100</v>
      </c>
      <c r="O3" s="36" t="s">
        <v>26</v>
      </c>
      <c r="P3" s="20">
        <v>0.0031</v>
      </c>
      <c r="Q3" s="30">
        <f t="shared" ref="Q3:Q17" si="0">P3*N3</f>
        <v>0.31</v>
      </c>
      <c r="R3" s="9"/>
    </row>
    <row r="4" ht="24" spans="1:18">
      <c r="A4" s="2"/>
      <c r="B4" s="10">
        <f>ROW(B4)-ROW($B$2)</f>
        <v>2</v>
      </c>
      <c r="C4" s="11" t="s">
        <v>17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9" t="s">
        <v>23</v>
      </c>
      <c r="J4" s="12" t="s">
        <v>32</v>
      </c>
      <c r="K4" s="21" t="s">
        <v>33</v>
      </c>
      <c r="L4" s="12">
        <v>1</v>
      </c>
      <c r="M4" s="9">
        <f t="shared" ref="M4:M31" si="1">L4*10</f>
        <v>10</v>
      </c>
      <c r="N4" s="22">
        <v>10</v>
      </c>
      <c r="O4" s="36" t="str">
        <f t="shared" ref="O4:O10" si="2">HYPERLINK(AB4,"LCSC")</f>
        <v>LCSC</v>
      </c>
      <c r="P4" s="23" t="s">
        <v>35</v>
      </c>
      <c r="Q4" s="31">
        <f t="shared" si="0"/>
        <v>2.615</v>
      </c>
      <c r="R4" s="12"/>
    </row>
    <row r="5" ht="24" spans="1:18">
      <c r="A5" s="2"/>
      <c r="B5" s="7">
        <f>ROW(B5)-ROW($B$2)</f>
        <v>3</v>
      </c>
      <c r="C5" s="8" t="s">
        <v>17</v>
      </c>
      <c r="D5" s="9" t="s">
        <v>37</v>
      </c>
      <c r="E5" s="9" t="s">
        <v>38</v>
      </c>
      <c r="F5" s="9" t="s">
        <v>39</v>
      </c>
      <c r="G5" s="9" t="s">
        <v>40</v>
      </c>
      <c r="H5" s="9" t="s">
        <v>41</v>
      </c>
      <c r="I5" s="9" t="s">
        <v>23</v>
      </c>
      <c r="J5" s="9" t="s">
        <v>42</v>
      </c>
      <c r="K5" s="17" t="s">
        <v>43</v>
      </c>
      <c r="L5" s="9">
        <v>2</v>
      </c>
      <c r="M5" s="9">
        <f t="shared" si="1"/>
        <v>20</v>
      </c>
      <c r="N5" s="18">
        <v>20</v>
      </c>
      <c r="O5" s="36" t="str">
        <f t="shared" si="2"/>
        <v>LCSC</v>
      </c>
      <c r="P5" s="20" t="s">
        <v>45</v>
      </c>
      <c r="Q5" s="30">
        <f t="shared" si="0"/>
        <v>5.69</v>
      </c>
      <c r="R5" s="9"/>
    </row>
    <row r="6" ht="24" spans="1:18">
      <c r="A6" s="2"/>
      <c r="B6" s="10">
        <f>ROW(B6)-ROW($B$2)</f>
        <v>4</v>
      </c>
      <c r="C6" s="11" t="s">
        <v>47</v>
      </c>
      <c r="D6" s="12" t="s">
        <v>48</v>
      </c>
      <c r="E6" s="12" t="s">
        <v>49</v>
      </c>
      <c r="F6" s="12" t="s">
        <v>50</v>
      </c>
      <c r="G6" s="12" t="s">
        <v>51</v>
      </c>
      <c r="H6" s="12" t="s">
        <v>41</v>
      </c>
      <c r="I6" s="9" t="s">
        <v>23</v>
      </c>
      <c r="J6" s="12" t="s">
        <v>52</v>
      </c>
      <c r="K6" s="21" t="s">
        <v>25</v>
      </c>
      <c r="L6" s="12">
        <v>1</v>
      </c>
      <c r="M6" s="9">
        <f t="shared" si="1"/>
        <v>10</v>
      </c>
      <c r="N6" s="22" t="s">
        <v>53</v>
      </c>
      <c r="O6" s="36" t="str">
        <f t="shared" si="2"/>
        <v>LCSC</v>
      </c>
      <c r="P6" s="23" t="s">
        <v>54</v>
      </c>
      <c r="Q6" s="31">
        <f t="shared" si="0"/>
        <v>0.3</v>
      </c>
      <c r="R6" s="12"/>
    </row>
    <row r="7" ht="24" spans="1:18">
      <c r="A7" s="2"/>
      <c r="B7" s="7">
        <f>ROW(B7)-ROW($B$2)</f>
        <v>5</v>
      </c>
      <c r="C7" s="8" t="s">
        <v>17</v>
      </c>
      <c r="D7" s="9" t="s">
        <v>56</v>
      </c>
      <c r="E7" s="9" t="s">
        <v>57</v>
      </c>
      <c r="F7" s="9" t="s">
        <v>50</v>
      </c>
      <c r="G7" s="9" t="s">
        <v>58</v>
      </c>
      <c r="H7" s="9" t="s">
        <v>22</v>
      </c>
      <c r="I7" s="9" t="s">
        <v>23</v>
      </c>
      <c r="J7" s="9" t="s">
        <v>59</v>
      </c>
      <c r="K7" s="17" t="s">
        <v>25</v>
      </c>
      <c r="L7" s="9">
        <v>5</v>
      </c>
      <c r="M7" s="9">
        <f t="shared" si="1"/>
        <v>50</v>
      </c>
      <c r="N7" s="18" t="s">
        <v>53</v>
      </c>
      <c r="O7" s="36" t="str">
        <f t="shared" si="2"/>
        <v>LCSC</v>
      </c>
      <c r="P7" s="20" t="s">
        <v>60</v>
      </c>
      <c r="Q7" s="30">
        <f t="shared" si="0"/>
        <v>0.17</v>
      </c>
      <c r="R7" s="9"/>
    </row>
    <row r="8" ht="24" spans="1:18">
      <c r="A8" s="2"/>
      <c r="B8" s="10">
        <f>ROW(B8)-ROW($B$2)</f>
        <v>6</v>
      </c>
      <c r="C8" s="11" t="s">
        <v>62</v>
      </c>
      <c r="D8" s="12" t="s">
        <v>63</v>
      </c>
      <c r="E8" s="12" t="s">
        <v>64</v>
      </c>
      <c r="F8" s="12" t="s">
        <v>65</v>
      </c>
      <c r="G8" s="12" t="s">
        <v>66</v>
      </c>
      <c r="H8" s="12" t="s">
        <v>67</v>
      </c>
      <c r="I8" s="9" t="s">
        <v>23</v>
      </c>
      <c r="J8" s="12" t="s">
        <v>68</v>
      </c>
      <c r="K8" s="21" t="s">
        <v>23</v>
      </c>
      <c r="L8" s="12">
        <v>1</v>
      </c>
      <c r="M8" s="9">
        <f t="shared" si="1"/>
        <v>10</v>
      </c>
      <c r="N8" s="22" t="s">
        <v>44</v>
      </c>
      <c r="O8" s="36" t="str">
        <f t="shared" si="2"/>
        <v>LCSC</v>
      </c>
      <c r="P8" s="23" t="s">
        <v>69</v>
      </c>
      <c r="Q8" s="31">
        <f t="shared" si="0"/>
        <v>0.362</v>
      </c>
      <c r="R8" s="12"/>
    </row>
    <row r="9" spans="1:18">
      <c r="A9" s="2"/>
      <c r="B9" s="7">
        <f>ROW(B9)-ROW($B$2)</f>
        <v>7</v>
      </c>
      <c r="C9" s="8" t="s">
        <v>62</v>
      </c>
      <c r="D9" s="9" t="s">
        <v>71</v>
      </c>
      <c r="E9" s="9" t="s">
        <v>72</v>
      </c>
      <c r="F9" s="9" t="s">
        <v>73</v>
      </c>
      <c r="G9" s="9" t="s">
        <v>74</v>
      </c>
      <c r="H9" s="9" t="s">
        <v>75</v>
      </c>
      <c r="I9" s="9" t="s">
        <v>23</v>
      </c>
      <c r="J9" s="9" t="s">
        <v>76</v>
      </c>
      <c r="K9" s="21" t="s">
        <v>23</v>
      </c>
      <c r="L9" s="9">
        <v>2</v>
      </c>
      <c r="M9" s="9">
        <f t="shared" si="1"/>
        <v>20</v>
      </c>
      <c r="N9" s="18">
        <v>20</v>
      </c>
      <c r="O9" s="36" t="str">
        <f t="shared" si="2"/>
        <v>LCSC</v>
      </c>
      <c r="P9" s="20" t="s">
        <v>77</v>
      </c>
      <c r="Q9" s="30">
        <f t="shared" si="0"/>
        <v>0.794</v>
      </c>
      <c r="R9" s="9"/>
    </row>
    <row r="10" ht="84" spans="1:18">
      <c r="A10" s="2"/>
      <c r="B10" s="10">
        <f>ROW(B10)-ROW($B$2)</f>
        <v>8</v>
      </c>
      <c r="C10" s="11" t="s">
        <v>79</v>
      </c>
      <c r="D10" s="12" t="s">
        <v>80</v>
      </c>
      <c r="E10" s="12" t="s">
        <v>81</v>
      </c>
      <c r="F10" s="12" t="s">
        <v>82</v>
      </c>
      <c r="G10" s="12" t="s">
        <v>83</v>
      </c>
      <c r="H10" s="12" t="s">
        <v>84</v>
      </c>
      <c r="I10" s="9" t="s">
        <v>23</v>
      </c>
      <c r="J10" s="12" t="s">
        <v>85</v>
      </c>
      <c r="K10" s="21" t="s">
        <v>23</v>
      </c>
      <c r="L10" s="12">
        <v>1</v>
      </c>
      <c r="M10" s="9">
        <f t="shared" si="1"/>
        <v>10</v>
      </c>
      <c r="N10" s="22">
        <v>10</v>
      </c>
      <c r="O10" s="36" t="str">
        <f t="shared" si="2"/>
        <v>LCSC</v>
      </c>
      <c r="P10" s="23" t="s">
        <v>86</v>
      </c>
      <c r="Q10" s="31">
        <f t="shared" si="0"/>
        <v>1.995</v>
      </c>
      <c r="R10" s="12"/>
    </row>
    <row r="11" ht="25.5" spans="1:18">
      <c r="A11" s="2"/>
      <c r="B11" s="7">
        <f>ROW(B11)-ROW($B$2)</f>
        <v>9</v>
      </c>
      <c r="C11" s="8" t="s">
        <v>88</v>
      </c>
      <c r="D11" s="9" t="s">
        <v>89</v>
      </c>
      <c r="E11" s="9" t="s">
        <v>90</v>
      </c>
      <c r="F11" s="12" t="s">
        <v>82</v>
      </c>
      <c r="G11" s="9" t="s">
        <v>91</v>
      </c>
      <c r="H11" s="9" t="s">
        <v>92</v>
      </c>
      <c r="I11" s="9" t="s">
        <v>23</v>
      </c>
      <c r="J11" s="9" t="s">
        <v>23</v>
      </c>
      <c r="K11" s="21" t="s">
        <v>23</v>
      </c>
      <c r="L11" s="9">
        <v>2</v>
      </c>
      <c r="M11" s="9">
        <f t="shared" si="1"/>
        <v>20</v>
      </c>
      <c r="N11" s="18">
        <v>20</v>
      </c>
      <c r="O11" s="36" t="s">
        <v>93</v>
      </c>
      <c r="P11" s="20">
        <v>1.14</v>
      </c>
      <c r="Q11" s="30">
        <f t="shared" si="0"/>
        <v>22.8</v>
      </c>
      <c r="R11" s="9"/>
    </row>
    <row r="12" ht="84" spans="1:18">
      <c r="A12" s="2"/>
      <c r="B12" s="10">
        <f>ROW(B12)-ROW($B$2)</f>
        <v>10</v>
      </c>
      <c r="C12" s="11" t="s">
        <v>94</v>
      </c>
      <c r="D12" s="12" t="s">
        <v>95</v>
      </c>
      <c r="E12" s="12" t="s">
        <v>96</v>
      </c>
      <c r="F12" s="12" t="s">
        <v>97</v>
      </c>
      <c r="G12" s="12" t="s">
        <v>98</v>
      </c>
      <c r="H12" s="12" t="s">
        <v>99</v>
      </c>
      <c r="I12" s="9" t="s">
        <v>23</v>
      </c>
      <c r="J12" s="12" t="s">
        <v>100</v>
      </c>
      <c r="K12" s="21" t="s">
        <v>23</v>
      </c>
      <c r="L12" s="12">
        <v>2</v>
      </c>
      <c r="M12" s="9">
        <f t="shared" si="1"/>
        <v>20</v>
      </c>
      <c r="N12" s="22" t="s">
        <v>101</v>
      </c>
      <c r="O12" s="36" t="str">
        <f t="shared" ref="O12:O31" si="3">HYPERLINK(AB12,"LCSC")</f>
        <v>LCSC</v>
      </c>
      <c r="P12" s="23" t="s">
        <v>102</v>
      </c>
      <c r="Q12" s="31">
        <f t="shared" si="0"/>
        <v>0.616</v>
      </c>
      <c r="R12" s="12"/>
    </row>
    <row r="13" ht="25.5" spans="1:18">
      <c r="A13" s="2"/>
      <c r="B13" s="7">
        <f>ROW(B13)-ROW($B$2)</f>
        <v>11</v>
      </c>
      <c r="C13" s="8" t="s">
        <v>88</v>
      </c>
      <c r="D13" s="9" t="s">
        <v>104</v>
      </c>
      <c r="E13" s="9" t="s">
        <v>90</v>
      </c>
      <c r="F13" s="12" t="s">
        <v>82</v>
      </c>
      <c r="G13" s="9" t="s">
        <v>105</v>
      </c>
      <c r="H13" s="9" t="s">
        <v>92</v>
      </c>
      <c r="I13" s="9" t="s">
        <v>23</v>
      </c>
      <c r="J13" s="9" t="s">
        <v>23</v>
      </c>
      <c r="K13" s="21" t="s">
        <v>23</v>
      </c>
      <c r="L13" s="9">
        <v>4</v>
      </c>
      <c r="M13" s="9">
        <f t="shared" si="1"/>
        <v>40</v>
      </c>
      <c r="N13" s="18">
        <v>40</v>
      </c>
      <c r="O13" s="36" t="s">
        <v>93</v>
      </c>
      <c r="P13" s="20">
        <v>0.63</v>
      </c>
      <c r="Q13" s="30">
        <f t="shared" si="0"/>
        <v>25.2</v>
      </c>
      <c r="R13" s="9"/>
    </row>
    <row r="14" ht="25.5" spans="1:18">
      <c r="A14" s="2"/>
      <c r="B14" s="10">
        <f>ROW(B14)-ROW($B$2)</f>
        <v>12</v>
      </c>
      <c r="C14" s="11" t="s">
        <v>88</v>
      </c>
      <c r="D14" s="12" t="s">
        <v>106</v>
      </c>
      <c r="E14" s="12" t="s">
        <v>90</v>
      </c>
      <c r="F14" s="12" t="s">
        <v>82</v>
      </c>
      <c r="G14" s="12" t="s">
        <v>107</v>
      </c>
      <c r="H14" s="12" t="s">
        <v>92</v>
      </c>
      <c r="I14" s="9" t="s">
        <v>23</v>
      </c>
      <c r="J14" s="12" t="s">
        <v>23</v>
      </c>
      <c r="K14" s="21" t="s">
        <v>23</v>
      </c>
      <c r="L14" s="12">
        <v>3</v>
      </c>
      <c r="M14" s="9">
        <f t="shared" si="1"/>
        <v>30</v>
      </c>
      <c r="N14" s="22">
        <v>30</v>
      </c>
      <c r="O14" s="36" t="s">
        <v>93</v>
      </c>
      <c r="P14" s="23">
        <v>0.75</v>
      </c>
      <c r="Q14" s="31">
        <f t="shared" si="0"/>
        <v>22.5</v>
      </c>
      <c r="R14" s="12"/>
    </row>
    <row r="15" ht="36" spans="1:18">
      <c r="A15" s="2"/>
      <c r="B15" s="7">
        <f>ROW(B15)-ROW($B$2)</f>
        <v>13</v>
      </c>
      <c r="C15" s="8" t="s">
        <v>108</v>
      </c>
      <c r="D15" s="9" t="s">
        <v>109</v>
      </c>
      <c r="E15" s="9" t="s">
        <v>110</v>
      </c>
      <c r="F15" s="12" t="s">
        <v>82</v>
      </c>
      <c r="G15" s="9" t="s">
        <v>111</v>
      </c>
      <c r="H15" s="9" t="s">
        <v>112</v>
      </c>
      <c r="I15" s="9" t="s">
        <v>23</v>
      </c>
      <c r="J15" s="9" t="s">
        <v>113</v>
      </c>
      <c r="K15" s="17" t="s">
        <v>114</v>
      </c>
      <c r="L15" s="9">
        <v>1</v>
      </c>
      <c r="M15" s="9">
        <f t="shared" si="1"/>
        <v>10</v>
      </c>
      <c r="N15" s="18">
        <v>10</v>
      </c>
      <c r="O15" s="36" t="str">
        <f t="shared" si="3"/>
        <v>LCSC</v>
      </c>
      <c r="P15" s="20" t="s">
        <v>115</v>
      </c>
      <c r="Q15" s="30">
        <f t="shared" si="0"/>
        <v>9.397</v>
      </c>
      <c r="R15" s="9"/>
    </row>
    <row r="16" ht="24" spans="1:18">
      <c r="A16" s="2"/>
      <c r="B16" s="10">
        <f>ROW(B16)-ROW($B$2)</f>
        <v>14</v>
      </c>
      <c r="C16" s="11" t="s">
        <v>117</v>
      </c>
      <c r="D16" s="12" t="s">
        <v>118</v>
      </c>
      <c r="E16" s="12" t="s">
        <v>119</v>
      </c>
      <c r="F16" s="12" t="s">
        <v>120</v>
      </c>
      <c r="G16" s="12" t="s">
        <v>121</v>
      </c>
      <c r="H16" s="12" t="s">
        <v>122</v>
      </c>
      <c r="I16" s="9" t="s">
        <v>23</v>
      </c>
      <c r="J16" s="12" t="s">
        <v>123</v>
      </c>
      <c r="K16" s="21" t="s">
        <v>23</v>
      </c>
      <c r="L16" s="12">
        <v>3</v>
      </c>
      <c r="M16" s="9">
        <f t="shared" si="1"/>
        <v>30</v>
      </c>
      <c r="N16" s="22">
        <v>30</v>
      </c>
      <c r="O16" s="36" t="str">
        <f t="shared" si="3"/>
        <v>LCSC</v>
      </c>
      <c r="P16" s="23" t="s">
        <v>124</v>
      </c>
      <c r="Q16" s="31">
        <f t="shared" si="0"/>
        <v>1.911</v>
      </c>
      <c r="R16" s="12"/>
    </row>
    <row r="17" ht="48" spans="1:18">
      <c r="A17" s="2"/>
      <c r="B17" s="7">
        <f>ROW(B17)-ROW($B$2)</f>
        <v>15</v>
      </c>
      <c r="C17" s="8" t="s">
        <v>126</v>
      </c>
      <c r="D17" s="9" t="s">
        <v>127</v>
      </c>
      <c r="E17" s="9" t="s">
        <v>128</v>
      </c>
      <c r="F17" s="9" t="s">
        <v>129</v>
      </c>
      <c r="G17" s="9" t="s">
        <v>130</v>
      </c>
      <c r="H17" s="9" t="s">
        <v>22</v>
      </c>
      <c r="I17" s="9" t="s">
        <v>23</v>
      </c>
      <c r="J17" s="9" t="s">
        <v>131</v>
      </c>
      <c r="K17" s="17" t="s">
        <v>132</v>
      </c>
      <c r="L17" s="9">
        <v>13</v>
      </c>
      <c r="M17" s="9">
        <f t="shared" si="1"/>
        <v>130</v>
      </c>
      <c r="N17" s="18">
        <v>200</v>
      </c>
      <c r="O17" s="36" t="str">
        <f t="shared" si="3"/>
        <v>LCSC</v>
      </c>
      <c r="P17" s="20" t="s">
        <v>133</v>
      </c>
      <c r="Q17" s="30">
        <f t="shared" si="0"/>
        <v>0.22</v>
      </c>
      <c r="R17" s="9"/>
    </row>
    <row r="18" ht="30" spans="1:18">
      <c r="A18" s="2"/>
      <c r="B18" s="10">
        <f>ROW(B18)-ROW($B$2)</f>
        <v>16</v>
      </c>
      <c r="C18" s="11" t="s">
        <v>135</v>
      </c>
      <c r="D18" s="13" t="s">
        <v>136</v>
      </c>
      <c r="E18" s="13" t="s">
        <v>137</v>
      </c>
      <c r="F18" s="13" t="s">
        <v>138</v>
      </c>
      <c r="G18" s="13" t="s">
        <v>139</v>
      </c>
      <c r="H18" s="13" t="s">
        <v>22</v>
      </c>
      <c r="I18" s="9" t="s">
        <v>23</v>
      </c>
      <c r="J18" s="13" t="s">
        <v>140</v>
      </c>
      <c r="K18" s="24" t="s">
        <v>141</v>
      </c>
      <c r="L18" s="13">
        <v>1</v>
      </c>
      <c r="M18" s="9">
        <f t="shared" si="1"/>
        <v>10</v>
      </c>
      <c r="N18" s="25" t="s">
        <v>53</v>
      </c>
      <c r="O18" s="36" t="str">
        <f t="shared" si="3"/>
        <v>LCSC</v>
      </c>
      <c r="P18" s="26" t="s">
        <v>23</v>
      </c>
      <c r="Q18" s="32" t="s">
        <v>23</v>
      </c>
      <c r="R18" s="33" t="s">
        <v>142</v>
      </c>
    </row>
    <row r="19" ht="24" spans="1:18">
      <c r="A19" s="2"/>
      <c r="B19" s="7">
        <f>ROW(B19)-ROW($B$2)</f>
        <v>17</v>
      </c>
      <c r="C19" s="8" t="s">
        <v>135</v>
      </c>
      <c r="D19" s="9" t="s">
        <v>144</v>
      </c>
      <c r="E19" s="9" t="s">
        <v>137</v>
      </c>
      <c r="F19" s="9" t="s">
        <v>138</v>
      </c>
      <c r="G19" s="9" t="s">
        <v>139</v>
      </c>
      <c r="H19" s="9" t="s">
        <v>22</v>
      </c>
      <c r="I19" s="9" t="s">
        <v>23</v>
      </c>
      <c r="J19" s="9" t="s">
        <v>140</v>
      </c>
      <c r="K19" s="17" t="s">
        <v>132</v>
      </c>
      <c r="L19" s="9">
        <v>1</v>
      </c>
      <c r="M19" s="9">
        <f t="shared" si="1"/>
        <v>10</v>
      </c>
      <c r="N19" s="18" t="s">
        <v>53</v>
      </c>
      <c r="O19" s="36" t="str">
        <f t="shared" si="3"/>
        <v>LCSC</v>
      </c>
      <c r="P19" s="20" t="s">
        <v>145</v>
      </c>
      <c r="Q19" s="30">
        <f t="shared" ref="Q19:Q22" si="4">P19*N19</f>
        <v>0.31</v>
      </c>
      <c r="R19" s="9"/>
    </row>
    <row r="20" ht="24" spans="1:18">
      <c r="A20" s="2"/>
      <c r="B20" s="10">
        <f>ROW(B20)-ROW($B$2)</f>
        <v>18</v>
      </c>
      <c r="C20" s="11" t="s">
        <v>126</v>
      </c>
      <c r="D20" s="12" t="s">
        <v>146</v>
      </c>
      <c r="E20" s="12" t="s">
        <v>147</v>
      </c>
      <c r="F20" s="12" t="s">
        <v>148</v>
      </c>
      <c r="G20" s="12" t="s">
        <v>149</v>
      </c>
      <c r="H20" s="12" t="s">
        <v>22</v>
      </c>
      <c r="I20" s="9" t="s">
        <v>23</v>
      </c>
      <c r="J20" s="12" t="s">
        <v>150</v>
      </c>
      <c r="K20" s="21" t="s">
        <v>151</v>
      </c>
      <c r="L20" s="12">
        <v>4</v>
      </c>
      <c r="M20" s="9">
        <f t="shared" si="1"/>
        <v>40</v>
      </c>
      <c r="N20" s="22" t="s">
        <v>53</v>
      </c>
      <c r="O20" s="36" t="str">
        <f t="shared" si="3"/>
        <v>LCSC</v>
      </c>
      <c r="P20" s="23" t="s">
        <v>152</v>
      </c>
      <c r="Q20" s="31">
        <f t="shared" si="4"/>
        <v>0.06</v>
      </c>
      <c r="R20" s="12"/>
    </row>
    <row r="21" ht="24" spans="1:18">
      <c r="A21" s="2"/>
      <c r="B21" s="7">
        <f>ROW(B21)-ROW($B$2)</f>
        <v>19</v>
      </c>
      <c r="C21" s="8" t="s">
        <v>135</v>
      </c>
      <c r="D21" s="9" t="s">
        <v>154</v>
      </c>
      <c r="E21" s="9" t="s">
        <v>155</v>
      </c>
      <c r="F21" s="9" t="s">
        <v>148</v>
      </c>
      <c r="G21" s="9" t="s">
        <v>156</v>
      </c>
      <c r="H21" s="9" t="s">
        <v>22</v>
      </c>
      <c r="I21" s="9" t="s">
        <v>23</v>
      </c>
      <c r="J21" s="9" t="s">
        <v>157</v>
      </c>
      <c r="K21" s="17" t="s">
        <v>132</v>
      </c>
      <c r="L21" s="9">
        <v>4</v>
      </c>
      <c r="M21" s="9">
        <f t="shared" si="1"/>
        <v>40</v>
      </c>
      <c r="N21" s="18" t="s">
        <v>53</v>
      </c>
      <c r="O21" s="36" t="str">
        <f t="shared" si="3"/>
        <v>LCSC</v>
      </c>
      <c r="P21" s="20" t="s">
        <v>152</v>
      </c>
      <c r="Q21" s="30">
        <f t="shared" si="4"/>
        <v>0.06</v>
      </c>
      <c r="R21" s="9"/>
    </row>
    <row r="22" ht="24" spans="1:18">
      <c r="A22" s="2"/>
      <c r="B22" s="10">
        <f>ROW(B22)-ROW($B$2)</f>
        <v>20</v>
      </c>
      <c r="C22" s="11" t="s">
        <v>126</v>
      </c>
      <c r="D22" s="12" t="s">
        <v>159</v>
      </c>
      <c r="E22" s="12" t="s">
        <v>160</v>
      </c>
      <c r="F22" s="12" t="s">
        <v>129</v>
      </c>
      <c r="G22" s="12" t="s">
        <v>161</v>
      </c>
      <c r="H22" s="12" t="s">
        <v>22</v>
      </c>
      <c r="I22" s="9" t="s">
        <v>23</v>
      </c>
      <c r="J22" s="12" t="s">
        <v>162</v>
      </c>
      <c r="K22" s="21" t="s">
        <v>163</v>
      </c>
      <c r="L22" s="12">
        <v>2</v>
      </c>
      <c r="M22" s="9">
        <f t="shared" si="1"/>
        <v>20</v>
      </c>
      <c r="N22" s="22" t="s">
        <v>53</v>
      </c>
      <c r="O22" s="36" t="str">
        <f t="shared" si="3"/>
        <v>LCSC</v>
      </c>
      <c r="P22" s="23" t="s">
        <v>164</v>
      </c>
      <c r="Q22" s="31">
        <f t="shared" si="4"/>
        <v>0.12</v>
      </c>
      <c r="R22" s="12"/>
    </row>
    <row r="23" ht="30" spans="1:18">
      <c r="A23" s="2"/>
      <c r="B23" s="7">
        <f>ROW(B23)-ROW($B$2)</f>
        <v>21</v>
      </c>
      <c r="C23" s="8" t="s">
        <v>126</v>
      </c>
      <c r="D23" s="13" t="s">
        <v>166</v>
      </c>
      <c r="E23" s="13" t="s">
        <v>147</v>
      </c>
      <c r="F23" s="13" t="s">
        <v>148</v>
      </c>
      <c r="G23" s="13" t="s">
        <v>149</v>
      </c>
      <c r="H23" s="13" t="s">
        <v>22</v>
      </c>
      <c r="I23" s="9" t="s">
        <v>23</v>
      </c>
      <c r="J23" s="13" t="s">
        <v>150</v>
      </c>
      <c r="K23" s="24" t="s">
        <v>141</v>
      </c>
      <c r="L23" s="13">
        <v>2</v>
      </c>
      <c r="M23" s="9">
        <f t="shared" si="1"/>
        <v>20</v>
      </c>
      <c r="N23" s="25" t="s">
        <v>53</v>
      </c>
      <c r="O23" s="36" t="str">
        <f t="shared" si="3"/>
        <v>LCSC</v>
      </c>
      <c r="P23" s="26" t="s">
        <v>23</v>
      </c>
      <c r="Q23" s="32" t="s">
        <v>23</v>
      </c>
      <c r="R23" s="33" t="s">
        <v>142</v>
      </c>
    </row>
    <row r="24" ht="24" spans="1:18">
      <c r="A24" s="2"/>
      <c r="B24" s="10">
        <f>ROW(B24)-ROW($B$2)</f>
        <v>22</v>
      </c>
      <c r="C24" s="8" t="s">
        <v>126</v>
      </c>
      <c r="D24" s="12" t="s">
        <v>167</v>
      </c>
      <c r="E24" s="12" t="s">
        <v>168</v>
      </c>
      <c r="F24" s="12" t="s">
        <v>169</v>
      </c>
      <c r="G24" s="12" t="s">
        <v>170</v>
      </c>
      <c r="H24" s="12" t="s">
        <v>171</v>
      </c>
      <c r="I24" s="9" t="s">
        <v>23</v>
      </c>
      <c r="J24" s="12" t="s">
        <v>172</v>
      </c>
      <c r="K24" s="21" t="s">
        <v>173</v>
      </c>
      <c r="L24" s="12">
        <v>3</v>
      </c>
      <c r="M24" s="9">
        <f t="shared" si="1"/>
        <v>30</v>
      </c>
      <c r="N24" s="22">
        <v>30</v>
      </c>
      <c r="O24" s="36" t="str">
        <f t="shared" si="3"/>
        <v>LCSC</v>
      </c>
      <c r="P24" s="23" t="s">
        <v>175</v>
      </c>
      <c r="Q24" s="31">
        <f t="shared" ref="Q24:Q31" si="5">P24*N24</f>
        <v>2.916</v>
      </c>
      <c r="R24" s="12"/>
    </row>
    <row r="25" ht="24" spans="1:18">
      <c r="A25" s="2"/>
      <c r="B25" s="7">
        <f>ROW(B25)-ROW($B$2)</f>
        <v>23</v>
      </c>
      <c r="C25" s="8" t="s">
        <v>126</v>
      </c>
      <c r="D25" s="9" t="s">
        <v>177</v>
      </c>
      <c r="E25" s="9" t="s">
        <v>178</v>
      </c>
      <c r="F25" s="9" t="s">
        <v>148</v>
      </c>
      <c r="G25" s="9" t="s">
        <v>179</v>
      </c>
      <c r="H25" s="9" t="s">
        <v>22</v>
      </c>
      <c r="I25" s="9" t="s">
        <v>23</v>
      </c>
      <c r="J25" s="9" t="s">
        <v>180</v>
      </c>
      <c r="K25" s="17" t="s">
        <v>181</v>
      </c>
      <c r="L25" s="9">
        <v>3</v>
      </c>
      <c r="M25" s="9">
        <f t="shared" si="1"/>
        <v>30</v>
      </c>
      <c r="N25" s="18" t="s">
        <v>53</v>
      </c>
      <c r="O25" s="36" t="str">
        <f t="shared" si="3"/>
        <v>LCSC</v>
      </c>
      <c r="P25" s="20" t="s">
        <v>152</v>
      </c>
      <c r="Q25" s="30">
        <f t="shared" si="5"/>
        <v>0.06</v>
      </c>
      <c r="R25" s="9"/>
    </row>
    <row r="26" ht="24" spans="1:18">
      <c r="A26" s="2"/>
      <c r="B26" s="10">
        <f>ROW(B26)-ROW($B$2)</f>
        <v>24</v>
      </c>
      <c r="C26" s="11" t="s">
        <v>126</v>
      </c>
      <c r="D26" s="12" t="s">
        <v>183</v>
      </c>
      <c r="E26" s="12" t="s">
        <v>184</v>
      </c>
      <c r="F26" s="12" t="s">
        <v>129</v>
      </c>
      <c r="G26" s="12" t="s">
        <v>185</v>
      </c>
      <c r="H26" s="12" t="s">
        <v>22</v>
      </c>
      <c r="I26" s="9" t="s">
        <v>23</v>
      </c>
      <c r="J26" s="12" t="s">
        <v>186</v>
      </c>
      <c r="K26" s="21" t="s">
        <v>187</v>
      </c>
      <c r="L26" s="12">
        <v>3</v>
      </c>
      <c r="M26" s="9">
        <f t="shared" si="1"/>
        <v>30</v>
      </c>
      <c r="N26" s="22" t="s">
        <v>53</v>
      </c>
      <c r="O26" s="36" t="str">
        <f t="shared" si="3"/>
        <v>LCSC</v>
      </c>
      <c r="P26" s="23" t="s">
        <v>164</v>
      </c>
      <c r="Q26" s="31">
        <f t="shared" si="5"/>
        <v>0.12</v>
      </c>
      <c r="R26" s="12"/>
    </row>
    <row r="27" ht="24" spans="1:18">
      <c r="A27" s="2"/>
      <c r="B27" s="7">
        <f>ROW(B27)-ROW($B$2)</f>
        <v>25</v>
      </c>
      <c r="C27" s="8" t="s">
        <v>126</v>
      </c>
      <c r="D27" s="9" t="s">
        <v>189</v>
      </c>
      <c r="E27" s="9" t="s">
        <v>190</v>
      </c>
      <c r="F27" s="9" t="s">
        <v>129</v>
      </c>
      <c r="G27" s="9" t="s">
        <v>191</v>
      </c>
      <c r="H27" s="9" t="s">
        <v>192</v>
      </c>
      <c r="I27" s="9" t="s">
        <v>23</v>
      </c>
      <c r="J27" s="9" t="s">
        <v>193</v>
      </c>
      <c r="K27" s="17" t="s">
        <v>194</v>
      </c>
      <c r="L27" s="9">
        <v>3</v>
      </c>
      <c r="M27" s="9">
        <f t="shared" si="1"/>
        <v>30</v>
      </c>
      <c r="N27" s="18" t="s">
        <v>53</v>
      </c>
      <c r="O27" s="36" t="str">
        <f t="shared" si="3"/>
        <v>LCSC</v>
      </c>
      <c r="P27" s="20" t="s">
        <v>164</v>
      </c>
      <c r="Q27" s="30">
        <f t="shared" si="5"/>
        <v>0.12</v>
      </c>
      <c r="R27" s="9"/>
    </row>
    <row r="28" ht="24" spans="1:18">
      <c r="A28" s="2"/>
      <c r="B28" s="10">
        <f>ROW(B28)-ROW($B$2)</f>
        <v>26</v>
      </c>
      <c r="C28" s="11" t="s">
        <v>196</v>
      </c>
      <c r="D28" s="12" t="s">
        <v>197</v>
      </c>
      <c r="E28" s="12" t="s">
        <v>198</v>
      </c>
      <c r="F28" s="12" t="s">
        <v>199</v>
      </c>
      <c r="G28" s="12" t="s">
        <v>200</v>
      </c>
      <c r="H28" s="12" t="s">
        <v>201</v>
      </c>
      <c r="I28" s="9" t="s">
        <v>23</v>
      </c>
      <c r="J28" s="12" t="s">
        <v>202</v>
      </c>
      <c r="K28" s="21" t="s">
        <v>23</v>
      </c>
      <c r="L28" s="12">
        <v>1</v>
      </c>
      <c r="M28" s="9">
        <f t="shared" si="1"/>
        <v>10</v>
      </c>
      <c r="N28" s="22">
        <v>10</v>
      </c>
      <c r="O28" s="36" t="str">
        <f t="shared" si="3"/>
        <v>LCSC</v>
      </c>
      <c r="P28" s="23" t="s">
        <v>203</v>
      </c>
      <c r="Q28" s="31">
        <f t="shared" si="5"/>
        <v>4.689</v>
      </c>
      <c r="R28" s="12"/>
    </row>
    <row r="29" ht="24" spans="1:18">
      <c r="A29" s="2"/>
      <c r="B29" s="7">
        <f>ROW(B29)-ROW($B$2)</f>
        <v>27</v>
      </c>
      <c r="C29" s="8" t="s">
        <v>196</v>
      </c>
      <c r="D29" s="9" t="s">
        <v>205</v>
      </c>
      <c r="E29" s="9" t="s">
        <v>206</v>
      </c>
      <c r="F29" s="9" t="s">
        <v>207</v>
      </c>
      <c r="G29" s="9" t="s">
        <v>208</v>
      </c>
      <c r="H29" s="9" t="s">
        <v>209</v>
      </c>
      <c r="I29" s="9" t="s">
        <v>23</v>
      </c>
      <c r="J29" s="9" t="s">
        <v>210</v>
      </c>
      <c r="K29" s="21" t="s">
        <v>23</v>
      </c>
      <c r="L29" s="9">
        <v>2</v>
      </c>
      <c r="M29" s="9">
        <f t="shared" si="1"/>
        <v>20</v>
      </c>
      <c r="N29" s="18">
        <v>20</v>
      </c>
      <c r="O29" s="36" t="str">
        <f t="shared" si="3"/>
        <v>LCSC</v>
      </c>
      <c r="P29" s="20" t="s">
        <v>211</v>
      </c>
      <c r="Q29" s="30">
        <f t="shared" si="5"/>
        <v>4.844</v>
      </c>
      <c r="R29" s="9"/>
    </row>
    <row r="30" ht="48" spans="1:18">
      <c r="A30" s="2"/>
      <c r="B30" s="10">
        <f>ROW(B30)-ROW($B$2)</f>
        <v>28</v>
      </c>
      <c r="C30" s="8" t="s">
        <v>196</v>
      </c>
      <c r="D30" s="12" t="s">
        <v>213</v>
      </c>
      <c r="E30" s="12" t="s">
        <v>214</v>
      </c>
      <c r="F30" s="12" t="s">
        <v>215</v>
      </c>
      <c r="G30" s="12" t="s">
        <v>216</v>
      </c>
      <c r="H30" s="12" t="s">
        <v>217</v>
      </c>
      <c r="I30" s="9" t="s">
        <v>23</v>
      </c>
      <c r="J30" s="12" t="s">
        <v>218</v>
      </c>
      <c r="K30" s="21" t="s">
        <v>23</v>
      </c>
      <c r="L30" s="12">
        <v>3</v>
      </c>
      <c r="M30" s="9">
        <f t="shared" si="1"/>
        <v>30</v>
      </c>
      <c r="N30" s="22">
        <v>30</v>
      </c>
      <c r="O30" s="36" t="str">
        <f t="shared" si="3"/>
        <v>LCSC</v>
      </c>
      <c r="P30" s="23" t="s">
        <v>219</v>
      </c>
      <c r="Q30" s="31">
        <f t="shared" si="5"/>
        <v>8.175</v>
      </c>
      <c r="R30" s="12"/>
    </row>
    <row r="31" ht="24.75" spans="1:18">
      <c r="A31" s="2"/>
      <c r="B31" s="7">
        <f>ROW(B31)-ROW($B$2)</f>
        <v>29</v>
      </c>
      <c r="C31" s="8" t="s">
        <v>196</v>
      </c>
      <c r="D31" s="9" t="s">
        <v>221</v>
      </c>
      <c r="E31" s="9" t="s">
        <v>222</v>
      </c>
      <c r="F31" s="9" t="s">
        <v>223</v>
      </c>
      <c r="G31" s="9" t="s">
        <v>224</v>
      </c>
      <c r="H31" s="9" t="s">
        <v>225</v>
      </c>
      <c r="I31" s="9" t="s">
        <v>23</v>
      </c>
      <c r="J31" s="9" t="s">
        <v>226</v>
      </c>
      <c r="K31" s="21" t="s">
        <v>23</v>
      </c>
      <c r="L31" s="9">
        <v>3</v>
      </c>
      <c r="M31" s="9">
        <f t="shared" si="1"/>
        <v>30</v>
      </c>
      <c r="N31" s="18">
        <v>30</v>
      </c>
      <c r="O31" s="37" t="str">
        <f t="shared" si="3"/>
        <v>LCSC</v>
      </c>
      <c r="P31" s="20" t="s">
        <v>227</v>
      </c>
      <c r="Q31" s="30">
        <f t="shared" si="5"/>
        <v>6.222</v>
      </c>
      <c r="R31" s="9"/>
    </row>
    <row r="32" ht="19.5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8" t="s">
        <v>229</v>
      </c>
      <c r="O32" s="29"/>
      <c r="P32" s="29"/>
      <c r="Q32" s="34">
        <f>SUM(Q3:Q31)</f>
        <v>122.576</v>
      </c>
      <c r="R32" s="2"/>
    </row>
    <row r="33" ht="19.5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8" t="s">
        <v>230</v>
      </c>
      <c r="O33" s="29"/>
      <c r="P33" s="29"/>
      <c r="Q33" s="35">
        <f>Q32/10</f>
        <v>12.2576</v>
      </c>
      <c r="R33" s="2"/>
    </row>
  </sheetData>
  <mergeCells count="3">
    <mergeCell ref="K1:R1"/>
    <mergeCell ref="N32:P32"/>
    <mergeCell ref="N33:P33"/>
  </mergeCells>
  <hyperlinks>
    <hyperlink ref="O11" r:id="rId1" display="Mouser"/>
    <hyperlink ref="O13" r:id="rId2" display="Mouser"/>
    <hyperlink ref="O14" r:id="rId3" display="Mouser"/>
    <hyperlink ref="O3" r:id="rId4" display="LCSC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opLeftCell="D1" workbookViewId="0">
      <selection activeCell="P37" sqref="P37"/>
    </sheetView>
  </sheetViews>
  <sheetFormatPr defaultColWidth="9" defaultRowHeight="15"/>
  <cols>
    <col min="2" max="2" width="3" customWidth="1"/>
    <col min="3" max="3" width="13.8571428571429" customWidth="1"/>
    <col min="4" max="4" width="14.1428571428571" customWidth="1"/>
    <col min="5" max="5" width="27.8571428571429" customWidth="1"/>
    <col min="6" max="6" width="9.28571428571429" customWidth="1"/>
    <col min="7" max="7" width="25.2857142857143" customWidth="1"/>
    <col min="8" max="8" width="13.2857142857143" customWidth="1"/>
    <col min="9" max="9" width="21.5714285714286" customWidth="1"/>
    <col min="10" max="10" width="17" customWidth="1"/>
    <col min="11" max="11" width="6.14285714285714" customWidth="1"/>
    <col min="12" max="12" width="8.71428571428571" customWidth="1"/>
    <col min="13" max="13" width="20.2857142857143" customWidth="1"/>
    <col min="14" max="14" width="17.2857142857143" customWidth="1"/>
    <col min="15" max="15" width="7.71428571428571" customWidth="1"/>
    <col min="16" max="16" width="20.7142857142857" customWidth="1"/>
    <col min="17" max="17" width="21.4285714285714" customWidth="1"/>
    <col min="18" max="18" width="9" customWidth="1"/>
  </cols>
  <sheetData>
    <row r="1" ht="15.75" spans="1:18">
      <c r="A1" s="2"/>
      <c r="B1" s="3"/>
      <c r="C1" s="3"/>
      <c r="D1" s="4"/>
      <c r="E1" s="4"/>
      <c r="F1" s="4"/>
      <c r="G1" s="4"/>
      <c r="H1" s="4"/>
      <c r="I1" s="4"/>
      <c r="J1" s="4"/>
      <c r="K1" s="14"/>
      <c r="L1" s="14"/>
      <c r="M1" s="14"/>
      <c r="N1" s="14"/>
      <c r="O1" s="14"/>
      <c r="P1" s="14"/>
      <c r="Q1" s="14"/>
      <c r="R1" s="14"/>
    </row>
    <row r="2" ht="15.75" spans="1:18">
      <c r="A2" s="2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235</v>
      </c>
      <c r="N2" s="15" t="s">
        <v>236</v>
      </c>
      <c r="O2" s="5" t="s">
        <v>13</v>
      </c>
      <c r="P2" s="16" t="s">
        <v>237</v>
      </c>
      <c r="Q2" s="5" t="s">
        <v>238</v>
      </c>
      <c r="R2" s="5" t="s">
        <v>16</v>
      </c>
    </row>
    <row r="3" s="1" customFormat="1" spans="1:18">
      <c r="A3" s="6"/>
      <c r="B3" s="7">
        <f>ROW(B3)-ROW($B$2)</f>
        <v>1</v>
      </c>
      <c r="C3" s="8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17" t="s">
        <v>25</v>
      </c>
      <c r="L3" s="9">
        <v>2</v>
      </c>
      <c r="M3" s="9">
        <f>L3*100</f>
        <v>200</v>
      </c>
      <c r="N3" s="18">
        <v>300</v>
      </c>
      <c r="O3" s="19" t="s">
        <v>26</v>
      </c>
      <c r="P3" s="20">
        <v>0.0031</v>
      </c>
      <c r="Q3" s="30">
        <f t="shared" ref="Q3:Q17" si="0">P3*N3</f>
        <v>0.93</v>
      </c>
      <c r="R3" s="9"/>
    </row>
    <row r="4" s="1" customFormat="1" spans="1:18">
      <c r="A4" s="6"/>
      <c r="B4" s="10">
        <f t="shared" ref="B4:B31" si="1">ROW(B4)-ROW($B$2)</f>
        <v>2</v>
      </c>
      <c r="C4" s="11" t="s">
        <v>17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9" t="s">
        <v>23</v>
      </c>
      <c r="J4" s="12" t="s">
        <v>32</v>
      </c>
      <c r="K4" s="21" t="s">
        <v>33</v>
      </c>
      <c r="L4" s="12">
        <v>1</v>
      </c>
      <c r="M4" s="9">
        <f t="shared" ref="M4:M31" si="2">L4*100</f>
        <v>100</v>
      </c>
      <c r="N4" s="22">
        <v>105</v>
      </c>
      <c r="O4" s="19" t="str">
        <f>HYPERLINK(AB4,"LCSC")</f>
        <v>LCSC</v>
      </c>
      <c r="P4" s="23" t="s">
        <v>239</v>
      </c>
      <c r="Q4" s="31">
        <f t="shared" si="0"/>
        <v>16.002</v>
      </c>
      <c r="R4" s="12"/>
    </row>
    <row r="5" s="1" customFormat="1" spans="1:18">
      <c r="A5" s="6"/>
      <c r="B5" s="7">
        <f t="shared" si="1"/>
        <v>3</v>
      </c>
      <c r="C5" s="8" t="s">
        <v>17</v>
      </c>
      <c r="D5" s="9" t="s">
        <v>37</v>
      </c>
      <c r="E5" s="9" t="s">
        <v>38</v>
      </c>
      <c r="F5" s="9" t="s">
        <v>39</v>
      </c>
      <c r="G5" s="9" t="s">
        <v>40</v>
      </c>
      <c r="H5" s="9" t="s">
        <v>41</v>
      </c>
      <c r="I5" s="9" t="s">
        <v>23</v>
      </c>
      <c r="J5" s="9" t="s">
        <v>42</v>
      </c>
      <c r="K5" s="17" t="s">
        <v>43</v>
      </c>
      <c r="L5" s="9">
        <v>2</v>
      </c>
      <c r="M5" s="9">
        <f t="shared" si="2"/>
        <v>200</v>
      </c>
      <c r="N5" s="18">
        <v>210</v>
      </c>
      <c r="O5" s="19" t="str">
        <f t="shared" ref="O5:O31" si="3">HYPERLINK(AB5,"LCSC")</f>
        <v>LCSC</v>
      </c>
      <c r="P5" s="20" t="s">
        <v>240</v>
      </c>
      <c r="Q5" s="30">
        <f t="shared" si="0"/>
        <v>39.627</v>
      </c>
      <c r="R5" s="9"/>
    </row>
    <row r="6" s="1" customFormat="1" spans="1:18">
      <c r="A6" s="6"/>
      <c r="B6" s="10">
        <f t="shared" si="1"/>
        <v>4</v>
      </c>
      <c r="C6" s="11" t="s">
        <v>47</v>
      </c>
      <c r="D6" s="12" t="s">
        <v>48</v>
      </c>
      <c r="E6" s="12" t="s">
        <v>49</v>
      </c>
      <c r="F6" s="12" t="s">
        <v>50</v>
      </c>
      <c r="G6" s="12" t="s">
        <v>51</v>
      </c>
      <c r="H6" s="12" t="s">
        <v>41</v>
      </c>
      <c r="I6" s="9" t="s">
        <v>23</v>
      </c>
      <c r="J6" s="12" t="s">
        <v>52</v>
      </c>
      <c r="K6" s="21" t="s">
        <v>25</v>
      </c>
      <c r="L6" s="12">
        <v>1</v>
      </c>
      <c r="M6" s="9">
        <f t="shared" si="2"/>
        <v>100</v>
      </c>
      <c r="N6" s="22">
        <v>200</v>
      </c>
      <c r="O6" s="19" t="str">
        <f t="shared" si="3"/>
        <v>LCSC</v>
      </c>
      <c r="P6" s="23" t="s">
        <v>54</v>
      </c>
      <c r="Q6" s="31">
        <f t="shared" si="0"/>
        <v>0.6</v>
      </c>
      <c r="R6" s="12"/>
    </row>
    <row r="7" s="1" customFormat="1" ht="24" spans="1:18">
      <c r="A7" s="6"/>
      <c r="B7" s="7">
        <f t="shared" si="1"/>
        <v>5</v>
      </c>
      <c r="C7" s="8" t="s">
        <v>17</v>
      </c>
      <c r="D7" s="9" t="s">
        <v>56</v>
      </c>
      <c r="E7" s="9" t="s">
        <v>57</v>
      </c>
      <c r="F7" s="9" t="s">
        <v>50</v>
      </c>
      <c r="G7" s="9" t="s">
        <v>58</v>
      </c>
      <c r="H7" s="9" t="s">
        <v>22</v>
      </c>
      <c r="I7" s="9" t="s">
        <v>23</v>
      </c>
      <c r="J7" s="9" t="s">
        <v>59</v>
      </c>
      <c r="K7" s="17" t="s">
        <v>25</v>
      </c>
      <c r="L7" s="9">
        <v>5</v>
      </c>
      <c r="M7" s="9">
        <f t="shared" si="2"/>
        <v>500</v>
      </c>
      <c r="N7" s="18">
        <v>600</v>
      </c>
      <c r="O7" s="19" t="str">
        <f t="shared" si="3"/>
        <v>LCSC</v>
      </c>
      <c r="P7" s="20" t="s">
        <v>60</v>
      </c>
      <c r="Q7" s="30">
        <f t="shared" si="0"/>
        <v>1.02</v>
      </c>
      <c r="R7" s="9"/>
    </row>
    <row r="8" s="1" customFormat="1" spans="1:18">
      <c r="A8" s="6"/>
      <c r="B8" s="10">
        <f t="shared" si="1"/>
        <v>6</v>
      </c>
      <c r="C8" s="11" t="s">
        <v>62</v>
      </c>
      <c r="D8" s="12" t="s">
        <v>63</v>
      </c>
      <c r="E8" s="12" t="s">
        <v>64</v>
      </c>
      <c r="F8" s="12" t="s">
        <v>65</v>
      </c>
      <c r="G8" s="12" t="s">
        <v>66</v>
      </c>
      <c r="H8" s="12" t="s">
        <v>67</v>
      </c>
      <c r="I8" s="9" t="s">
        <v>23</v>
      </c>
      <c r="J8" s="12" t="s">
        <v>68</v>
      </c>
      <c r="K8" s="21" t="s">
        <v>23</v>
      </c>
      <c r="L8" s="12">
        <v>1</v>
      </c>
      <c r="M8" s="9">
        <f t="shared" si="2"/>
        <v>100</v>
      </c>
      <c r="N8" s="22">
        <v>110</v>
      </c>
      <c r="O8" s="19" t="str">
        <f t="shared" si="3"/>
        <v>LCSC</v>
      </c>
      <c r="P8" s="23" t="s">
        <v>241</v>
      </c>
      <c r="Q8" s="31">
        <f t="shared" si="0"/>
        <v>3.124</v>
      </c>
      <c r="R8" s="12"/>
    </row>
    <row r="9" s="1" customFormat="1" spans="1:18">
      <c r="A9" s="6"/>
      <c r="B9" s="7">
        <f t="shared" si="1"/>
        <v>7</v>
      </c>
      <c r="C9" s="8" t="s">
        <v>62</v>
      </c>
      <c r="D9" s="9" t="s">
        <v>71</v>
      </c>
      <c r="E9" s="9" t="s">
        <v>72</v>
      </c>
      <c r="F9" s="9" t="s">
        <v>73</v>
      </c>
      <c r="G9" s="9" t="s">
        <v>74</v>
      </c>
      <c r="H9" s="9" t="s">
        <v>75</v>
      </c>
      <c r="I9" s="9" t="s">
        <v>23</v>
      </c>
      <c r="J9" s="9" t="s">
        <v>76</v>
      </c>
      <c r="K9" s="21" t="s">
        <v>23</v>
      </c>
      <c r="L9" s="9">
        <v>2</v>
      </c>
      <c r="M9" s="9">
        <f t="shared" si="2"/>
        <v>200</v>
      </c>
      <c r="N9" s="18">
        <v>210</v>
      </c>
      <c r="O9" s="19" t="str">
        <f t="shared" si="3"/>
        <v>LCSC</v>
      </c>
      <c r="P9" s="20" t="s">
        <v>102</v>
      </c>
      <c r="Q9" s="30">
        <f t="shared" si="0"/>
        <v>6.468</v>
      </c>
      <c r="R9" s="9"/>
    </row>
    <row r="10" s="1" customFormat="1" ht="60" spans="1:18">
      <c r="A10" s="6"/>
      <c r="B10" s="10">
        <f t="shared" si="1"/>
        <v>8</v>
      </c>
      <c r="C10" s="11" t="s">
        <v>79</v>
      </c>
      <c r="D10" s="12" t="s">
        <v>80</v>
      </c>
      <c r="E10" s="12" t="s">
        <v>81</v>
      </c>
      <c r="F10" s="12" t="s">
        <v>82</v>
      </c>
      <c r="G10" s="12" t="s">
        <v>83</v>
      </c>
      <c r="H10" s="12" t="s">
        <v>84</v>
      </c>
      <c r="I10" s="9" t="s">
        <v>23</v>
      </c>
      <c r="J10" s="12" t="s">
        <v>85</v>
      </c>
      <c r="K10" s="21" t="s">
        <v>23</v>
      </c>
      <c r="L10" s="12">
        <v>1</v>
      </c>
      <c r="M10" s="9">
        <f t="shared" si="2"/>
        <v>100</v>
      </c>
      <c r="N10" s="22">
        <v>105</v>
      </c>
      <c r="O10" s="19" t="str">
        <f t="shared" si="3"/>
        <v>LCSC</v>
      </c>
      <c r="P10" s="23" t="s">
        <v>242</v>
      </c>
      <c r="Q10" s="31">
        <f t="shared" si="0"/>
        <v>16.506</v>
      </c>
      <c r="R10" s="12"/>
    </row>
    <row r="11" s="1" customFormat="1" spans="1:18">
      <c r="A11" s="6"/>
      <c r="B11" s="7">
        <f t="shared" si="1"/>
        <v>9</v>
      </c>
      <c r="C11" s="8" t="s">
        <v>88</v>
      </c>
      <c r="D11" s="9" t="s">
        <v>89</v>
      </c>
      <c r="E11" s="9" t="s">
        <v>90</v>
      </c>
      <c r="F11" s="12" t="s">
        <v>82</v>
      </c>
      <c r="G11" s="9" t="s">
        <v>91</v>
      </c>
      <c r="H11" s="9" t="s">
        <v>92</v>
      </c>
      <c r="I11" s="9" t="s">
        <v>23</v>
      </c>
      <c r="J11" s="9" t="s">
        <v>23</v>
      </c>
      <c r="K11" s="21" t="s">
        <v>23</v>
      </c>
      <c r="L11" s="9">
        <v>2</v>
      </c>
      <c r="M11" s="9">
        <f t="shared" si="2"/>
        <v>200</v>
      </c>
      <c r="N11" s="18">
        <v>200</v>
      </c>
      <c r="O11" s="19" t="s">
        <v>93</v>
      </c>
      <c r="P11" s="20">
        <v>0.594</v>
      </c>
      <c r="Q11" s="30">
        <f t="shared" si="0"/>
        <v>118.8</v>
      </c>
      <c r="R11" s="9"/>
    </row>
    <row r="12" s="1" customFormat="1" ht="60" spans="1:18">
      <c r="A12" s="6"/>
      <c r="B12" s="10">
        <f t="shared" si="1"/>
        <v>10</v>
      </c>
      <c r="C12" s="11" t="s">
        <v>94</v>
      </c>
      <c r="D12" s="12" t="s">
        <v>95</v>
      </c>
      <c r="E12" s="12" t="s">
        <v>96</v>
      </c>
      <c r="F12" s="12" t="s">
        <v>97</v>
      </c>
      <c r="G12" s="12" t="s">
        <v>98</v>
      </c>
      <c r="H12" s="12" t="s">
        <v>99</v>
      </c>
      <c r="I12" s="9" t="s">
        <v>23</v>
      </c>
      <c r="J12" s="12" t="s">
        <v>100</v>
      </c>
      <c r="K12" s="21" t="s">
        <v>23</v>
      </c>
      <c r="L12" s="12">
        <v>2</v>
      </c>
      <c r="M12" s="9">
        <f t="shared" si="2"/>
        <v>200</v>
      </c>
      <c r="N12" s="22">
        <v>200</v>
      </c>
      <c r="O12" s="19" t="str">
        <f t="shared" si="3"/>
        <v>LCSC</v>
      </c>
      <c r="P12" s="23" t="s">
        <v>243</v>
      </c>
      <c r="Q12" s="31">
        <f t="shared" si="0"/>
        <v>4.88</v>
      </c>
      <c r="R12" s="12"/>
    </row>
    <row r="13" s="1" customFormat="1" spans="1:18">
      <c r="A13" s="6"/>
      <c r="B13" s="7">
        <f t="shared" si="1"/>
        <v>11</v>
      </c>
      <c r="C13" s="8" t="s">
        <v>88</v>
      </c>
      <c r="D13" s="9" t="s">
        <v>104</v>
      </c>
      <c r="E13" s="9" t="s">
        <v>90</v>
      </c>
      <c r="F13" s="12" t="s">
        <v>82</v>
      </c>
      <c r="G13" s="9" t="s">
        <v>105</v>
      </c>
      <c r="H13" s="9" t="s">
        <v>92</v>
      </c>
      <c r="I13" s="9" t="s">
        <v>23</v>
      </c>
      <c r="J13" s="9" t="s">
        <v>23</v>
      </c>
      <c r="K13" s="21" t="s">
        <v>23</v>
      </c>
      <c r="L13" s="9">
        <v>4</v>
      </c>
      <c r="M13" s="9">
        <f t="shared" si="2"/>
        <v>400</v>
      </c>
      <c r="N13" s="18">
        <v>400</v>
      </c>
      <c r="O13" s="19" t="s">
        <v>93</v>
      </c>
      <c r="P13" s="20">
        <v>0.291</v>
      </c>
      <c r="Q13" s="30">
        <f t="shared" si="0"/>
        <v>116.4</v>
      </c>
      <c r="R13" s="9"/>
    </row>
    <row r="14" s="1" customFormat="1" spans="1:18">
      <c r="A14" s="6"/>
      <c r="B14" s="10">
        <f t="shared" si="1"/>
        <v>12</v>
      </c>
      <c r="C14" s="11" t="s">
        <v>88</v>
      </c>
      <c r="D14" s="12" t="s">
        <v>106</v>
      </c>
      <c r="E14" s="12" t="s">
        <v>90</v>
      </c>
      <c r="F14" s="12" t="s">
        <v>82</v>
      </c>
      <c r="G14" s="12" t="s">
        <v>107</v>
      </c>
      <c r="H14" s="12" t="s">
        <v>92</v>
      </c>
      <c r="I14" s="9" t="s">
        <v>23</v>
      </c>
      <c r="J14" s="12" t="s">
        <v>23</v>
      </c>
      <c r="K14" s="21" t="s">
        <v>23</v>
      </c>
      <c r="L14" s="12">
        <v>3</v>
      </c>
      <c r="M14" s="9">
        <f t="shared" si="2"/>
        <v>300</v>
      </c>
      <c r="N14" s="22">
        <v>300</v>
      </c>
      <c r="O14" s="19" t="s">
        <v>93</v>
      </c>
      <c r="P14" s="23">
        <v>0.75</v>
      </c>
      <c r="Q14" s="31">
        <f t="shared" si="0"/>
        <v>225</v>
      </c>
      <c r="R14" s="12"/>
    </row>
    <row r="15" s="1" customFormat="1" ht="36" spans="1:18">
      <c r="A15" s="6"/>
      <c r="B15" s="7">
        <f t="shared" si="1"/>
        <v>13</v>
      </c>
      <c r="C15" s="8" t="s">
        <v>108</v>
      </c>
      <c r="D15" s="9" t="s">
        <v>109</v>
      </c>
      <c r="E15" s="9" t="s">
        <v>110</v>
      </c>
      <c r="F15" s="12" t="s">
        <v>82</v>
      </c>
      <c r="G15" s="9" t="s">
        <v>111</v>
      </c>
      <c r="H15" s="9" t="s">
        <v>112</v>
      </c>
      <c r="I15" s="9" t="s">
        <v>23</v>
      </c>
      <c r="J15" s="9" t="s">
        <v>113</v>
      </c>
      <c r="K15" s="17" t="s">
        <v>114</v>
      </c>
      <c r="L15" s="9">
        <v>1</v>
      </c>
      <c r="M15" s="9">
        <f t="shared" si="2"/>
        <v>100</v>
      </c>
      <c r="N15" s="18" t="s">
        <v>53</v>
      </c>
      <c r="O15" s="19" t="str">
        <f t="shared" si="3"/>
        <v>LCSC</v>
      </c>
      <c r="P15" s="20" t="s">
        <v>244</v>
      </c>
      <c r="Q15" s="30">
        <f t="shared" si="0"/>
        <v>59.98</v>
      </c>
      <c r="R15" s="9"/>
    </row>
    <row r="16" s="1" customFormat="1" ht="24" spans="1:18">
      <c r="A16" s="6"/>
      <c r="B16" s="10">
        <f t="shared" si="1"/>
        <v>14</v>
      </c>
      <c r="C16" s="11" t="s">
        <v>117</v>
      </c>
      <c r="D16" s="12" t="s">
        <v>118</v>
      </c>
      <c r="E16" s="12" t="s">
        <v>119</v>
      </c>
      <c r="F16" s="12" t="s">
        <v>120</v>
      </c>
      <c r="G16" s="12" t="s">
        <v>121</v>
      </c>
      <c r="H16" s="12" t="s">
        <v>122</v>
      </c>
      <c r="I16" s="9" t="s">
        <v>23</v>
      </c>
      <c r="J16" s="12" t="s">
        <v>123</v>
      </c>
      <c r="K16" s="21" t="s">
        <v>23</v>
      </c>
      <c r="L16" s="12">
        <v>3</v>
      </c>
      <c r="M16" s="9">
        <f t="shared" si="2"/>
        <v>300</v>
      </c>
      <c r="N16" s="22" t="s">
        <v>245</v>
      </c>
      <c r="O16" s="19" t="str">
        <f t="shared" si="3"/>
        <v>LCSC</v>
      </c>
      <c r="P16" s="23" t="s">
        <v>246</v>
      </c>
      <c r="Q16" s="31">
        <f t="shared" si="0"/>
        <v>13.23</v>
      </c>
      <c r="R16" s="12"/>
    </row>
    <row r="17" s="1" customFormat="1" ht="36" spans="1:18">
      <c r="A17" s="6"/>
      <c r="B17" s="7">
        <f t="shared" si="1"/>
        <v>15</v>
      </c>
      <c r="C17" s="8" t="s">
        <v>126</v>
      </c>
      <c r="D17" s="9" t="s">
        <v>127</v>
      </c>
      <c r="E17" s="9" t="s">
        <v>128</v>
      </c>
      <c r="F17" s="9" t="s">
        <v>129</v>
      </c>
      <c r="G17" s="9" t="s">
        <v>130</v>
      </c>
      <c r="H17" s="9" t="s">
        <v>22</v>
      </c>
      <c r="I17" s="9" t="s">
        <v>23</v>
      </c>
      <c r="J17" s="9" t="s">
        <v>131</v>
      </c>
      <c r="K17" s="17" t="s">
        <v>132</v>
      </c>
      <c r="L17" s="9">
        <v>13</v>
      </c>
      <c r="M17" s="9">
        <f t="shared" si="2"/>
        <v>1300</v>
      </c>
      <c r="N17" s="18" t="s">
        <v>247</v>
      </c>
      <c r="O17" s="19" t="str">
        <f t="shared" si="3"/>
        <v>LCSC</v>
      </c>
      <c r="P17" s="20" t="s">
        <v>248</v>
      </c>
      <c r="Q17" s="30">
        <f t="shared" si="0"/>
        <v>1.04</v>
      </c>
      <c r="R17" s="9"/>
    </row>
    <row r="18" s="1" customFormat="1" ht="30" spans="1:18">
      <c r="A18" s="6"/>
      <c r="B18" s="10">
        <f t="shared" si="1"/>
        <v>16</v>
      </c>
      <c r="C18" s="11" t="s">
        <v>135</v>
      </c>
      <c r="D18" s="13" t="s">
        <v>136</v>
      </c>
      <c r="E18" s="13" t="s">
        <v>137</v>
      </c>
      <c r="F18" s="13" t="s">
        <v>138</v>
      </c>
      <c r="G18" s="13" t="s">
        <v>139</v>
      </c>
      <c r="H18" s="13" t="s">
        <v>22</v>
      </c>
      <c r="I18" s="9" t="s">
        <v>23</v>
      </c>
      <c r="J18" s="13" t="s">
        <v>140</v>
      </c>
      <c r="K18" s="24" t="s">
        <v>141</v>
      </c>
      <c r="L18" s="13">
        <v>1</v>
      </c>
      <c r="M18" s="9">
        <f t="shared" si="2"/>
        <v>100</v>
      </c>
      <c r="N18" s="25" t="s">
        <v>53</v>
      </c>
      <c r="O18" s="19" t="str">
        <f t="shared" si="3"/>
        <v>LCSC</v>
      </c>
      <c r="P18" s="26" t="s">
        <v>23</v>
      </c>
      <c r="Q18" s="32" t="s">
        <v>23</v>
      </c>
      <c r="R18" s="33" t="s">
        <v>142</v>
      </c>
    </row>
    <row r="19" s="1" customFormat="1" spans="1:18">
      <c r="A19" s="6"/>
      <c r="B19" s="7">
        <f t="shared" si="1"/>
        <v>17</v>
      </c>
      <c r="C19" s="8" t="s">
        <v>135</v>
      </c>
      <c r="D19" s="9" t="s">
        <v>144</v>
      </c>
      <c r="E19" s="9" t="s">
        <v>137</v>
      </c>
      <c r="F19" s="9" t="s">
        <v>138</v>
      </c>
      <c r="G19" s="9" t="s">
        <v>139</v>
      </c>
      <c r="H19" s="9" t="s">
        <v>22</v>
      </c>
      <c r="I19" s="9" t="s">
        <v>23</v>
      </c>
      <c r="J19" s="9" t="s">
        <v>140</v>
      </c>
      <c r="K19" s="17" t="s">
        <v>132</v>
      </c>
      <c r="L19" s="9">
        <v>1</v>
      </c>
      <c r="M19" s="9">
        <f t="shared" si="2"/>
        <v>100</v>
      </c>
      <c r="N19" s="18" t="s">
        <v>53</v>
      </c>
      <c r="O19" s="19" t="str">
        <f t="shared" si="3"/>
        <v>LCSC</v>
      </c>
      <c r="P19" s="20" t="s">
        <v>145</v>
      </c>
      <c r="Q19" s="30">
        <f>P19*N19</f>
        <v>0.31</v>
      </c>
      <c r="R19" s="9"/>
    </row>
    <row r="20" s="1" customFormat="1" spans="1:18">
      <c r="A20" s="6"/>
      <c r="B20" s="10">
        <f t="shared" si="1"/>
        <v>18</v>
      </c>
      <c r="C20" s="11" t="s">
        <v>126</v>
      </c>
      <c r="D20" s="12" t="s">
        <v>146</v>
      </c>
      <c r="E20" s="12" t="s">
        <v>147</v>
      </c>
      <c r="F20" s="12" t="s">
        <v>148</v>
      </c>
      <c r="G20" s="12" t="s">
        <v>149</v>
      </c>
      <c r="H20" s="12" t="s">
        <v>22</v>
      </c>
      <c r="I20" s="9" t="s">
        <v>23</v>
      </c>
      <c r="J20" s="12" t="s">
        <v>150</v>
      </c>
      <c r="K20" s="21" t="s">
        <v>151</v>
      </c>
      <c r="L20" s="12">
        <v>4</v>
      </c>
      <c r="M20" s="9">
        <f t="shared" si="2"/>
        <v>400</v>
      </c>
      <c r="N20" s="22" t="s">
        <v>249</v>
      </c>
      <c r="O20" s="19" t="str">
        <f t="shared" si="3"/>
        <v>LCSC</v>
      </c>
      <c r="P20" s="23" t="s">
        <v>152</v>
      </c>
      <c r="Q20" s="31">
        <f>P20*N20</f>
        <v>0.24</v>
      </c>
      <c r="R20" s="12"/>
    </row>
    <row r="21" s="1" customFormat="1" spans="1:18">
      <c r="A21" s="6"/>
      <c r="B21" s="7">
        <f t="shared" si="1"/>
        <v>19</v>
      </c>
      <c r="C21" s="8" t="s">
        <v>135</v>
      </c>
      <c r="D21" s="9" t="s">
        <v>154</v>
      </c>
      <c r="E21" s="9" t="s">
        <v>155</v>
      </c>
      <c r="F21" s="9" t="s">
        <v>148</v>
      </c>
      <c r="G21" s="9" t="s">
        <v>156</v>
      </c>
      <c r="H21" s="9" t="s">
        <v>22</v>
      </c>
      <c r="I21" s="9" t="s">
        <v>23</v>
      </c>
      <c r="J21" s="9" t="s">
        <v>157</v>
      </c>
      <c r="K21" s="17" t="s">
        <v>132</v>
      </c>
      <c r="L21" s="9">
        <v>4</v>
      </c>
      <c r="M21" s="9">
        <f t="shared" si="2"/>
        <v>400</v>
      </c>
      <c r="N21" s="18" t="s">
        <v>249</v>
      </c>
      <c r="O21" s="19" t="str">
        <f t="shared" si="3"/>
        <v>LCSC</v>
      </c>
      <c r="P21" s="20" t="s">
        <v>152</v>
      </c>
      <c r="Q21" s="30">
        <f>P21*N21</f>
        <v>0.24</v>
      </c>
      <c r="R21" s="9"/>
    </row>
    <row r="22" s="1" customFormat="1" spans="1:18">
      <c r="A22" s="6"/>
      <c r="B22" s="10">
        <f t="shared" si="1"/>
        <v>20</v>
      </c>
      <c r="C22" s="11" t="s">
        <v>126</v>
      </c>
      <c r="D22" s="12" t="s">
        <v>159</v>
      </c>
      <c r="E22" s="12" t="s">
        <v>160</v>
      </c>
      <c r="F22" s="12" t="s">
        <v>129</v>
      </c>
      <c r="G22" s="12" t="s">
        <v>161</v>
      </c>
      <c r="H22" s="12" t="s">
        <v>22</v>
      </c>
      <c r="I22" s="9" t="s">
        <v>23</v>
      </c>
      <c r="J22" s="12" t="s">
        <v>162</v>
      </c>
      <c r="K22" s="21" t="s">
        <v>163</v>
      </c>
      <c r="L22" s="12">
        <v>2</v>
      </c>
      <c r="M22" s="9">
        <f t="shared" si="2"/>
        <v>200</v>
      </c>
      <c r="N22" s="22" t="s">
        <v>250</v>
      </c>
      <c r="O22" s="19" t="str">
        <f t="shared" si="3"/>
        <v>LCSC</v>
      </c>
      <c r="P22" s="23" t="s">
        <v>164</v>
      </c>
      <c r="Q22" s="31">
        <f>P22*N22</f>
        <v>0.24</v>
      </c>
      <c r="R22" s="12"/>
    </row>
    <row r="23" s="1" customFormat="1" ht="30" spans="1:18">
      <c r="A23" s="6"/>
      <c r="B23" s="7">
        <f t="shared" si="1"/>
        <v>21</v>
      </c>
      <c r="C23" s="8" t="s">
        <v>126</v>
      </c>
      <c r="D23" s="13" t="s">
        <v>166</v>
      </c>
      <c r="E23" s="13" t="s">
        <v>147</v>
      </c>
      <c r="F23" s="13" t="s">
        <v>148</v>
      </c>
      <c r="G23" s="13" t="s">
        <v>149</v>
      </c>
      <c r="H23" s="13" t="s">
        <v>22</v>
      </c>
      <c r="I23" s="9" t="s">
        <v>23</v>
      </c>
      <c r="J23" s="13" t="s">
        <v>150</v>
      </c>
      <c r="K23" s="24" t="s">
        <v>141</v>
      </c>
      <c r="L23" s="13">
        <v>2</v>
      </c>
      <c r="M23" s="9">
        <f t="shared" si="2"/>
        <v>200</v>
      </c>
      <c r="N23" s="25" t="s">
        <v>250</v>
      </c>
      <c r="O23" s="19" t="str">
        <f t="shared" si="3"/>
        <v>LCSC</v>
      </c>
      <c r="P23" s="26" t="s">
        <v>23</v>
      </c>
      <c r="Q23" s="32" t="s">
        <v>23</v>
      </c>
      <c r="R23" s="33" t="s">
        <v>142</v>
      </c>
    </row>
    <row r="24" s="1" customFormat="1" spans="1:18">
      <c r="A24" s="6"/>
      <c r="B24" s="10">
        <f t="shared" si="1"/>
        <v>22</v>
      </c>
      <c r="C24" s="8" t="s">
        <v>126</v>
      </c>
      <c r="D24" s="12" t="s">
        <v>167</v>
      </c>
      <c r="E24" s="12" t="s">
        <v>168</v>
      </c>
      <c r="F24" s="12" t="s">
        <v>169</v>
      </c>
      <c r="G24" s="12" t="s">
        <v>170</v>
      </c>
      <c r="H24" s="12" t="s">
        <v>171</v>
      </c>
      <c r="I24" s="9" t="s">
        <v>23</v>
      </c>
      <c r="J24" s="12" t="s">
        <v>172</v>
      </c>
      <c r="K24" s="21" t="s">
        <v>173</v>
      </c>
      <c r="L24" s="12">
        <v>3</v>
      </c>
      <c r="M24" s="9">
        <f t="shared" si="2"/>
        <v>300</v>
      </c>
      <c r="N24" s="22" t="s">
        <v>245</v>
      </c>
      <c r="O24" s="19" t="str">
        <f t="shared" si="3"/>
        <v>LCSC</v>
      </c>
      <c r="P24" s="23" t="s">
        <v>251</v>
      </c>
      <c r="Q24" s="31">
        <f t="shared" ref="Q24:Q31" si="4">P24*N24</f>
        <v>11.31</v>
      </c>
      <c r="R24" s="12"/>
    </row>
    <row r="25" s="1" customFormat="1" spans="1:18">
      <c r="A25" s="6"/>
      <c r="B25" s="7">
        <f t="shared" si="1"/>
        <v>23</v>
      </c>
      <c r="C25" s="8" t="s">
        <v>126</v>
      </c>
      <c r="D25" s="9" t="s">
        <v>177</v>
      </c>
      <c r="E25" s="9" t="s">
        <v>178</v>
      </c>
      <c r="F25" s="9" t="s">
        <v>148</v>
      </c>
      <c r="G25" s="9" t="s">
        <v>179</v>
      </c>
      <c r="H25" s="9" t="s">
        <v>22</v>
      </c>
      <c r="I25" s="9" t="s">
        <v>23</v>
      </c>
      <c r="J25" s="9" t="s">
        <v>180</v>
      </c>
      <c r="K25" s="17" t="s">
        <v>181</v>
      </c>
      <c r="L25" s="9">
        <v>3</v>
      </c>
      <c r="M25" s="9">
        <f t="shared" si="2"/>
        <v>300</v>
      </c>
      <c r="N25" s="18" t="s">
        <v>245</v>
      </c>
      <c r="O25" s="19" t="str">
        <f t="shared" si="3"/>
        <v>LCSC</v>
      </c>
      <c r="P25" s="20" t="s">
        <v>152</v>
      </c>
      <c r="Q25" s="30">
        <f t="shared" si="4"/>
        <v>0.18</v>
      </c>
      <c r="R25" s="9"/>
    </row>
    <row r="26" s="1" customFormat="1" spans="1:18">
      <c r="A26" s="6"/>
      <c r="B26" s="10">
        <f t="shared" si="1"/>
        <v>24</v>
      </c>
      <c r="C26" s="11" t="s">
        <v>126</v>
      </c>
      <c r="D26" s="12" t="s">
        <v>183</v>
      </c>
      <c r="E26" s="12" t="s">
        <v>184</v>
      </c>
      <c r="F26" s="12" t="s">
        <v>129</v>
      </c>
      <c r="G26" s="12" t="s">
        <v>185</v>
      </c>
      <c r="H26" s="12" t="s">
        <v>22</v>
      </c>
      <c r="I26" s="9" t="s">
        <v>23</v>
      </c>
      <c r="J26" s="12" t="s">
        <v>186</v>
      </c>
      <c r="K26" s="21" t="s">
        <v>187</v>
      </c>
      <c r="L26" s="12">
        <v>3</v>
      </c>
      <c r="M26" s="9">
        <f t="shared" si="2"/>
        <v>300</v>
      </c>
      <c r="N26" s="22" t="s">
        <v>245</v>
      </c>
      <c r="O26" s="19" t="str">
        <f t="shared" si="3"/>
        <v>LCSC</v>
      </c>
      <c r="P26" s="23" t="s">
        <v>164</v>
      </c>
      <c r="Q26" s="31">
        <f t="shared" si="4"/>
        <v>0.36</v>
      </c>
      <c r="R26" s="12"/>
    </row>
    <row r="27" s="1" customFormat="1" spans="1:18">
      <c r="A27" s="6"/>
      <c r="B27" s="7">
        <f t="shared" si="1"/>
        <v>25</v>
      </c>
      <c r="C27" s="8" t="s">
        <v>126</v>
      </c>
      <c r="D27" s="9" t="s">
        <v>189</v>
      </c>
      <c r="E27" s="9" t="s">
        <v>190</v>
      </c>
      <c r="F27" s="9" t="s">
        <v>129</v>
      </c>
      <c r="G27" s="9" t="s">
        <v>191</v>
      </c>
      <c r="H27" s="9" t="s">
        <v>192</v>
      </c>
      <c r="I27" s="9" t="s">
        <v>23</v>
      </c>
      <c r="J27" s="9" t="s">
        <v>193</v>
      </c>
      <c r="K27" s="17" t="s">
        <v>194</v>
      </c>
      <c r="L27" s="9">
        <v>3</v>
      </c>
      <c r="M27" s="9">
        <f t="shared" si="2"/>
        <v>300</v>
      </c>
      <c r="N27" s="18" t="s">
        <v>245</v>
      </c>
      <c r="O27" s="19" t="str">
        <f t="shared" si="3"/>
        <v>LCSC</v>
      </c>
      <c r="P27" s="20" t="s">
        <v>164</v>
      </c>
      <c r="Q27" s="30">
        <f t="shared" si="4"/>
        <v>0.36</v>
      </c>
      <c r="R27" s="9"/>
    </row>
    <row r="28" s="1" customFormat="1" spans="1:18">
      <c r="A28" s="6"/>
      <c r="B28" s="10">
        <f t="shared" si="1"/>
        <v>26</v>
      </c>
      <c r="C28" s="11" t="s">
        <v>196</v>
      </c>
      <c r="D28" s="12" t="s">
        <v>197</v>
      </c>
      <c r="E28" s="12" t="s">
        <v>198</v>
      </c>
      <c r="F28" s="12" t="s">
        <v>199</v>
      </c>
      <c r="G28" s="12" t="s">
        <v>200</v>
      </c>
      <c r="H28" s="12" t="s">
        <v>201</v>
      </c>
      <c r="I28" s="9" t="s">
        <v>23</v>
      </c>
      <c r="J28" s="12" t="s">
        <v>202</v>
      </c>
      <c r="K28" s="21" t="s">
        <v>23</v>
      </c>
      <c r="L28" s="12">
        <v>1</v>
      </c>
      <c r="M28" s="9">
        <f t="shared" si="2"/>
        <v>100</v>
      </c>
      <c r="N28" s="22" t="s">
        <v>53</v>
      </c>
      <c r="O28" s="19" t="str">
        <f t="shared" si="3"/>
        <v>LCSC</v>
      </c>
      <c r="P28" s="23" t="s">
        <v>252</v>
      </c>
      <c r="Q28" s="31">
        <f t="shared" si="4"/>
        <v>27.67</v>
      </c>
      <c r="R28" s="12"/>
    </row>
    <row r="29" s="1" customFormat="1" spans="1:18">
      <c r="A29" s="6"/>
      <c r="B29" s="7">
        <f t="shared" si="1"/>
        <v>27</v>
      </c>
      <c r="C29" s="8" t="s">
        <v>196</v>
      </c>
      <c r="D29" s="9" t="s">
        <v>205</v>
      </c>
      <c r="E29" s="9" t="s">
        <v>206</v>
      </c>
      <c r="F29" s="9" t="s">
        <v>207</v>
      </c>
      <c r="G29" s="9" t="s">
        <v>208</v>
      </c>
      <c r="H29" s="9" t="s">
        <v>209</v>
      </c>
      <c r="I29" s="9" t="s">
        <v>23</v>
      </c>
      <c r="J29" s="9" t="s">
        <v>210</v>
      </c>
      <c r="K29" s="21" t="s">
        <v>23</v>
      </c>
      <c r="L29" s="9">
        <v>2</v>
      </c>
      <c r="M29" s="9">
        <f t="shared" si="2"/>
        <v>200</v>
      </c>
      <c r="N29" s="18" t="s">
        <v>250</v>
      </c>
      <c r="O29" s="19" t="str">
        <f t="shared" si="3"/>
        <v>LCSC</v>
      </c>
      <c r="P29" s="20" t="s">
        <v>253</v>
      </c>
      <c r="Q29" s="30">
        <f t="shared" si="4"/>
        <v>34.06</v>
      </c>
      <c r="R29" s="9"/>
    </row>
    <row r="30" s="1" customFormat="1" ht="36" spans="1:18">
      <c r="A30" s="6"/>
      <c r="B30" s="10">
        <f t="shared" si="1"/>
        <v>28</v>
      </c>
      <c r="C30" s="8" t="s">
        <v>196</v>
      </c>
      <c r="D30" s="12" t="s">
        <v>213</v>
      </c>
      <c r="E30" s="12" t="s">
        <v>214</v>
      </c>
      <c r="F30" s="12" t="s">
        <v>215</v>
      </c>
      <c r="G30" s="12" t="s">
        <v>216</v>
      </c>
      <c r="H30" s="12" t="s">
        <v>217</v>
      </c>
      <c r="I30" s="9" t="s">
        <v>23</v>
      </c>
      <c r="J30" s="12" t="s">
        <v>218</v>
      </c>
      <c r="K30" s="21" t="s">
        <v>23</v>
      </c>
      <c r="L30" s="12">
        <v>3</v>
      </c>
      <c r="M30" s="9">
        <f t="shared" si="2"/>
        <v>300</v>
      </c>
      <c r="N30" s="22" t="s">
        <v>245</v>
      </c>
      <c r="O30" s="19" t="str">
        <f t="shared" si="3"/>
        <v>LCSC</v>
      </c>
      <c r="P30" s="23" t="s">
        <v>254</v>
      </c>
      <c r="Q30" s="31">
        <f t="shared" si="4"/>
        <v>60.54</v>
      </c>
      <c r="R30" s="12"/>
    </row>
    <row r="31" s="1" customFormat="1" ht="24.75" spans="1:18">
      <c r="A31" s="6"/>
      <c r="B31" s="7">
        <f t="shared" si="1"/>
        <v>29</v>
      </c>
      <c r="C31" s="8" t="s">
        <v>196</v>
      </c>
      <c r="D31" s="9" t="s">
        <v>221</v>
      </c>
      <c r="E31" s="9" t="s">
        <v>222</v>
      </c>
      <c r="F31" s="9" t="s">
        <v>223</v>
      </c>
      <c r="G31" s="9" t="s">
        <v>224</v>
      </c>
      <c r="H31" s="9" t="s">
        <v>225</v>
      </c>
      <c r="I31" s="9" t="s">
        <v>23</v>
      </c>
      <c r="J31" s="9" t="s">
        <v>226</v>
      </c>
      <c r="K31" s="21" t="s">
        <v>23</v>
      </c>
      <c r="L31" s="9">
        <v>3</v>
      </c>
      <c r="M31" s="9">
        <f t="shared" si="2"/>
        <v>300</v>
      </c>
      <c r="N31" s="18" t="s">
        <v>245</v>
      </c>
      <c r="O31" s="27" t="str">
        <f t="shared" si="3"/>
        <v>LCSC</v>
      </c>
      <c r="P31" s="20" t="s">
        <v>255</v>
      </c>
      <c r="Q31" s="30">
        <f t="shared" si="4"/>
        <v>41.94</v>
      </c>
      <c r="R31" s="9"/>
    </row>
    <row r="32" ht="19.5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8" t="s">
        <v>229</v>
      </c>
      <c r="O32" s="29"/>
      <c r="P32" s="29"/>
      <c r="Q32" s="34">
        <f>SUM(Q3:Q31)</f>
        <v>801.057</v>
      </c>
      <c r="R32" s="2"/>
    </row>
    <row r="33" ht="19.5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8" t="s">
        <v>230</v>
      </c>
      <c r="O33" s="29"/>
      <c r="P33" s="29"/>
      <c r="Q33" s="35">
        <f>Q32/100</f>
        <v>8.01057</v>
      </c>
      <c r="R33" s="2"/>
    </row>
  </sheetData>
  <mergeCells count="3">
    <mergeCell ref="K1:R1"/>
    <mergeCell ref="N32:P32"/>
    <mergeCell ref="N33:P33"/>
  </mergeCells>
  <hyperlinks>
    <hyperlink ref="O11" r:id="rId1" display="Mouser"/>
    <hyperlink ref="O13" r:id="rId2" display="Mouser"/>
    <hyperlink ref="O14" r:id="rId3" display="Mouser"/>
    <hyperlink ref="O3" r:id="rId4" display="LCSC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 Boards</vt:lpstr>
      <vt:lpstr>10 Boards</vt:lpstr>
      <vt:lpstr>100 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haroon traders</cp:lastModifiedBy>
  <dcterms:created xsi:type="dcterms:W3CDTF">2019-12-12T10:34:00Z</dcterms:created>
  <dcterms:modified xsi:type="dcterms:W3CDTF">2025-09-11T15:13:48Z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1F044745E8484B7095D7A48C94D3AE18_12</vt:lpwstr>
  </property>
  <property fmtid="{D5CDD505-2E9C-101B-9397-08002B2CF9AE}" pid="3" name="KSOProductBuildVer">
    <vt:lpwstr>2057-12.2.0.21931</vt:lpwstr>
  </property>
</Properties>
</file>