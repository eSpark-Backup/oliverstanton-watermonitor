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BB_Production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2" i="1" l="1"/>
  <c r="M14" i="1"/>
  <c r="M13" i="1"/>
  <c r="O5" i="1"/>
  <c r="O6" i="1"/>
  <c r="O7" i="1"/>
  <c r="O8" i="1"/>
  <c r="O9" i="1"/>
  <c r="O10" i="1"/>
  <c r="O12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4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M18" i="1"/>
  <c r="B18" i="1"/>
  <c r="Q17" i="1"/>
  <c r="M17" i="1"/>
  <c r="B17" i="1"/>
  <c r="Q16" i="1"/>
  <c r="M16" i="1"/>
  <c r="B16" i="1"/>
  <c r="Q15" i="1"/>
  <c r="M15" i="1"/>
  <c r="B15" i="1"/>
  <c r="Q14" i="1"/>
  <c r="B14" i="1"/>
  <c r="Q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3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<sst xmlns="http://schemas.openxmlformats.org/spreadsheetml/2006/main" count="367" uniqueCount="209">
  <si>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</si>
  <si>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</si>
  <si>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</si>
  <si>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</si>
  <si>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</si>
  <si>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</si>
  <si>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</si>
  <si>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Wire To Board Connector</t>
  </si>
  <si>
    <t>Terminal Blocks</t>
  </si>
  <si>
    <t>Male Header</t>
  </si>
  <si>
    <t>Inductor</t>
  </si>
  <si>
    <t>Mosfet</t>
  </si>
  <si>
    <t>Resistor</t>
  </si>
  <si>
    <t>Resistors</t>
  </si>
  <si>
    <t>IC</t>
  </si>
  <si>
    <t>Designator</t>
  </si>
  <si>
    <t>C1, C2</t>
  </si>
  <si>
    <t>C3</t>
  </si>
  <si>
    <t>C4, C5</t>
  </si>
  <si>
    <t>C6</t>
  </si>
  <si>
    <t>C7, C8, C9, C10, C11</t>
  </si>
  <si>
    <t>D1</t>
  </si>
  <si>
    <t>D2, D3</t>
  </si>
  <si>
    <t>J1</t>
  </si>
  <si>
    <t>J2, J4</t>
  </si>
  <si>
    <t>J3, J5</t>
  </si>
  <si>
    <t>J6, J7, J8, J12</t>
  </si>
  <si>
    <t>J9, J10, J11</t>
  </si>
  <si>
    <t>L1</t>
  </si>
  <si>
    <t>Q1, Q2, Q3</t>
  </si>
  <si>
    <t>R1, R2, R3, R4, R5, R6, R7, R8, R9, R10, R11, R12, R13</t>
  </si>
  <si>
    <t>R14</t>
  </si>
  <si>
    <t>R15</t>
  </si>
  <si>
    <t>R16, R20, R22, R26</t>
  </si>
  <si>
    <t>R17, R18, R23, R24</t>
  </si>
  <si>
    <t>R19, R25</t>
  </si>
  <si>
    <t>R21, R27</t>
  </si>
  <si>
    <t>R28, R30, R38</t>
  </si>
  <si>
    <t>R29, R37, R39</t>
  </si>
  <si>
    <t>R31, R33, R35</t>
  </si>
  <si>
    <t>R32, R34, R36</t>
  </si>
  <si>
    <t>U1</t>
  </si>
  <si>
    <t>U2, U3</t>
  </si>
  <si>
    <t>U4, U5, U6</t>
  </si>
  <si>
    <t>U7, U8, U9</t>
  </si>
  <si>
    <t>Description</t>
  </si>
  <si>
    <t>CAP CER 0.1UF 50V Y5V 0603</t>
  </si>
  <si>
    <t>CAP TANT 100UF 20% 10V 1411</t>
  </si>
  <si>
    <t>CAP CER 47UF 25V X5R 1206</t>
  </si>
  <si>
    <t>CAP CER 0.1UF 25V X7R 0402</t>
  </si>
  <si>
    <t>CAP CER 0.1UF 16V X7R 0402</t>
  </si>
  <si>
    <t>SCHOTTKY DIODE SMB 100V 5A</t>
  </si>
  <si>
    <t>SOT-23 TVS ROHS</t>
  </si>
  <si>
    <t>1x16P PicoBlade(MX 1.25) 16P Tin 16 -25℃~+85℃ 2A 1 1.25mm Brass Surface Mount,Vertical SMD,P=1.25mm Wire To Board Connector ROHS</t>
  </si>
  <si>
    <t>TERMINAL BLOCK, SCREW TYPE, 5.08</t>
  </si>
  <si>
    <t>Gold 250V 3A Straight Square Pins 2.5mm 2P 260℃ 6mm -40℃~+105℃ 3mm 2.54mm Plugin Black Brass 1x2P Plugin,P=2.54mm Pin Headers ROHS</t>
  </si>
  <si>
    <t>3.5A 47uH ±20% 4A 125mΩ SMD,10x11mm Inductors (SMD) ROHS</t>
  </si>
  <si>
    <t>Single N-Channel, 20V, 4.7A, Power MOSFET</t>
  </si>
  <si>
    <t>RES 0 OHM JUMPER 1/10W 0603</t>
  </si>
  <si>
    <t>RES 0 OHM JUMPER 1/4W 1206</t>
  </si>
  <si>
    <t>RES 10K OHM 1% 1/16W 0402</t>
  </si>
  <si>
    <t>RES 0 OHM JUMPER 1/16W 0402</t>
  </si>
  <si>
    <t>RES 120 OHM 1% 1/10W 0603</t>
  </si>
  <si>
    <t>RES SMD 100 OHM 1% 1/4W 0603</t>
  </si>
  <si>
    <t>RES 1K OHM 1% 1/16W 0402</t>
  </si>
  <si>
    <t>RES 2.2K OHM 1% 1/10W 0603</t>
  </si>
  <si>
    <t>RES SMD 3.3K OHM 1% 1/10W 0603</t>
  </si>
  <si>
    <t>IC REG BUCK 3.3V 2A 8SOP</t>
  </si>
  <si>
    <t>SOP-8 RS-485/RS-422 ICs ROHS</t>
  </si>
  <si>
    <t>TransistorOptocouplers DC 1 2500Vrms SOP-4_P1.27 Optocouplers RoHS</t>
  </si>
  <si>
    <t>IC GATE DRVR LOW-SIDE SOT23-5</t>
  </si>
  <si>
    <t>Footprint</t>
  </si>
  <si>
    <t>Cap-0603</t>
  </si>
  <si>
    <t>Case-B</t>
  </si>
  <si>
    <t>Cap-1206</t>
  </si>
  <si>
    <t>Cap-0402</t>
  </si>
  <si>
    <t>SMB_</t>
  </si>
  <si>
    <t>SOT-23</t>
  </si>
  <si>
    <t>HC-1.25-16PLT</t>
  </si>
  <si>
    <t>TB008A-508-04BE</t>
  </si>
  <si>
    <t>HDR1X2_</t>
  </si>
  <si>
    <t>TB008A-508-02BE</t>
  </si>
  <si>
    <t>TB008A-508-03BE</t>
  </si>
  <si>
    <t>MDA1040-470M</t>
  </si>
  <si>
    <t>sot-23</t>
  </si>
  <si>
    <t>Res-0603</t>
  </si>
  <si>
    <t>Res-1206</t>
  </si>
  <si>
    <t>Res-0402</t>
  </si>
  <si>
    <t>RES-0603</t>
  </si>
  <si>
    <t>SOP-8L</t>
  </si>
  <si>
    <t>SOP-8</t>
  </si>
  <si>
    <t>SOP-4_1.27</t>
  </si>
  <si>
    <t>SOT-23-5</t>
  </si>
  <si>
    <t>Manufacturer Part Number</t>
  </si>
  <si>
    <t>CC0603ZRY5V9BB104</t>
  </si>
  <si>
    <t>TAJB107M010RNJ</t>
  </si>
  <si>
    <t>GRM31CR61E476ME44L</t>
  </si>
  <si>
    <t>GRM155R71E104KE14D</t>
  </si>
  <si>
    <t>CC0402JRX7R7BB104</t>
  </si>
  <si>
    <t>SS510B</t>
  </si>
  <si>
    <t>SM712</t>
  </si>
  <si>
    <t>X6511WV-02H-C60D30</t>
  </si>
  <si>
    <t>WNM2016A-3/TR</t>
  </si>
  <si>
    <t>RC0603JR-070RL</t>
  </si>
  <si>
    <t>RC1206JR-070RL</t>
  </si>
  <si>
    <t>RC0402FR-0710KL</t>
  </si>
  <si>
    <t>RC0402FR-070RL</t>
  </si>
  <si>
    <t>RC0603FR-07120RL</t>
  </si>
  <si>
    <t>RCA0603100RFKEAHP</t>
  </si>
  <si>
    <t>RC0402FR-071KL</t>
  </si>
  <si>
    <t>RC0603FR-072K2L</t>
  </si>
  <si>
    <t>RC0603FR-073K3L</t>
  </si>
  <si>
    <t>AP1509-33SG-13</t>
  </si>
  <si>
    <t>SP3485EIM/TR</t>
  </si>
  <si>
    <t>PS2801C-1-F3-A</t>
  </si>
  <si>
    <t>UCC27517DBVR</t>
  </si>
  <si>
    <t>Manufacturer</t>
  </si>
  <si>
    <t>Yageo</t>
  </si>
  <si>
    <t>Kyocera AVX</t>
  </si>
  <si>
    <t>Murata</t>
  </si>
  <si>
    <t>MDD</t>
  </si>
  <si>
    <t>TECH PUBLIC</t>
  </si>
  <si>
    <t>HCTL</t>
  </si>
  <si>
    <t>Same Sky</t>
  </si>
  <si>
    <t>XKB</t>
  </si>
  <si>
    <t>KOHERelec</t>
  </si>
  <si>
    <t>WILLSEMI</t>
  </si>
  <si>
    <t>Vishay Dale</t>
  </si>
  <si>
    <t>Yageo Phycomp</t>
  </si>
  <si>
    <t>Diodes</t>
  </si>
  <si>
    <t>HGSEMI</t>
  </si>
  <si>
    <t>RENESAS</t>
  </si>
  <si>
    <t>Texas Instruments</t>
  </si>
  <si>
    <t>LCSC Part Number</t>
  </si>
  <si>
    <t>C106221</t>
  </si>
  <si>
    <t>C7196</t>
  </si>
  <si>
    <t>C403725</t>
  </si>
  <si>
    <t>C77014</t>
  </si>
  <si>
    <t>C541464</t>
  </si>
  <si>
    <t>C3011128</t>
  </si>
  <si>
    <t>C521963</t>
  </si>
  <si>
    <t>C3012301</t>
  </si>
  <si>
    <t>C706874</t>
  </si>
  <si>
    <t>C2847557</t>
  </si>
  <si>
    <t>C601105</t>
  </si>
  <si>
    <t>C95177</t>
  </si>
  <si>
    <t>C60490</t>
  </si>
  <si>
    <t>C106231</t>
  </si>
  <si>
    <t>C114640</t>
  </si>
  <si>
    <t>C2074203</t>
  </si>
  <si>
    <t>C106235</t>
  </si>
  <si>
    <t>C114662</t>
  </si>
  <si>
    <t>C108078</t>
  </si>
  <si>
    <t>C151823</t>
  </si>
  <si>
    <t>C519086</t>
  </si>
  <si>
    <t>C67112</t>
  </si>
  <si>
    <t>C99395</t>
  </si>
  <si>
    <t>0.1uF</t>
  </si>
  <si>
    <t>100uF</t>
  </si>
  <si>
    <t>47uF</t>
  </si>
  <si>
    <t>47uH</t>
  </si>
  <si>
    <t>0R</t>
  </si>
  <si>
    <t>DNP</t>
  </si>
  <si>
    <t>10K</t>
  </si>
  <si>
    <t>120R</t>
  </si>
  <si>
    <t>100R</t>
  </si>
  <si>
    <t>1K</t>
  </si>
  <si>
    <t>2.2K</t>
  </si>
  <si>
    <t>3.3K</t>
  </si>
  <si>
    <t>Quantity</t>
  </si>
  <si>
    <t xml:space="preserve"> Remarks</t>
  </si>
  <si>
    <t>Total Cost (5 Boards)</t>
  </si>
  <si>
    <t>Unit Cost (5 Boards)</t>
  </si>
  <si>
    <t>Links</t>
  </si>
  <si>
    <t>MOQ (5 Boards)</t>
  </si>
  <si>
    <t>Quantity (5 Boards)</t>
  </si>
  <si>
    <t>Alternate Part Number</t>
  </si>
  <si>
    <t>Value</t>
  </si>
  <si>
    <t>Custom</t>
  </si>
  <si>
    <t>-</t>
  </si>
  <si>
    <t>C108081</t>
  </si>
  <si>
    <t>DO NOT PLACE</t>
  </si>
  <si>
    <t>5</t>
  </si>
  <si>
    <t>10</t>
  </si>
  <si>
    <t>100</t>
  </si>
  <si>
    <t>20</t>
  </si>
  <si>
    <t>15</t>
  </si>
  <si>
    <t>0.2615</t>
  </si>
  <si>
    <t>0.2845</t>
  </si>
  <si>
    <t>0.0030</t>
  </si>
  <si>
    <t>0.0017</t>
  </si>
  <si>
    <t>0.0362</t>
  </si>
  <si>
    <t>0.0397</t>
  </si>
  <si>
    <t>0.1995</t>
  </si>
  <si>
    <t>0.0308</t>
  </si>
  <si>
    <t>0.9397</t>
  </si>
  <si>
    <t>0.0637</t>
  </si>
  <si>
    <t>0.0011</t>
  </si>
  <si>
    <t>0.0031</t>
  </si>
  <si>
    <t>0.0006</t>
  </si>
  <si>
    <t>0.0012</t>
  </si>
  <si>
    <t>0.0972</t>
  </si>
  <si>
    <t>0.4689</t>
  </si>
  <si>
    <t>0.2422</t>
  </si>
  <si>
    <t>0.2725</t>
  </si>
  <si>
    <t>0.2074</t>
  </si>
  <si>
    <t>https://lcsc.com/product-detail/tantalum-capacitors_kyocera-avx-tajb107m010rnj_C7196.html</t>
  </si>
  <si>
    <t>LCSC</t>
  </si>
  <si>
    <t>Mouser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</si>
</sst>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1" fillId="0" borderId="0" xfId="1" applyAlignment="1"/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/>
    </xf>
    <xf numFmtId="164" fontId="5" fillId="2" borderId="15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/>
    </xf>
    <xf numFmtId="0" fontId="12" fillId="0" borderId="16" xfId="1" applyFont="1" applyBorder="1" applyAlignment="1">
      <alignment horizontal="center" vertical="center"/>
    </xf>
    <xf numFmtId="0" fontId="11" fillId="0" borderId="10" xfId="1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u.mouser.com/ProductDetail/Same-Sky/TB008A-508-04BE?qs=vLWxofP3U2wE%252BeCFz1tLxg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tantalum-capacitors_kyocera-avx-tajb107m010rnj_C7196.html" TargetMode="External"/><Relationship Id="rId1" Type="http://schemas.openxmlformats.org/officeDocument/2006/relationships/hyperlink" Target="https://lcsc.com/product-detail/tantalum-capacitors_kyocera-avx-tajb107m010rnj_C7196.html" TargetMode="External"/><Relationship Id="rId6" Type="http://schemas.openxmlformats.org/officeDocument/2006/relationships/hyperlink" Target="https://lcsc.com/product-detail/Multilayer-Ceramic-Capacitors-MLCC-SMD-SMT_YAGEO-CC0603ZRY5V9BB104_C106221.html?s_z=n_C106221" TargetMode="External"/><Relationship Id="rId5" Type="http://schemas.openxmlformats.org/officeDocument/2006/relationships/hyperlink" Target="https://eu.mouser.com/ProductDetail/Same-Sky/TB008A-508-03BE?qs=vLWxofP3U2ySMdcVUeIORQ%3D%3D" TargetMode="External"/><Relationship Id="rId4" Type="http://schemas.openxmlformats.org/officeDocument/2006/relationships/hyperlink" Target="https://eu.mouser.com/ProductDetail/Same-Sky/TB008A-508-02BE?qs=vLWxofP3U2w5I2Hxj8y2hQ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45"/>
  <sheetViews>
    <sheetView tabSelected="1" workbookViewId="0">
      <selection activeCell="D16" sqref="D16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14" bestFit="1" customWidth="1"/>
  </cols>
  <sheetData>
    <row r="1" spans="1:2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19"/>
      <c r="L1" s="19"/>
      <c r="M1" s="19"/>
      <c r="N1" s="19"/>
      <c r="O1" s="19"/>
      <c r="P1" s="19"/>
      <c r="Q1" s="19"/>
      <c r="R1" s="19"/>
    </row>
    <row r="2" spans="1:28" ht="15.75" thickBot="1">
      <c r="A2" s="1"/>
      <c r="B2" s="5" t="s">
        <v>0</v>
      </c>
      <c r="C2" s="5" t="s">
        <v>3</v>
      </c>
      <c r="D2" s="5" t="s">
        <v>15</v>
      </c>
      <c r="E2" s="5" t="s">
        <v>45</v>
      </c>
      <c r="F2" s="5" t="s">
        <v>71</v>
      </c>
      <c r="G2" s="5" t="s">
        <v>93</v>
      </c>
      <c r="H2" s="5" t="s">
        <v>116</v>
      </c>
      <c r="I2" s="5" t="s">
        <v>176</v>
      </c>
      <c r="J2" s="5" t="s">
        <v>133</v>
      </c>
      <c r="K2" s="5" t="s">
        <v>177</v>
      </c>
      <c r="L2" s="5" t="s">
        <v>169</v>
      </c>
      <c r="M2" s="5" t="s">
        <v>175</v>
      </c>
      <c r="N2" s="29" t="s">
        <v>174</v>
      </c>
      <c r="O2" s="5" t="s">
        <v>173</v>
      </c>
      <c r="P2" s="32" t="s">
        <v>172</v>
      </c>
      <c r="Q2" s="5" t="s">
        <v>171</v>
      </c>
      <c r="R2" s="5" t="s">
        <v>170</v>
      </c>
    </row>
    <row r="3" spans="1:28">
      <c r="A3" s="1"/>
      <c r="B3" s="8">
        <f>ROW(B3) - ROW($B$2)</f>
        <v>1</v>
      </c>
      <c r="C3" s="14" t="s">
        <v>4</v>
      </c>
      <c r="D3" s="6" t="s">
        <v>16</v>
      </c>
      <c r="E3" s="6" t="s">
        <v>46</v>
      </c>
      <c r="F3" s="6" t="s">
        <v>72</v>
      </c>
      <c r="G3" s="6" t="s">
        <v>94</v>
      </c>
      <c r="H3" s="6" t="s">
        <v>117</v>
      </c>
      <c r="I3" s="6" t="s">
        <v>179</v>
      </c>
      <c r="J3" s="6" t="s">
        <v>134</v>
      </c>
      <c r="K3" s="17" t="s">
        <v>157</v>
      </c>
      <c r="L3" s="6">
        <v>2</v>
      </c>
      <c r="M3" s="6">
        <f>L3*5</f>
        <v>10</v>
      </c>
      <c r="N3" s="30">
        <v>100</v>
      </c>
      <c r="O3" s="35" t="s">
        <v>207</v>
      </c>
      <c r="P3" s="33">
        <v>3.0999999999999999E-3</v>
      </c>
      <c r="Q3" s="7">
        <f>P3*N3</f>
        <v>0.31</v>
      </c>
      <c r="R3" s="6"/>
    </row>
    <row r="4" spans="1:28">
      <c r="A4" s="1"/>
      <c r="B4" s="9">
        <f t="shared" ref="B4:B30" si="0">ROW(B4) - ROW($B$2)</f>
        <v>2</v>
      </c>
      <c r="C4" s="15" t="s">
        <v>4</v>
      </c>
      <c r="D4" s="12" t="s">
        <v>17</v>
      </c>
      <c r="E4" s="12" t="s">
        <v>47</v>
      </c>
      <c r="F4" s="12" t="s">
        <v>73</v>
      </c>
      <c r="G4" s="12" t="s">
        <v>95</v>
      </c>
      <c r="H4" s="12" t="s">
        <v>118</v>
      </c>
      <c r="I4" s="6" t="s">
        <v>179</v>
      </c>
      <c r="J4" s="12" t="s">
        <v>135</v>
      </c>
      <c r="K4" s="18" t="s">
        <v>158</v>
      </c>
      <c r="L4" s="12">
        <v>1</v>
      </c>
      <c r="M4" s="12">
        <f t="shared" ref="M4" si="1">L4*5</f>
        <v>5</v>
      </c>
      <c r="N4" s="27" t="s">
        <v>182</v>
      </c>
      <c r="O4" s="35" t="str">
        <f>HYPERLINK(AB4, "LCSC")</f>
        <v>LCSC</v>
      </c>
      <c r="P4" s="28" t="s">
        <v>187</v>
      </c>
      <c r="Q4" s="13">
        <f>P4*N4</f>
        <v>1.3075000000000001</v>
      </c>
      <c r="R4" s="12"/>
      <c r="V4" s="26"/>
      <c r="AB4" s="37" t="s">
        <v>206</v>
      </c>
    </row>
    <row r="5" spans="1:28">
      <c r="A5" s="1"/>
      <c r="B5" s="8">
        <f>ROW(B5) - ROW($B$2)</f>
        <v>3</v>
      </c>
      <c r="C5" s="14" t="s">
        <v>4</v>
      </c>
      <c r="D5" s="6" t="s">
        <v>18</v>
      </c>
      <c r="E5" s="6" t="s">
        <v>48</v>
      </c>
      <c r="F5" s="6" t="s">
        <v>74</v>
      </c>
      <c r="G5" s="6" t="s">
        <v>96</v>
      </c>
      <c r="H5" s="6" t="s">
        <v>119</v>
      </c>
      <c r="I5" s="6" t="s">
        <v>179</v>
      </c>
      <c r="J5" s="6" t="s">
        <v>136</v>
      </c>
      <c r="K5" s="17" t="s">
        <v>159</v>
      </c>
      <c r="L5" s="6">
        <v>2</v>
      </c>
      <c r="M5" s="6">
        <f>L5*5</f>
        <v>10</v>
      </c>
      <c r="N5" s="30" t="s">
        <v>183</v>
      </c>
      <c r="O5" s="35" t="str">
        <f t="shared" ref="O5:O31" si="2">HYPERLINK(AB5, "LCSC")</f>
        <v>LCSC</v>
      </c>
      <c r="P5" s="33" t="s">
        <v>188</v>
      </c>
      <c r="Q5" s="7">
        <f>P5*N5</f>
        <v>2.8449999999999998</v>
      </c>
      <c r="R5" s="6"/>
      <c r="V5" s="26"/>
      <c r="AB5" s="37" t="s">
        <v>206</v>
      </c>
    </row>
    <row r="6" spans="1:28">
      <c r="A6" s="1"/>
      <c r="B6" s="9">
        <f t="shared" si="0"/>
        <v>4</v>
      </c>
      <c r="C6" s="15" t="s">
        <v>5</v>
      </c>
      <c r="D6" s="12" t="s">
        <v>19</v>
      </c>
      <c r="E6" s="12" t="s">
        <v>49</v>
      </c>
      <c r="F6" s="12" t="s">
        <v>75</v>
      </c>
      <c r="G6" s="12" t="s">
        <v>97</v>
      </c>
      <c r="H6" s="12" t="s">
        <v>119</v>
      </c>
      <c r="I6" s="6" t="s">
        <v>179</v>
      </c>
      <c r="J6" s="12" t="s">
        <v>137</v>
      </c>
      <c r="K6" s="18" t="s">
        <v>157</v>
      </c>
      <c r="L6" s="12">
        <v>1</v>
      </c>
      <c r="M6" s="12">
        <f t="shared" ref="M6" si="3">L6*5</f>
        <v>5</v>
      </c>
      <c r="N6" s="27" t="s">
        <v>184</v>
      </c>
      <c r="O6" s="35" t="str">
        <f t="shared" si="2"/>
        <v>LCSC</v>
      </c>
      <c r="P6" s="28" t="s">
        <v>189</v>
      </c>
      <c r="Q6" s="13">
        <f>P6*N6</f>
        <v>0.3</v>
      </c>
      <c r="R6" s="12"/>
      <c r="V6" s="26"/>
      <c r="AB6" s="37" t="s">
        <v>206</v>
      </c>
    </row>
    <row r="7" spans="1:28">
      <c r="A7" s="1"/>
      <c r="B7" s="8">
        <f>ROW(B7) - ROW($B$2)</f>
        <v>5</v>
      </c>
      <c r="C7" s="14" t="s">
        <v>4</v>
      </c>
      <c r="D7" s="6" t="s">
        <v>20</v>
      </c>
      <c r="E7" s="6" t="s">
        <v>50</v>
      </c>
      <c r="F7" s="6" t="s">
        <v>75</v>
      </c>
      <c r="G7" s="6" t="s">
        <v>98</v>
      </c>
      <c r="H7" s="6" t="s">
        <v>117</v>
      </c>
      <c r="I7" s="6" t="s">
        <v>179</v>
      </c>
      <c r="J7" s="6" t="s">
        <v>138</v>
      </c>
      <c r="K7" s="17" t="s">
        <v>157</v>
      </c>
      <c r="L7" s="6">
        <v>5</v>
      </c>
      <c r="M7" s="6">
        <f>L7*5</f>
        <v>25</v>
      </c>
      <c r="N7" s="30" t="s">
        <v>184</v>
      </c>
      <c r="O7" s="35" t="str">
        <f t="shared" si="2"/>
        <v>LCSC</v>
      </c>
      <c r="P7" s="33" t="s">
        <v>190</v>
      </c>
      <c r="Q7" s="7">
        <f>P7*N7</f>
        <v>0.16999999999999998</v>
      </c>
      <c r="R7" s="6"/>
      <c r="V7" s="26"/>
      <c r="AB7" s="37" t="s">
        <v>206</v>
      </c>
    </row>
    <row r="8" spans="1:28">
      <c r="A8" s="1"/>
      <c r="B8" s="9">
        <f t="shared" si="0"/>
        <v>6</v>
      </c>
      <c r="C8" s="15" t="s">
        <v>6</v>
      </c>
      <c r="D8" s="12" t="s">
        <v>21</v>
      </c>
      <c r="E8" s="12" t="s">
        <v>51</v>
      </c>
      <c r="F8" s="12" t="s">
        <v>76</v>
      </c>
      <c r="G8" s="12" t="s">
        <v>99</v>
      </c>
      <c r="H8" s="12" t="s">
        <v>120</v>
      </c>
      <c r="I8" s="6" t="s">
        <v>179</v>
      </c>
      <c r="J8" s="12" t="s">
        <v>139</v>
      </c>
      <c r="K8" s="18" t="s">
        <v>179</v>
      </c>
      <c r="L8" s="12">
        <v>1</v>
      </c>
      <c r="M8" s="12">
        <f t="shared" ref="M8" si="4">L8*5</f>
        <v>5</v>
      </c>
      <c r="N8" s="27" t="s">
        <v>183</v>
      </c>
      <c r="O8" s="35" t="str">
        <f t="shared" si="2"/>
        <v>LCSC</v>
      </c>
      <c r="P8" s="28" t="s">
        <v>191</v>
      </c>
      <c r="Q8" s="13">
        <f>P8*N8</f>
        <v>0.36200000000000004</v>
      </c>
      <c r="R8" s="12"/>
      <c r="V8" s="26"/>
      <c r="AB8" s="37" t="s">
        <v>206</v>
      </c>
    </row>
    <row r="9" spans="1:28">
      <c r="A9" s="1"/>
      <c r="B9" s="8">
        <f>ROW(B9) - ROW($B$2)</f>
        <v>7</v>
      </c>
      <c r="C9" s="14" t="s">
        <v>6</v>
      </c>
      <c r="D9" s="6" t="s">
        <v>22</v>
      </c>
      <c r="E9" s="6" t="s">
        <v>52</v>
      </c>
      <c r="F9" s="6" t="s">
        <v>77</v>
      </c>
      <c r="G9" s="6" t="s">
        <v>100</v>
      </c>
      <c r="H9" s="6" t="s">
        <v>121</v>
      </c>
      <c r="I9" s="6" t="s">
        <v>179</v>
      </c>
      <c r="J9" s="6" t="s">
        <v>140</v>
      </c>
      <c r="K9" s="18" t="s">
        <v>179</v>
      </c>
      <c r="L9" s="6">
        <v>2</v>
      </c>
      <c r="M9" s="6">
        <f>L9*5</f>
        <v>10</v>
      </c>
      <c r="N9" s="30" t="s">
        <v>183</v>
      </c>
      <c r="O9" s="35" t="str">
        <f t="shared" si="2"/>
        <v>LCSC</v>
      </c>
      <c r="P9" s="33" t="s">
        <v>192</v>
      </c>
      <c r="Q9" s="7">
        <f>P9*N9</f>
        <v>0.39700000000000002</v>
      </c>
      <c r="R9" s="6"/>
      <c r="V9" s="26"/>
      <c r="AB9" s="37" t="s">
        <v>206</v>
      </c>
    </row>
    <row r="10" spans="1:28" ht="48">
      <c r="A10" s="1"/>
      <c r="B10" s="9">
        <f t="shared" si="0"/>
        <v>8</v>
      </c>
      <c r="C10" s="15" t="s">
        <v>7</v>
      </c>
      <c r="D10" s="12" t="s">
        <v>23</v>
      </c>
      <c r="E10" s="12" t="s">
        <v>53</v>
      </c>
      <c r="F10" s="12" t="s">
        <v>178</v>
      </c>
      <c r="G10" s="12" t="s">
        <v>78</v>
      </c>
      <c r="H10" s="12" t="s">
        <v>122</v>
      </c>
      <c r="I10" s="6" t="s">
        <v>179</v>
      </c>
      <c r="J10" s="12" t="s">
        <v>141</v>
      </c>
      <c r="K10" s="18" t="s">
        <v>179</v>
      </c>
      <c r="L10" s="12">
        <v>1</v>
      </c>
      <c r="M10" s="12">
        <f t="shared" ref="M10" si="5">L10*5</f>
        <v>5</v>
      </c>
      <c r="N10" s="27" t="s">
        <v>182</v>
      </c>
      <c r="O10" s="35" t="str">
        <f t="shared" si="2"/>
        <v>LCSC</v>
      </c>
      <c r="P10" s="28" t="s">
        <v>193</v>
      </c>
      <c r="Q10" s="13">
        <f>P10*N10</f>
        <v>0.99750000000000005</v>
      </c>
      <c r="R10" s="12"/>
      <c r="V10" s="26"/>
      <c r="AB10" s="37" t="s">
        <v>206</v>
      </c>
    </row>
    <row r="11" spans="1:28">
      <c r="A11" s="1"/>
      <c r="B11" s="8">
        <f>ROW(B11) - ROW($B$2)</f>
        <v>9</v>
      </c>
      <c r="C11" s="14" t="s">
        <v>8</v>
      </c>
      <c r="D11" s="6" t="s">
        <v>24</v>
      </c>
      <c r="E11" s="6" t="s">
        <v>54</v>
      </c>
      <c r="F11" s="12" t="s">
        <v>178</v>
      </c>
      <c r="G11" s="6" t="s">
        <v>79</v>
      </c>
      <c r="H11" s="6" t="s">
        <v>123</v>
      </c>
      <c r="I11" s="6" t="s">
        <v>179</v>
      </c>
      <c r="J11" s="6" t="s">
        <v>179</v>
      </c>
      <c r="K11" s="18" t="s">
        <v>179</v>
      </c>
      <c r="L11" s="6">
        <v>2</v>
      </c>
      <c r="M11" s="6">
        <f>L11*5</f>
        <v>10</v>
      </c>
      <c r="N11" s="30" t="s">
        <v>183</v>
      </c>
      <c r="O11" s="35" t="s">
        <v>208</v>
      </c>
      <c r="P11" s="33">
        <v>1.1399999999999999</v>
      </c>
      <c r="Q11" s="7">
        <f>P11*N11</f>
        <v>11.399999999999999</v>
      </c>
      <c r="R11" s="6"/>
      <c r="V11" s="26"/>
      <c r="AB11" s="37" t="s">
        <v>206</v>
      </c>
    </row>
    <row r="12" spans="1:28" ht="48">
      <c r="A12" s="1"/>
      <c r="B12" s="9">
        <f t="shared" si="0"/>
        <v>10</v>
      </c>
      <c r="C12" s="15" t="s">
        <v>9</v>
      </c>
      <c r="D12" s="12" t="s">
        <v>25</v>
      </c>
      <c r="E12" s="12" t="s">
        <v>55</v>
      </c>
      <c r="F12" s="12" t="s">
        <v>80</v>
      </c>
      <c r="G12" s="12" t="s">
        <v>101</v>
      </c>
      <c r="H12" s="12" t="s">
        <v>124</v>
      </c>
      <c r="I12" s="6" t="s">
        <v>179</v>
      </c>
      <c r="J12" s="12" t="s">
        <v>142</v>
      </c>
      <c r="K12" s="18" t="s">
        <v>179</v>
      </c>
      <c r="L12" s="12">
        <v>2</v>
      </c>
      <c r="M12" s="12">
        <f t="shared" ref="M12:M14" si="6">L12*5</f>
        <v>10</v>
      </c>
      <c r="N12" s="27" t="s">
        <v>185</v>
      </c>
      <c r="O12" s="35" t="str">
        <f t="shared" si="2"/>
        <v>LCSC</v>
      </c>
      <c r="P12" s="28" t="s">
        <v>194</v>
      </c>
      <c r="Q12" s="13">
        <f>P12*N12</f>
        <v>0.61599999999999999</v>
      </c>
      <c r="R12" s="12"/>
      <c r="V12" s="26"/>
      <c r="AB12" s="37" t="s">
        <v>206</v>
      </c>
    </row>
    <row r="13" spans="1:28">
      <c r="A13" s="1"/>
      <c r="B13" s="8">
        <f>ROW(B13) - ROW($B$2)</f>
        <v>11</v>
      </c>
      <c r="C13" s="14" t="s">
        <v>8</v>
      </c>
      <c r="D13" s="6" t="s">
        <v>26</v>
      </c>
      <c r="E13" s="6" t="s">
        <v>54</v>
      </c>
      <c r="F13" s="12" t="s">
        <v>178</v>
      </c>
      <c r="G13" s="6" t="s">
        <v>81</v>
      </c>
      <c r="H13" s="6" t="s">
        <v>123</v>
      </c>
      <c r="I13" s="6" t="s">
        <v>179</v>
      </c>
      <c r="J13" s="6" t="s">
        <v>179</v>
      </c>
      <c r="K13" s="18" t="s">
        <v>179</v>
      </c>
      <c r="L13" s="6">
        <v>4</v>
      </c>
      <c r="M13" s="12">
        <f t="shared" si="6"/>
        <v>20</v>
      </c>
      <c r="N13" s="30">
        <v>20</v>
      </c>
      <c r="O13" s="35" t="s">
        <v>208</v>
      </c>
      <c r="P13" s="33">
        <v>0.63</v>
      </c>
      <c r="Q13" s="7">
        <f>P13*N13</f>
        <v>12.6</v>
      </c>
      <c r="R13" s="6"/>
      <c r="V13" s="26"/>
      <c r="AB13" s="37" t="s">
        <v>206</v>
      </c>
    </row>
    <row r="14" spans="1:28">
      <c r="A14" s="1"/>
      <c r="B14" s="9">
        <f t="shared" si="0"/>
        <v>12</v>
      </c>
      <c r="C14" s="15" t="s">
        <v>8</v>
      </c>
      <c r="D14" s="12" t="s">
        <v>27</v>
      </c>
      <c r="E14" s="12" t="s">
        <v>54</v>
      </c>
      <c r="F14" s="12" t="s">
        <v>178</v>
      </c>
      <c r="G14" s="12" t="s">
        <v>82</v>
      </c>
      <c r="H14" s="12" t="s">
        <v>123</v>
      </c>
      <c r="I14" s="6" t="s">
        <v>179</v>
      </c>
      <c r="J14" s="12" t="s">
        <v>179</v>
      </c>
      <c r="K14" s="18" t="s">
        <v>179</v>
      </c>
      <c r="L14" s="12">
        <v>3</v>
      </c>
      <c r="M14" s="12">
        <f t="shared" si="6"/>
        <v>15</v>
      </c>
      <c r="N14" s="27">
        <v>15</v>
      </c>
      <c r="O14" s="35" t="s">
        <v>208</v>
      </c>
      <c r="P14" s="28">
        <v>0.75</v>
      </c>
      <c r="Q14" s="13">
        <f>P14*N14</f>
        <v>11.25</v>
      </c>
      <c r="R14" s="12"/>
      <c r="V14" s="26"/>
      <c r="AB14" s="37" t="s">
        <v>206</v>
      </c>
    </row>
    <row r="15" spans="1:28" ht="24">
      <c r="A15" s="1"/>
      <c r="B15" s="8">
        <f>ROW(B15) - ROW($B$2)</f>
        <v>13</v>
      </c>
      <c r="C15" s="14" t="s">
        <v>10</v>
      </c>
      <c r="D15" s="6" t="s">
        <v>28</v>
      </c>
      <c r="E15" s="6" t="s">
        <v>56</v>
      </c>
      <c r="F15" s="12" t="s">
        <v>178</v>
      </c>
      <c r="G15" s="6" t="s">
        <v>83</v>
      </c>
      <c r="H15" s="6" t="s">
        <v>125</v>
      </c>
      <c r="I15" s="6" t="s">
        <v>179</v>
      </c>
      <c r="J15" s="6" t="s">
        <v>143</v>
      </c>
      <c r="K15" s="17" t="s">
        <v>160</v>
      </c>
      <c r="L15" s="6">
        <v>1</v>
      </c>
      <c r="M15" s="6">
        <f>L15*5</f>
        <v>5</v>
      </c>
      <c r="N15" s="30" t="s">
        <v>182</v>
      </c>
      <c r="O15" s="35" t="str">
        <f t="shared" si="2"/>
        <v>LCSC</v>
      </c>
      <c r="P15" s="33" t="s">
        <v>195</v>
      </c>
      <c r="Q15" s="7">
        <f>P15*N15</f>
        <v>4.6985000000000001</v>
      </c>
      <c r="R15" s="6"/>
      <c r="V15" s="26"/>
      <c r="AB15" s="37" t="s">
        <v>206</v>
      </c>
    </row>
    <row r="16" spans="1:28" ht="24">
      <c r="A16" s="1"/>
      <c r="B16" s="9">
        <f t="shared" si="0"/>
        <v>14</v>
      </c>
      <c r="C16" s="15" t="s">
        <v>11</v>
      </c>
      <c r="D16" s="12" t="s">
        <v>29</v>
      </c>
      <c r="E16" s="12" t="s">
        <v>57</v>
      </c>
      <c r="F16" s="12" t="s">
        <v>84</v>
      </c>
      <c r="G16" s="12" t="s">
        <v>102</v>
      </c>
      <c r="H16" s="12" t="s">
        <v>126</v>
      </c>
      <c r="I16" s="6" t="s">
        <v>179</v>
      </c>
      <c r="J16" s="12" t="s">
        <v>144</v>
      </c>
      <c r="K16" s="18" t="s">
        <v>179</v>
      </c>
      <c r="L16" s="12">
        <v>3</v>
      </c>
      <c r="M16" s="12">
        <f t="shared" ref="M16" si="7">L16*5</f>
        <v>15</v>
      </c>
      <c r="N16" s="27" t="s">
        <v>185</v>
      </c>
      <c r="O16" s="35" t="str">
        <f t="shared" si="2"/>
        <v>LCSC</v>
      </c>
      <c r="P16" s="28" t="s">
        <v>196</v>
      </c>
      <c r="Q16" s="13">
        <f>P16*N16</f>
        <v>1.274</v>
      </c>
      <c r="R16" s="12"/>
      <c r="V16" s="26"/>
      <c r="AB16" s="37" t="s">
        <v>206</v>
      </c>
    </row>
    <row r="17" spans="1:28" ht="24">
      <c r="A17" s="1"/>
      <c r="B17" s="8">
        <f>ROW(B17) - ROW($B$2)</f>
        <v>15</v>
      </c>
      <c r="C17" s="14" t="s">
        <v>12</v>
      </c>
      <c r="D17" s="6" t="s">
        <v>30</v>
      </c>
      <c r="E17" s="6" t="s">
        <v>58</v>
      </c>
      <c r="F17" s="6" t="s">
        <v>85</v>
      </c>
      <c r="G17" s="6" t="s">
        <v>103</v>
      </c>
      <c r="H17" s="6" t="s">
        <v>117</v>
      </c>
      <c r="I17" s="6" t="s">
        <v>179</v>
      </c>
      <c r="J17" s="6" t="s">
        <v>145</v>
      </c>
      <c r="K17" s="17" t="s">
        <v>161</v>
      </c>
      <c r="L17" s="6">
        <v>13</v>
      </c>
      <c r="M17" s="6">
        <f>L17*5</f>
        <v>65</v>
      </c>
      <c r="N17" s="30" t="s">
        <v>184</v>
      </c>
      <c r="O17" s="35" t="str">
        <f t="shared" si="2"/>
        <v>LCSC</v>
      </c>
      <c r="P17" s="33" t="s">
        <v>197</v>
      </c>
      <c r="Q17" s="7">
        <f>P17*N17</f>
        <v>0.11</v>
      </c>
      <c r="R17" s="6"/>
      <c r="V17" s="26"/>
      <c r="AB17" s="37" t="s">
        <v>206</v>
      </c>
    </row>
    <row r="18" spans="1:28">
      <c r="A18" s="1"/>
      <c r="B18" s="9">
        <f t="shared" si="0"/>
        <v>16</v>
      </c>
      <c r="C18" s="15" t="s">
        <v>13</v>
      </c>
      <c r="D18" s="22" t="s">
        <v>31</v>
      </c>
      <c r="E18" s="22" t="s">
        <v>59</v>
      </c>
      <c r="F18" s="22" t="s">
        <v>86</v>
      </c>
      <c r="G18" s="22" t="s">
        <v>104</v>
      </c>
      <c r="H18" s="22" t="s">
        <v>117</v>
      </c>
      <c r="I18" s="6" t="s">
        <v>179</v>
      </c>
      <c r="J18" s="22" t="s">
        <v>180</v>
      </c>
      <c r="K18" s="23" t="s">
        <v>162</v>
      </c>
      <c r="L18" s="22">
        <v>1</v>
      </c>
      <c r="M18" s="22">
        <f t="shared" ref="M18" si="8">L18*5</f>
        <v>5</v>
      </c>
      <c r="N18" s="31" t="s">
        <v>184</v>
      </c>
      <c r="O18" s="35" t="str">
        <f t="shared" si="2"/>
        <v>LCSC</v>
      </c>
      <c r="P18" s="34" t="s">
        <v>179</v>
      </c>
      <c r="Q18" s="24" t="s">
        <v>179</v>
      </c>
      <c r="R18" s="25" t="s">
        <v>181</v>
      </c>
      <c r="V18" s="26"/>
      <c r="AB18" s="37" t="s">
        <v>206</v>
      </c>
    </row>
    <row r="19" spans="1:28">
      <c r="A19" s="1"/>
      <c r="B19" s="8">
        <f>ROW(B19) - ROW($B$2)</f>
        <v>17</v>
      </c>
      <c r="C19" s="14" t="s">
        <v>13</v>
      </c>
      <c r="D19" s="6" t="s">
        <v>32</v>
      </c>
      <c r="E19" s="6" t="s">
        <v>59</v>
      </c>
      <c r="F19" s="6" t="s">
        <v>86</v>
      </c>
      <c r="G19" s="6" t="s">
        <v>104</v>
      </c>
      <c r="H19" s="6" t="s">
        <v>117</v>
      </c>
      <c r="I19" s="6" t="s">
        <v>179</v>
      </c>
      <c r="J19" s="6" t="s">
        <v>180</v>
      </c>
      <c r="K19" s="17" t="s">
        <v>161</v>
      </c>
      <c r="L19" s="6">
        <v>1</v>
      </c>
      <c r="M19" s="6">
        <f>L19*5</f>
        <v>5</v>
      </c>
      <c r="N19" s="30" t="s">
        <v>184</v>
      </c>
      <c r="O19" s="35" t="str">
        <f t="shared" si="2"/>
        <v>LCSC</v>
      </c>
      <c r="P19" s="33" t="s">
        <v>198</v>
      </c>
      <c r="Q19" s="7">
        <f>P19*N19</f>
        <v>0.31</v>
      </c>
      <c r="R19" s="6"/>
      <c r="V19" s="26"/>
      <c r="AB19" s="37" t="s">
        <v>206</v>
      </c>
    </row>
    <row r="20" spans="1:28">
      <c r="A20" s="1"/>
      <c r="B20" s="9">
        <f t="shared" si="0"/>
        <v>18</v>
      </c>
      <c r="C20" s="15" t="s">
        <v>12</v>
      </c>
      <c r="D20" s="12" t="s">
        <v>33</v>
      </c>
      <c r="E20" s="12" t="s">
        <v>60</v>
      </c>
      <c r="F20" s="12" t="s">
        <v>87</v>
      </c>
      <c r="G20" s="12" t="s">
        <v>105</v>
      </c>
      <c r="H20" s="12" t="s">
        <v>117</v>
      </c>
      <c r="I20" s="6" t="s">
        <v>179</v>
      </c>
      <c r="J20" s="12" t="s">
        <v>146</v>
      </c>
      <c r="K20" s="18" t="s">
        <v>163</v>
      </c>
      <c r="L20" s="12">
        <v>4</v>
      </c>
      <c r="M20" s="12">
        <f t="shared" ref="M20" si="9">L20*5</f>
        <v>20</v>
      </c>
      <c r="N20" s="27" t="s">
        <v>184</v>
      </c>
      <c r="O20" s="35" t="str">
        <f t="shared" si="2"/>
        <v>LCSC</v>
      </c>
      <c r="P20" s="28" t="s">
        <v>199</v>
      </c>
      <c r="Q20" s="13">
        <f>P20*N20</f>
        <v>0.06</v>
      </c>
      <c r="R20" s="12"/>
      <c r="V20" s="26"/>
      <c r="AB20" s="37" t="s">
        <v>206</v>
      </c>
    </row>
    <row r="21" spans="1:28">
      <c r="A21" s="1"/>
      <c r="B21" s="8">
        <f>ROW(B21) - ROW($B$2)</f>
        <v>19</v>
      </c>
      <c r="C21" s="14" t="s">
        <v>13</v>
      </c>
      <c r="D21" s="6" t="s">
        <v>34</v>
      </c>
      <c r="E21" s="6" t="s">
        <v>61</v>
      </c>
      <c r="F21" s="6" t="s">
        <v>87</v>
      </c>
      <c r="G21" s="6" t="s">
        <v>106</v>
      </c>
      <c r="H21" s="6" t="s">
        <v>117</v>
      </c>
      <c r="I21" s="6" t="s">
        <v>179</v>
      </c>
      <c r="J21" s="6" t="s">
        <v>147</v>
      </c>
      <c r="K21" s="17" t="s">
        <v>161</v>
      </c>
      <c r="L21" s="6">
        <v>4</v>
      </c>
      <c r="M21" s="6">
        <f>L21*5</f>
        <v>20</v>
      </c>
      <c r="N21" s="30" t="s">
        <v>184</v>
      </c>
      <c r="O21" s="35" t="str">
        <f t="shared" si="2"/>
        <v>LCSC</v>
      </c>
      <c r="P21" s="33" t="s">
        <v>199</v>
      </c>
      <c r="Q21" s="7">
        <f>P21*N21</f>
        <v>0.06</v>
      </c>
      <c r="R21" s="6"/>
      <c r="V21" s="26"/>
      <c r="AB21" s="37" t="s">
        <v>206</v>
      </c>
    </row>
    <row r="22" spans="1:28">
      <c r="A22" s="1"/>
      <c r="B22" s="9">
        <f t="shared" si="0"/>
        <v>20</v>
      </c>
      <c r="C22" s="15" t="s">
        <v>12</v>
      </c>
      <c r="D22" s="12" t="s">
        <v>35</v>
      </c>
      <c r="E22" s="12" t="s">
        <v>62</v>
      </c>
      <c r="F22" s="12" t="s">
        <v>85</v>
      </c>
      <c r="G22" s="12" t="s">
        <v>107</v>
      </c>
      <c r="H22" s="12" t="s">
        <v>117</v>
      </c>
      <c r="I22" s="6" t="s">
        <v>179</v>
      </c>
      <c r="J22" s="12" t="s">
        <v>148</v>
      </c>
      <c r="K22" s="18" t="s">
        <v>164</v>
      </c>
      <c r="L22" s="12">
        <v>2</v>
      </c>
      <c r="M22" s="12">
        <f t="shared" ref="M22" si="10">L22*5</f>
        <v>10</v>
      </c>
      <c r="N22" s="27" t="s">
        <v>184</v>
      </c>
      <c r="O22" s="35" t="str">
        <f t="shared" si="2"/>
        <v>LCSC</v>
      </c>
      <c r="P22" s="28" t="s">
        <v>200</v>
      </c>
      <c r="Q22" s="13">
        <f>P22*N22</f>
        <v>0.12</v>
      </c>
      <c r="R22" s="12"/>
      <c r="V22" s="26"/>
      <c r="AB22" s="37" t="s">
        <v>206</v>
      </c>
    </row>
    <row r="23" spans="1:28">
      <c r="A23" s="1"/>
      <c r="B23" s="8">
        <f>ROW(B23) - ROW($B$2)</f>
        <v>21</v>
      </c>
      <c r="C23" s="14" t="s">
        <v>12</v>
      </c>
      <c r="D23" s="22" t="s">
        <v>36</v>
      </c>
      <c r="E23" s="22" t="s">
        <v>60</v>
      </c>
      <c r="F23" s="22" t="s">
        <v>87</v>
      </c>
      <c r="G23" s="22" t="s">
        <v>105</v>
      </c>
      <c r="H23" s="22" t="s">
        <v>117</v>
      </c>
      <c r="I23" s="6" t="s">
        <v>179</v>
      </c>
      <c r="J23" s="22" t="s">
        <v>146</v>
      </c>
      <c r="K23" s="23" t="s">
        <v>162</v>
      </c>
      <c r="L23" s="22">
        <v>2</v>
      </c>
      <c r="M23" s="22">
        <f>L23*5</f>
        <v>10</v>
      </c>
      <c r="N23" s="31" t="s">
        <v>184</v>
      </c>
      <c r="O23" s="35" t="str">
        <f t="shared" si="2"/>
        <v>LCSC</v>
      </c>
      <c r="P23" s="34" t="s">
        <v>179</v>
      </c>
      <c r="Q23" s="24" t="s">
        <v>179</v>
      </c>
      <c r="R23" s="25" t="s">
        <v>181</v>
      </c>
      <c r="V23" s="26"/>
      <c r="AB23" s="37" t="s">
        <v>206</v>
      </c>
    </row>
    <row r="24" spans="1:28">
      <c r="A24" s="1"/>
      <c r="B24" s="9">
        <f t="shared" si="0"/>
        <v>22</v>
      </c>
      <c r="C24" s="14" t="s">
        <v>12</v>
      </c>
      <c r="D24" s="12" t="s">
        <v>37</v>
      </c>
      <c r="E24" s="12" t="s">
        <v>63</v>
      </c>
      <c r="F24" s="12" t="s">
        <v>88</v>
      </c>
      <c r="G24" s="12" t="s">
        <v>108</v>
      </c>
      <c r="H24" s="12" t="s">
        <v>127</v>
      </c>
      <c r="I24" s="6" t="s">
        <v>179</v>
      </c>
      <c r="J24" s="12" t="s">
        <v>149</v>
      </c>
      <c r="K24" s="18" t="s">
        <v>165</v>
      </c>
      <c r="L24" s="12">
        <v>3</v>
      </c>
      <c r="M24" s="12">
        <f t="shared" ref="M24" si="11">L24*5</f>
        <v>15</v>
      </c>
      <c r="N24" s="27" t="s">
        <v>186</v>
      </c>
      <c r="O24" s="35" t="str">
        <f t="shared" si="2"/>
        <v>LCSC</v>
      </c>
      <c r="P24" s="28" t="s">
        <v>201</v>
      </c>
      <c r="Q24" s="13">
        <f>P24*N24</f>
        <v>1.458</v>
      </c>
      <c r="R24" s="12"/>
      <c r="V24" s="26"/>
      <c r="AB24" s="37" t="s">
        <v>206</v>
      </c>
    </row>
    <row r="25" spans="1:28">
      <c r="A25" s="1"/>
      <c r="B25" s="8">
        <f>ROW(B25) - ROW($B$2)</f>
        <v>23</v>
      </c>
      <c r="C25" s="14" t="s">
        <v>12</v>
      </c>
      <c r="D25" s="6" t="s">
        <v>38</v>
      </c>
      <c r="E25" s="6" t="s">
        <v>64</v>
      </c>
      <c r="F25" s="6" t="s">
        <v>87</v>
      </c>
      <c r="G25" s="6" t="s">
        <v>109</v>
      </c>
      <c r="H25" s="6" t="s">
        <v>117</v>
      </c>
      <c r="I25" s="6" t="s">
        <v>179</v>
      </c>
      <c r="J25" s="6" t="s">
        <v>150</v>
      </c>
      <c r="K25" s="17" t="s">
        <v>166</v>
      </c>
      <c r="L25" s="6">
        <v>3</v>
      </c>
      <c r="M25" s="6">
        <f>L25*5</f>
        <v>15</v>
      </c>
      <c r="N25" s="30" t="s">
        <v>184</v>
      </c>
      <c r="O25" s="35" t="str">
        <f t="shared" si="2"/>
        <v>LCSC</v>
      </c>
      <c r="P25" s="33" t="s">
        <v>199</v>
      </c>
      <c r="Q25" s="7">
        <f>P25*N25</f>
        <v>0.06</v>
      </c>
      <c r="R25" s="6"/>
      <c r="V25" s="26"/>
      <c r="AB25" s="37" t="s">
        <v>206</v>
      </c>
    </row>
    <row r="26" spans="1:28">
      <c r="A26" s="1"/>
      <c r="B26" s="9">
        <f t="shared" si="0"/>
        <v>24</v>
      </c>
      <c r="C26" s="15" t="s">
        <v>12</v>
      </c>
      <c r="D26" s="12" t="s">
        <v>39</v>
      </c>
      <c r="E26" s="12" t="s">
        <v>65</v>
      </c>
      <c r="F26" s="12" t="s">
        <v>85</v>
      </c>
      <c r="G26" s="12" t="s">
        <v>110</v>
      </c>
      <c r="H26" s="12" t="s">
        <v>117</v>
      </c>
      <c r="I26" s="6" t="s">
        <v>179</v>
      </c>
      <c r="J26" s="12" t="s">
        <v>151</v>
      </c>
      <c r="K26" s="18" t="s">
        <v>167</v>
      </c>
      <c r="L26" s="12">
        <v>3</v>
      </c>
      <c r="M26" s="12">
        <f t="shared" ref="M26" si="12">L26*5</f>
        <v>15</v>
      </c>
      <c r="N26" s="27" t="s">
        <v>184</v>
      </c>
      <c r="O26" s="35" t="str">
        <f t="shared" si="2"/>
        <v>LCSC</v>
      </c>
      <c r="P26" s="28" t="s">
        <v>200</v>
      </c>
      <c r="Q26" s="13">
        <f>P26*N26</f>
        <v>0.12</v>
      </c>
      <c r="R26" s="12"/>
      <c r="V26" s="26"/>
      <c r="AB26" s="37" t="s">
        <v>206</v>
      </c>
    </row>
    <row r="27" spans="1:28">
      <c r="A27" s="1"/>
      <c r="B27" s="8">
        <f>ROW(B27) - ROW($B$2)</f>
        <v>25</v>
      </c>
      <c r="C27" s="14" t="s">
        <v>12</v>
      </c>
      <c r="D27" s="6" t="s">
        <v>40</v>
      </c>
      <c r="E27" s="6" t="s">
        <v>66</v>
      </c>
      <c r="F27" s="6" t="s">
        <v>85</v>
      </c>
      <c r="G27" s="6" t="s">
        <v>111</v>
      </c>
      <c r="H27" s="6" t="s">
        <v>128</v>
      </c>
      <c r="I27" s="6" t="s">
        <v>179</v>
      </c>
      <c r="J27" s="6" t="s">
        <v>152</v>
      </c>
      <c r="K27" s="17" t="s">
        <v>168</v>
      </c>
      <c r="L27" s="6">
        <v>3</v>
      </c>
      <c r="M27" s="6">
        <f>L27*5</f>
        <v>15</v>
      </c>
      <c r="N27" s="30" t="s">
        <v>184</v>
      </c>
      <c r="O27" s="35" t="str">
        <f t="shared" si="2"/>
        <v>LCSC</v>
      </c>
      <c r="P27" s="33" t="s">
        <v>200</v>
      </c>
      <c r="Q27" s="7">
        <f>P27*N27</f>
        <v>0.12</v>
      </c>
      <c r="R27" s="6"/>
      <c r="V27" s="26"/>
      <c r="AB27" s="37" t="s">
        <v>206</v>
      </c>
    </row>
    <row r="28" spans="1:28">
      <c r="A28" s="1"/>
      <c r="B28" s="9">
        <f t="shared" si="0"/>
        <v>26</v>
      </c>
      <c r="C28" s="15" t="s">
        <v>14</v>
      </c>
      <c r="D28" s="12" t="s">
        <v>41</v>
      </c>
      <c r="E28" s="12" t="s">
        <v>67</v>
      </c>
      <c r="F28" s="12" t="s">
        <v>89</v>
      </c>
      <c r="G28" s="12" t="s">
        <v>112</v>
      </c>
      <c r="H28" s="12" t="s">
        <v>129</v>
      </c>
      <c r="I28" s="6" t="s">
        <v>179</v>
      </c>
      <c r="J28" s="12" t="s">
        <v>153</v>
      </c>
      <c r="K28" s="18" t="s">
        <v>179</v>
      </c>
      <c r="L28" s="12">
        <v>1</v>
      </c>
      <c r="M28" s="12">
        <f t="shared" ref="M28" si="13">L28*5</f>
        <v>5</v>
      </c>
      <c r="N28" s="27" t="s">
        <v>182</v>
      </c>
      <c r="O28" s="35" t="str">
        <f t="shared" si="2"/>
        <v>LCSC</v>
      </c>
      <c r="P28" s="28" t="s">
        <v>202</v>
      </c>
      <c r="Q28" s="13">
        <f>P28*N28</f>
        <v>2.3445</v>
      </c>
      <c r="R28" s="12"/>
      <c r="V28" s="26"/>
      <c r="AB28" s="37" t="s">
        <v>206</v>
      </c>
    </row>
    <row r="29" spans="1:28">
      <c r="A29" s="1"/>
      <c r="B29" s="8">
        <f>ROW(B29) - ROW($B$2)</f>
        <v>27</v>
      </c>
      <c r="C29" s="14" t="s">
        <v>14</v>
      </c>
      <c r="D29" s="6" t="s">
        <v>42</v>
      </c>
      <c r="E29" s="6" t="s">
        <v>68</v>
      </c>
      <c r="F29" s="6" t="s">
        <v>90</v>
      </c>
      <c r="G29" s="6" t="s">
        <v>113</v>
      </c>
      <c r="H29" s="6" t="s">
        <v>130</v>
      </c>
      <c r="I29" s="6" t="s">
        <v>179</v>
      </c>
      <c r="J29" s="6" t="s">
        <v>154</v>
      </c>
      <c r="K29" s="18" t="s">
        <v>179</v>
      </c>
      <c r="L29" s="6">
        <v>2</v>
      </c>
      <c r="M29" s="6">
        <f>L29*5</f>
        <v>10</v>
      </c>
      <c r="N29" s="30" t="s">
        <v>183</v>
      </c>
      <c r="O29" s="35" t="str">
        <f t="shared" si="2"/>
        <v>LCSC</v>
      </c>
      <c r="P29" s="33" t="s">
        <v>203</v>
      </c>
      <c r="Q29" s="7">
        <f>P29*N29</f>
        <v>2.4220000000000002</v>
      </c>
      <c r="R29" s="6"/>
      <c r="V29" s="26"/>
      <c r="AB29" s="37" t="s">
        <v>206</v>
      </c>
    </row>
    <row r="30" spans="1:28" ht="36">
      <c r="A30" s="1"/>
      <c r="B30" s="9">
        <f t="shared" si="0"/>
        <v>28</v>
      </c>
      <c r="C30" s="14" t="s">
        <v>14</v>
      </c>
      <c r="D30" s="12" t="s">
        <v>43</v>
      </c>
      <c r="E30" s="12" t="s">
        <v>69</v>
      </c>
      <c r="F30" s="12" t="s">
        <v>91</v>
      </c>
      <c r="G30" s="12" t="s">
        <v>114</v>
      </c>
      <c r="H30" s="12" t="s">
        <v>131</v>
      </c>
      <c r="I30" s="6" t="s">
        <v>179</v>
      </c>
      <c r="J30" s="12" t="s">
        <v>155</v>
      </c>
      <c r="K30" s="18" t="s">
        <v>179</v>
      </c>
      <c r="L30" s="12">
        <v>3</v>
      </c>
      <c r="M30" s="12">
        <f t="shared" ref="M30" si="14">L30*5</f>
        <v>15</v>
      </c>
      <c r="N30" s="27" t="s">
        <v>186</v>
      </c>
      <c r="O30" s="35" t="str">
        <f t="shared" si="2"/>
        <v>LCSC</v>
      </c>
      <c r="P30" s="28" t="s">
        <v>204</v>
      </c>
      <c r="Q30" s="13">
        <f>P30*N30</f>
        <v>4.0875000000000004</v>
      </c>
      <c r="R30" s="12"/>
      <c r="V30" s="26"/>
      <c r="AB30" s="37" t="s">
        <v>206</v>
      </c>
    </row>
    <row r="31" spans="1:28" ht="15.75" thickBot="1">
      <c r="A31" s="1"/>
      <c r="B31" s="8">
        <f>ROW(B31) - ROW($B$2)</f>
        <v>29</v>
      </c>
      <c r="C31" s="14" t="s">
        <v>14</v>
      </c>
      <c r="D31" s="6" t="s">
        <v>44</v>
      </c>
      <c r="E31" s="6" t="s">
        <v>70</v>
      </c>
      <c r="F31" s="6" t="s">
        <v>92</v>
      </c>
      <c r="G31" s="6" t="s">
        <v>115</v>
      </c>
      <c r="H31" s="6" t="s">
        <v>132</v>
      </c>
      <c r="I31" s="6" t="s">
        <v>179</v>
      </c>
      <c r="J31" s="6" t="s">
        <v>156</v>
      </c>
      <c r="K31" s="18" t="s">
        <v>179</v>
      </c>
      <c r="L31" s="6">
        <v>3</v>
      </c>
      <c r="M31" s="6">
        <f>L31*5</f>
        <v>15</v>
      </c>
      <c r="N31" s="30" t="s">
        <v>186</v>
      </c>
      <c r="O31" s="36" t="str">
        <f t="shared" si="2"/>
        <v>LCSC</v>
      </c>
      <c r="P31" s="33" t="s">
        <v>205</v>
      </c>
      <c r="Q31" s="7">
        <f>P31*N31</f>
        <v>3.1110000000000002</v>
      </c>
      <c r="R31" s="6"/>
      <c r="V31" s="26"/>
      <c r="AB31" s="37" t="s">
        <v>206</v>
      </c>
    </row>
    <row r="32" spans="1:2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20" t="s">
        <v>1</v>
      </c>
      <c r="O32" s="21"/>
      <c r="P32" s="21"/>
      <c r="Q32" s="10">
        <f>SUM(Q3:Q31)</f>
        <v>62.910499999999999</v>
      </c>
      <c r="R32" s="1"/>
    </row>
    <row r="33" spans="1:18" ht="19.5" thickBo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20" t="s">
        <v>2</v>
      </c>
      <c r="O33" s="21"/>
      <c r="P33" s="21"/>
      <c r="Q33" s="11">
        <f>Q32/5</f>
        <v>12.582100000000001</v>
      </c>
      <c r="R33" s="1"/>
    </row>
    <row r="45" spans="1:18">
      <c r="M45" s="16"/>
    </row>
  </sheetData>
  <mergeCells count="3">
    <mergeCell ref="K1:R1"/>
    <mergeCell ref="N32:P32"/>
    <mergeCell ref="N33:P33"/>
  </mergeCells>
  <hyperlinks>
    <hyperlink ref="AB4" r:id="rId1" display="url"/>
    <hyperlink ref="AB5:AB31" r:id="rId2" display="url"/>
    <hyperlink ref="O11" r:id="rId3"/>
    <hyperlink ref="O13" r:id="rId4"/>
    <hyperlink ref="O14" r:id="rId5"/>
    <hyperlink ref="O3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2025-07-23T07:49:12Z</dcterms:modified>
</cp:coreProperties>
</file>