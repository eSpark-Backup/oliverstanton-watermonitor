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Design-Files\BB_Production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36" i="1" l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37" i="1" l="1"/>
  <c r="Q38" i="1" s="1"/>
  <c r="Q9" i="1"/>
  <c r="Q8" i="1"/>
  <c r="M9" i="1"/>
  <c r="M8" i="1"/>
  <c r="B9" i="1"/>
  <c r="B8" i="1"/>
</calcChain>
</file>

<file path=xl/sharedStrings.xml><?xml version="1.0" encoding="utf-8"?>
<sst xmlns="http://schemas.openxmlformats.org/spreadsheetml/2006/main" count="248" uniqueCount="182">
  <si>
    <t>Component list</t>
  </si>
  <si>
    <t>Project:</t>
  </si>
  <si>
    <t>#</t>
  </si>
  <si>
    <t xml:space="preserve">Total Component Cost </t>
  </si>
  <si>
    <t>Single Board Cost</t>
  </si>
  <si>
    <t>Bill of Materials for Project [BB_Production.PrjPcb] (No PCB Document Selected)</t>
  </si>
  <si>
    <t>BB_Production.PrjPcb</t>
  </si>
  <si>
    <t>Item Type</t>
  </si>
  <si>
    <t>Capacitor</t>
  </si>
  <si>
    <t>Capacitors</t>
  </si>
  <si>
    <t>Diode</t>
  </si>
  <si>
    <t>Wire To Board Connector</t>
  </si>
  <si>
    <t>Terminal Blocks</t>
  </si>
  <si>
    <t>Male Header</t>
  </si>
  <si>
    <t>Inductor</t>
  </si>
  <si>
    <t>Mosfet</t>
  </si>
  <si>
    <t>Resistor</t>
  </si>
  <si>
    <t>Resistors</t>
  </si>
  <si>
    <t>IC</t>
  </si>
  <si>
    <t>Designator</t>
  </si>
  <si>
    <t>C1, C2</t>
  </si>
  <si>
    <t>C3</t>
  </si>
  <si>
    <t>C4, C5</t>
  </si>
  <si>
    <t>C6</t>
  </si>
  <si>
    <t>C7, C8, C9, C10, C11</t>
  </si>
  <si>
    <t>D1</t>
  </si>
  <si>
    <t>D2, D3</t>
  </si>
  <si>
    <t>J1</t>
  </si>
  <si>
    <t>J2, J4</t>
  </si>
  <si>
    <t>J3, J5</t>
  </si>
  <si>
    <t>J6, J7, J8, J12</t>
  </si>
  <si>
    <t>J9, J10, J11</t>
  </si>
  <si>
    <t>L1</t>
  </si>
  <si>
    <t>Q1, Q2, Q3</t>
  </si>
  <si>
    <t>R1, R2, R3, R4, R5, R6, R7, R8, R9, R10, R11, R12, R13</t>
  </si>
  <si>
    <t>R14</t>
  </si>
  <si>
    <t>R15</t>
  </si>
  <si>
    <t>R16, R20, R22, R26</t>
  </si>
  <si>
    <t>R17, R18, R23, R24</t>
  </si>
  <si>
    <t>R19, R25</t>
  </si>
  <si>
    <t>R21, R27</t>
  </si>
  <si>
    <t>R28, R30, R38</t>
  </si>
  <si>
    <t>R29, R37, R39</t>
  </si>
  <si>
    <t>R31, R33, R35</t>
  </si>
  <si>
    <t>R32, R34, R36</t>
  </si>
  <si>
    <t>U1</t>
  </si>
  <si>
    <t>U2, U3</t>
  </si>
  <si>
    <t>U4, U5, U6</t>
  </si>
  <si>
    <t>U7, U8, U9</t>
  </si>
  <si>
    <t>Description</t>
  </si>
  <si>
    <t>CAP CER 0.1UF 50V Y5V 0603</t>
  </si>
  <si>
    <t>CAP TANT 100UF 20% 10V 1411</t>
  </si>
  <si>
    <t>CAP CER 47UF 25V X5R 1206</t>
  </si>
  <si>
    <t>CAP CER 0.1UF 25V X7R 0402</t>
  </si>
  <si>
    <t>CAP CER 0.1UF 16V X7R 0402</t>
  </si>
  <si>
    <t>SCHOTTKY DIODE SMB 100V 5A</t>
  </si>
  <si>
    <t>SOT-23 TVS ROHS</t>
  </si>
  <si>
    <t>1x16P PicoBlade(MX 1.25) 16P Tin 16 -25℃~+85℃ 2A 1 1.25mm Brass Surface Mount,Vertical SMD,P=1.25mm Wire To Board Connector ROHS</t>
  </si>
  <si>
    <t>TERMINAL BLOCK, SCREW TYPE, 5.08</t>
  </si>
  <si>
    <t>Gold 250V 3A Straight Square Pins 2.5mm 2P 260℃ 6mm -40℃~+105℃ 3mm 2.54mm Plugin Black Brass 1x2P Plugin,P=2.54mm Pin Headers ROHS</t>
  </si>
  <si>
    <t>3.5A 47uH ±20% 4A 125mΩ SMD,10x11mm Inductors (SMD) ROHS</t>
  </si>
  <si>
    <t>Single N-Channel, 20V, 4.7A, Power MOSFET</t>
  </si>
  <si>
    <t>RES 0 OHM JUMPER 1/10W 0603</t>
  </si>
  <si>
    <t>RES 0 OHM JUMPER 1/4W 1206</t>
  </si>
  <si>
    <t>RES 10K OHM 1% 1/16W 0402</t>
  </si>
  <si>
    <t>RES 0 OHM JUMPER 1/16W 0402</t>
  </si>
  <si>
    <t>RES 120 OHM 1% 1/10W 0603</t>
  </si>
  <si>
    <t>RES SMD 100 OHM 1% 1/4W 0603</t>
  </si>
  <si>
    <t>RES 1K OHM 1% 1/16W 0402</t>
  </si>
  <si>
    <t>RES 2.2K OHM 1% 1/10W 0603</t>
  </si>
  <si>
    <t>RES SMD 3.3K OHM 1% 1/10W 0603</t>
  </si>
  <si>
    <t>IC REG BUCK 3.3V 2A 8SOP</t>
  </si>
  <si>
    <t>SOP-8 RS-485/RS-422 ICs ROHS</t>
  </si>
  <si>
    <t>TransistorOptocouplers DC 1 2500Vrms SOP-4_P1.27 Optocouplers RoHS</t>
  </si>
  <si>
    <t>IC GATE DRVR LOW-SIDE SOT23-5</t>
  </si>
  <si>
    <t>Footprint</t>
  </si>
  <si>
    <t>Cap-0603</t>
  </si>
  <si>
    <t>Case-B</t>
  </si>
  <si>
    <t>Cap-1206</t>
  </si>
  <si>
    <t>Cap-0402</t>
  </si>
  <si>
    <t>SMB_</t>
  </si>
  <si>
    <t>SOT-23</t>
  </si>
  <si>
    <t>HC-1.25-16PLT</t>
  </si>
  <si>
    <t>TB008A-508-04BE</t>
  </si>
  <si>
    <t>HDR1X2_</t>
  </si>
  <si>
    <t>TB008A-508-02BE</t>
  </si>
  <si>
    <t>TB008A-508-03BE</t>
  </si>
  <si>
    <t>MDA1040-470M</t>
  </si>
  <si>
    <t>sot-23</t>
  </si>
  <si>
    <t>Res-0603</t>
  </si>
  <si>
    <t>Res-1206</t>
  </si>
  <si>
    <t>Res-0402</t>
  </si>
  <si>
    <t>RES-0603</t>
  </si>
  <si>
    <t>SOP-8L</t>
  </si>
  <si>
    <t>SOP-8</t>
  </si>
  <si>
    <t>SOP-4_1.27</t>
  </si>
  <si>
    <t>SOT-23-5</t>
  </si>
  <si>
    <t>Manufacturer Part Number</t>
  </si>
  <si>
    <t>CC0603ZRY5V9BB104</t>
  </si>
  <si>
    <t>TAJB107M010RNJ</t>
  </si>
  <si>
    <t>GRM31CR61E476ME44L</t>
  </si>
  <si>
    <t>GRM155R71E104KE14D</t>
  </si>
  <si>
    <t>CC0402JRX7R7BB104</t>
  </si>
  <si>
    <t>SS510B</t>
  </si>
  <si>
    <t>SM712</t>
  </si>
  <si>
    <t>X6511WV-02H-C60D30</t>
  </si>
  <si>
    <t>WNM2016A-3/TR</t>
  </si>
  <si>
    <t>RC0603JR-070RL</t>
  </si>
  <si>
    <t>RC1206JR-070RL</t>
  </si>
  <si>
    <t>RC0402FR-0710KL</t>
  </si>
  <si>
    <t>RC0402FR-070RL</t>
  </si>
  <si>
    <t>RC0603FR-07120RL</t>
  </si>
  <si>
    <t>RCA0603100RFKEAHP</t>
  </si>
  <si>
    <t>RC0402FR-071KL</t>
  </si>
  <si>
    <t>RC0603FR-072K2L</t>
  </si>
  <si>
    <t>RC0603FR-073K3L</t>
  </si>
  <si>
    <t>AP1509-33SG-13</t>
  </si>
  <si>
    <t>SP3485EIM/TR</t>
  </si>
  <si>
    <t>PS2801C-1-F3-A</t>
  </si>
  <si>
    <t>UCC27517DBVR</t>
  </si>
  <si>
    <t>Manufacturer</t>
  </si>
  <si>
    <t>Yageo</t>
  </si>
  <si>
    <t>Kyocera AVX</t>
  </si>
  <si>
    <t>Murata</t>
  </si>
  <si>
    <t>MDD</t>
  </si>
  <si>
    <t>TECH PUBLIC</t>
  </si>
  <si>
    <t>HCTL</t>
  </si>
  <si>
    <t>Same Sky</t>
  </si>
  <si>
    <t>XKB</t>
  </si>
  <si>
    <t>KOHERelec</t>
  </si>
  <si>
    <t>WILLSEMI</t>
  </si>
  <si>
    <t>Vishay Dale</t>
  </si>
  <si>
    <t>Yageo Phycomp</t>
  </si>
  <si>
    <t>Diodes</t>
  </si>
  <si>
    <t>HGSEMI</t>
  </si>
  <si>
    <t>RENESAS</t>
  </si>
  <si>
    <t>Texas Instruments</t>
  </si>
  <si>
    <t>#Column Name Error:' Alternate Part Number</t>
  </si>
  <si>
    <t>LCSC Part Number</t>
  </si>
  <si>
    <t>C106221</t>
  </si>
  <si>
    <t>C7196</t>
  </si>
  <si>
    <t>C403725</t>
  </si>
  <si>
    <t>C77014</t>
  </si>
  <si>
    <t>C541464</t>
  </si>
  <si>
    <t>C3011128</t>
  </si>
  <si>
    <t>C521963</t>
  </si>
  <si>
    <t>C3012301</t>
  </si>
  <si>
    <t>C706874</t>
  </si>
  <si>
    <t>C2847557</t>
  </si>
  <si>
    <t>C601105</t>
  </si>
  <si>
    <t>C95177</t>
  </si>
  <si>
    <t>C60490</t>
  </si>
  <si>
    <t>C106231</t>
  </si>
  <si>
    <t>C114640</t>
  </si>
  <si>
    <t>C2074203</t>
  </si>
  <si>
    <t>C106235</t>
  </si>
  <si>
    <t>C114662</t>
  </si>
  <si>
    <t>C108078</t>
  </si>
  <si>
    <t>C151823</t>
  </si>
  <si>
    <t>C519086</t>
  </si>
  <si>
    <t>C67112</t>
  </si>
  <si>
    <t>C99395</t>
  </si>
  <si>
    <t>Comment</t>
  </si>
  <si>
    <t>0.1uF</t>
  </si>
  <si>
    <t>100uF</t>
  </si>
  <si>
    <t>47uF</t>
  </si>
  <si>
    <t>47uH</t>
  </si>
  <si>
    <t>0R</t>
  </si>
  <si>
    <t>DNP</t>
  </si>
  <si>
    <t>10K</t>
  </si>
  <si>
    <t>120R</t>
  </si>
  <si>
    <t>100R</t>
  </si>
  <si>
    <t>1K</t>
  </si>
  <si>
    <t>2.2K</t>
  </si>
  <si>
    <t>3.3K</t>
  </si>
  <si>
    <t>Quantity</t>
  </si>
  <si>
    <t>#Column Name Error:' Quantity (5 Boards)</t>
  </si>
  <si>
    <t>#Column Name Error:' MOQ (5 Boards)</t>
  </si>
  <si>
    <t>#Column Name Error:' Links</t>
  </si>
  <si>
    <t>#Column Name Error:' Unit Cost (5 Boards)</t>
  </si>
  <si>
    <t>#Column Name Error:' Total Cost (5 Boards)</t>
  </si>
  <si>
    <t>#Column Name Error:'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</si>
</sst>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1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50"/>
  <sheetViews>
    <sheetView tabSelected="1" workbookViewId="0">
      <selection activeCell="R34" sqref="R34"/>
    </sheetView>
  </sheetViews>
  <sheetFormatPr defaultRowHeight="15" x14ac:dyDescent="0.2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9.7109375" bestFit="1" customWidth="1"/>
    <col min="10" max="10" width="25.7109375" bestFit="1" customWidth="1"/>
    <col min="11" max="11" width="17.85546875" bestFit="1" customWidth="1"/>
    <col min="12" max="12" width="16.7109375" bestFit="1" customWidth="1"/>
    <col min="13" max="13" width="25.28515625" bestFit="1" customWidth="1"/>
    <col min="14" max="14" width="23.28515625" bestFit="1" customWidth="1"/>
    <col min="15" max="15" width="13.42578125" bestFit="1" customWidth="1"/>
    <col min="16" max="16" width="25.85546875" bestFit="1" customWidth="1"/>
    <col min="17" max="17" width="26.42578125" bestFit="1" customWidth="1"/>
    <col min="18" max="18" width="16.5703125" bestFit="1" customWidth="1"/>
  </cols>
  <sheetData>
    <row r="1" spans="1:18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40"/>
      <c r="L1" s="40"/>
      <c r="M1" s="40"/>
      <c r="N1" s="40"/>
      <c r="O1" s="40"/>
      <c r="P1" s="40"/>
      <c r="Q1" s="40"/>
      <c r="R1" s="40"/>
    </row>
    <row r="2" spans="1:18" ht="32.25" thickBot="1" x14ac:dyDescent="0.3">
      <c r="A2" s="1"/>
      <c r="B2" s="7"/>
      <c r="C2" s="13"/>
      <c r="D2" s="4" t="s">
        <v>0</v>
      </c>
      <c r="E2" s="4"/>
      <c r="F2" s="43" t="s">
        <v>5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 x14ac:dyDescent="0.3">
      <c r="A3" s="1"/>
      <c r="B3" s="8"/>
      <c r="C3" s="26"/>
      <c r="D3" s="39" t="s">
        <v>1</v>
      </c>
      <c r="E3" s="27"/>
      <c r="F3" s="44" t="s">
        <v>6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 x14ac:dyDescent="0.25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 x14ac:dyDescent="0.25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 x14ac:dyDescent="0.3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 x14ac:dyDescent="0.3">
      <c r="A7" s="1"/>
      <c r="B7" s="12" t="s">
        <v>2</v>
      </c>
      <c r="C7" s="12" t="s">
        <v>7</v>
      </c>
      <c r="D7" s="12" t="s">
        <v>19</v>
      </c>
      <c r="E7" s="12" t="s">
        <v>49</v>
      </c>
      <c r="F7" s="12" t="s">
        <v>75</v>
      </c>
      <c r="G7" s="12" t="s">
        <v>97</v>
      </c>
      <c r="H7" s="12" t="s">
        <v>120</v>
      </c>
      <c r="I7" s="12" t="s">
        <v>137</v>
      </c>
      <c r="J7" s="12" t="s">
        <v>138</v>
      </c>
      <c r="K7" s="12" t="s">
        <v>162</v>
      </c>
      <c r="L7" s="12" t="s">
        <v>175</v>
      </c>
      <c r="M7" s="12" t="s">
        <v>176</v>
      </c>
      <c r="N7" s="12" t="s">
        <v>177</v>
      </c>
      <c r="O7" s="12" t="s">
        <v>178</v>
      </c>
      <c r="P7" s="12" t="s">
        <v>179</v>
      </c>
      <c r="Q7" s="12" t="s">
        <v>180</v>
      </c>
      <c r="R7" s="12" t="s">
        <v>181</v>
      </c>
    </row>
    <row r="8" spans="1:18" x14ac:dyDescent="0.25">
      <c r="A8" s="1"/>
      <c r="B8" s="16">
        <f>ROW(B8) - ROW($B$7)</f>
        <v>1</v>
      </c>
      <c r="C8" s="22" t="s">
        <v>8</v>
      </c>
      <c r="D8" s="14" t="s">
        <v>20</v>
      </c>
      <c r="E8" s="14" t="s">
        <v>50</v>
      </c>
      <c r="F8" s="14" t="s">
        <v>76</v>
      </c>
      <c r="G8" s="14" t="s">
        <v>98</v>
      </c>
      <c r="H8" s="14" t="s">
        <v>121</v>
      </c>
      <c r="I8" s="14"/>
      <c r="J8" s="14" t="s">
        <v>139</v>
      </c>
      <c r="K8" s="14" t="s">
        <v>163</v>
      </c>
      <c r="L8" s="14">
        <v>2</v>
      </c>
      <c r="M8" s="14">
        <f>L8*5</f>
        <v>10</v>
      </c>
      <c r="N8" s="14"/>
      <c r="O8" s="14"/>
      <c r="P8" s="15"/>
      <c r="Q8" s="15">
        <f>P8*N8</f>
        <v>0</v>
      </c>
      <c r="R8" s="14"/>
    </row>
    <row r="9" spans="1:18" x14ac:dyDescent="0.25">
      <c r="A9" s="1"/>
      <c r="B9" s="17">
        <f t="shared" ref="B9:B36" si="0">ROW(B9) - ROW($B$7)</f>
        <v>2</v>
      </c>
      <c r="C9" s="23" t="s">
        <v>8</v>
      </c>
      <c r="D9" s="20" t="s">
        <v>21</v>
      </c>
      <c r="E9" s="20" t="s">
        <v>51</v>
      </c>
      <c r="F9" s="20" t="s">
        <v>77</v>
      </c>
      <c r="G9" s="20" t="s">
        <v>99</v>
      </c>
      <c r="H9" s="20" t="s">
        <v>122</v>
      </c>
      <c r="I9" s="20"/>
      <c r="J9" s="20" t="s">
        <v>140</v>
      </c>
      <c r="K9" s="20" t="s">
        <v>164</v>
      </c>
      <c r="L9" s="20">
        <v>1</v>
      </c>
      <c r="M9" s="20">
        <f t="shared" ref="M9:M36" si="1">L9*5</f>
        <v>5</v>
      </c>
      <c r="N9" s="20"/>
      <c r="O9" s="20"/>
      <c r="P9" s="21"/>
      <c r="Q9" s="21">
        <f t="shared" ref="Q9:Q36" si="2">P9*N9</f>
        <v>0</v>
      </c>
      <c r="R9" s="20"/>
    </row>
    <row r="10" spans="1:18" x14ac:dyDescent="0.25">
      <c r="A10" s="1"/>
      <c r="B10" s="16">
        <f>ROW(B10) - ROW($B$7)</f>
        <v>3</v>
      </c>
      <c r="C10" s="22" t="s">
        <v>8</v>
      </c>
      <c r="D10" s="14" t="s">
        <v>22</v>
      </c>
      <c r="E10" s="14" t="s">
        <v>52</v>
      </c>
      <c r="F10" s="14" t="s">
        <v>78</v>
      </c>
      <c r="G10" s="14" t="s">
        <v>100</v>
      </c>
      <c r="H10" s="14" t="s">
        <v>123</v>
      </c>
      <c r="I10" s="14"/>
      <c r="J10" s="14" t="s">
        <v>141</v>
      </c>
      <c r="K10" s="14" t="s">
        <v>165</v>
      </c>
      <c r="L10" s="14">
        <v>2</v>
      </c>
      <c r="M10" s="14">
        <f>L10*5</f>
        <v>10</v>
      </c>
      <c r="N10" s="14"/>
      <c r="O10" s="14"/>
      <c r="P10" s="15"/>
      <c r="Q10" s="15">
        <f>P10*N10</f>
        <v>0</v>
      </c>
      <c r="R10" s="14"/>
    </row>
    <row r="11" spans="1:18" x14ac:dyDescent="0.25">
      <c r="A11" s="1"/>
      <c r="B11" s="17">
        <f t="shared" si="0"/>
        <v>4</v>
      </c>
      <c r="C11" s="23" t="s">
        <v>9</v>
      </c>
      <c r="D11" s="20" t="s">
        <v>23</v>
      </c>
      <c r="E11" s="20" t="s">
        <v>53</v>
      </c>
      <c r="F11" s="20" t="s">
        <v>79</v>
      </c>
      <c r="G11" s="20" t="s">
        <v>101</v>
      </c>
      <c r="H11" s="20" t="s">
        <v>123</v>
      </c>
      <c r="I11" s="20"/>
      <c r="J11" s="20" t="s">
        <v>142</v>
      </c>
      <c r="K11" s="20" t="s">
        <v>163</v>
      </c>
      <c r="L11" s="20">
        <v>1</v>
      </c>
      <c r="M11" s="20">
        <f t="shared" ref="M11" si="3">L11*5</f>
        <v>5</v>
      </c>
      <c r="N11" s="20"/>
      <c r="O11" s="20"/>
      <c r="P11" s="21"/>
      <c r="Q11" s="21">
        <f t="shared" ref="Q11" si="4">P11*N11</f>
        <v>0</v>
      </c>
      <c r="R11" s="20"/>
    </row>
    <row r="12" spans="1:18" x14ac:dyDescent="0.25">
      <c r="A12" s="1"/>
      <c r="B12" s="16">
        <f>ROW(B12) - ROW($B$7)</f>
        <v>5</v>
      </c>
      <c r="C12" s="22" t="s">
        <v>8</v>
      </c>
      <c r="D12" s="14" t="s">
        <v>24</v>
      </c>
      <c r="E12" s="14" t="s">
        <v>54</v>
      </c>
      <c r="F12" s="14" t="s">
        <v>79</v>
      </c>
      <c r="G12" s="14" t="s">
        <v>102</v>
      </c>
      <c r="H12" s="14" t="s">
        <v>121</v>
      </c>
      <c r="I12" s="14"/>
      <c r="J12" s="14" t="s">
        <v>143</v>
      </c>
      <c r="K12" s="14" t="s">
        <v>163</v>
      </c>
      <c r="L12" s="14">
        <v>5</v>
      </c>
      <c r="M12" s="14">
        <f>L12*5</f>
        <v>25</v>
      </c>
      <c r="N12" s="14"/>
      <c r="O12" s="14"/>
      <c r="P12" s="15"/>
      <c r="Q12" s="15">
        <f>P12*N12</f>
        <v>0</v>
      </c>
      <c r="R12" s="14"/>
    </row>
    <row r="13" spans="1:18" x14ac:dyDescent="0.25">
      <c r="A13" s="1"/>
      <c r="B13" s="17">
        <f t="shared" si="0"/>
        <v>6</v>
      </c>
      <c r="C13" s="23" t="s">
        <v>10</v>
      </c>
      <c r="D13" s="20" t="s">
        <v>25</v>
      </c>
      <c r="E13" s="20" t="s">
        <v>55</v>
      </c>
      <c r="F13" s="20" t="s">
        <v>80</v>
      </c>
      <c r="G13" s="20" t="s">
        <v>103</v>
      </c>
      <c r="H13" s="20" t="s">
        <v>124</v>
      </c>
      <c r="I13" s="20"/>
      <c r="J13" s="20" t="s">
        <v>144</v>
      </c>
      <c r="K13" s="20" t="s">
        <v>103</v>
      </c>
      <c r="L13" s="20">
        <v>1</v>
      </c>
      <c r="M13" s="20">
        <f t="shared" ref="M13:M15" si="5">L13*5</f>
        <v>5</v>
      </c>
      <c r="N13" s="20"/>
      <c r="O13" s="20"/>
      <c r="P13" s="21"/>
      <c r="Q13" s="21">
        <f t="shared" ref="Q13:Q15" si="6">P13*N13</f>
        <v>0</v>
      </c>
      <c r="R13" s="20"/>
    </row>
    <row r="14" spans="1:18" x14ac:dyDescent="0.25">
      <c r="A14" s="1"/>
      <c r="B14" s="16">
        <f>ROW(B14) - ROW($B$7)</f>
        <v>7</v>
      </c>
      <c r="C14" s="22" t="s">
        <v>10</v>
      </c>
      <c r="D14" s="14" t="s">
        <v>26</v>
      </c>
      <c r="E14" s="14" t="s">
        <v>56</v>
      </c>
      <c r="F14" s="14" t="s">
        <v>81</v>
      </c>
      <c r="G14" s="14" t="s">
        <v>104</v>
      </c>
      <c r="H14" s="14" t="s">
        <v>125</v>
      </c>
      <c r="I14" s="14"/>
      <c r="J14" s="14" t="s">
        <v>145</v>
      </c>
      <c r="K14" s="14" t="s">
        <v>104</v>
      </c>
      <c r="L14" s="14">
        <v>2</v>
      </c>
      <c r="M14" s="14">
        <f>L14*5</f>
        <v>10</v>
      </c>
      <c r="N14" s="14"/>
      <c r="O14" s="14"/>
      <c r="P14" s="15"/>
      <c r="Q14" s="15">
        <f>P14*N14</f>
        <v>0</v>
      </c>
      <c r="R14" s="14"/>
    </row>
    <row r="15" spans="1:18" ht="48" x14ac:dyDescent="0.25">
      <c r="A15" s="1"/>
      <c r="B15" s="17">
        <f t="shared" si="0"/>
        <v>8</v>
      </c>
      <c r="C15" s="23" t="s">
        <v>11</v>
      </c>
      <c r="D15" s="20" t="s">
        <v>27</v>
      </c>
      <c r="E15" s="20" t="s">
        <v>57</v>
      </c>
      <c r="F15" s="20" t="s">
        <v>82</v>
      </c>
      <c r="G15" s="20" t="s">
        <v>82</v>
      </c>
      <c r="H15" s="20" t="s">
        <v>126</v>
      </c>
      <c r="I15" s="20"/>
      <c r="J15" s="20" t="s">
        <v>146</v>
      </c>
      <c r="K15" s="20" t="s">
        <v>82</v>
      </c>
      <c r="L15" s="20">
        <v>1</v>
      </c>
      <c r="M15" s="20">
        <f t="shared" ref="M15" si="7">L15*5</f>
        <v>5</v>
      </c>
      <c r="N15" s="20"/>
      <c r="O15" s="20"/>
      <c r="P15" s="21"/>
      <c r="Q15" s="21">
        <f t="shared" ref="Q15" si="8">P15*N15</f>
        <v>0</v>
      </c>
      <c r="R15" s="20"/>
    </row>
    <row r="16" spans="1:18" x14ac:dyDescent="0.25">
      <c r="A16" s="1"/>
      <c r="B16" s="16">
        <f>ROW(B16) - ROW($B$7)</f>
        <v>9</v>
      </c>
      <c r="C16" s="22" t="s">
        <v>12</v>
      </c>
      <c r="D16" s="14" t="s">
        <v>28</v>
      </c>
      <c r="E16" s="14" t="s">
        <v>58</v>
      </c>
      <c r="F16" s="14" t="s">
        <v>83</v>
      </c>
      <c r="G16" s="14" t="s">
        <v>83</v>
      </c>
      <c r="H16" s="14" t="s">
        <v>127</v>
      </c>
      <c r="I16" s="14"/>
      <c r="J16" s="14"/>
      <c r="K16" s="14" t="s">
        <v>83</v>
      </c>
      <c r="L16" s="14">
        <v>2</v>
      </c>
      <c r="M16" s="14">
        <f>L16*5</f>
        <v>10</v>
      </c>
      <c r="N16" s="14"/>
      <c r="O16" s="14"/>
      <c r="P16" s="15"/>
      <c r="Q16" s="15">
        <f>P16*N16</f>
        <v>0</v>
      </c>
      <c r="R16" s="14"/>
    </row>
    <row r="17" spans="1:18" ht="48" x14ac:dyDescent="0.25">
      <c r="A17" s="1"/>
      <c r="B17" s="17">
        <f t="shared" si="0"/>
        <v>10</v>
      </c>
      <c r="C17" s="23" t="s">
        <v>13</v>
      </c>
      <c r="D17" s="20" t="s">
        <v>29</v>
      </c>
      <c r="E17" s="20" t="s">
        <v>59</v>
      </c>
      <c r="F17" s="20" t="s">
        <v>84</v>
      </c>
      <c r="G17" s="20" t="s">
        <v>105</v>
      </c>
      <c r="H17" s="20" t="s">
        <v>128</v>
      </c>
      <c r="I17" s="20"/>
      <c r="J17" s="20" t="s">
        <v>147</v>
      </c>
      <c r="K17" s="20" t="s">
        <v>105</v>
      </c>
      <c r="L17" s="20">
        <v>2</v>
      </c>
      <c r="M17" s="20">
        <f t="shared" ref="M17:M23" si="9">L17*5</f>
        <v>10</v>
      </c>
      <c r="N17" s="20"/>
      <c r="O17" s="20"/>
      <c r="P17" s="21"/>
      <c r="Q17" s="21">
        <f t="shared" ref="Q17:Q23" si="10">P17*N17</f>
        <v>0</v>
      </c>
      <c r="R17" s="20"/>
    </row>
    <row r="18" spans="1:18" x14ac:dyDescent="0.25">
      <c r="A18" s="1"/>
      <c r="B18" s="16">
        <f>ROW(B18) - ROW($B$7)</f>
        <v>11</v>
      </c>
      <c r="C18" s="22" t="s">
        <v>12</v>
      </c>
      <c r="D18" s="14" t="s">
        <v>30</v>
      </c>
      <c r="E18" s="14" t="s">
        <v>58</v>
      </c>
      <c r="F18" s="14" t="s">
        <v>85</v>
      </c>
      <c r="G18" s="14" t="s">
        <v>85</v>
      </c>
      <c r="H18" s="14" t="s">
        <v>127</v>
      </c>
      <c r="I18" s="14"/>
      <c r="J18" s="14"/>
      <c r="K18" s="14" t="s">
        <v>85</v>
      </c>
      <c r="L18" s="14">
        <v>4</v>
      </c>
      <c r="M18" s="14">
        <f>L18*5</f>
        <v>20</v>
      </c>
      <c r="N18" s="14"/>
      <c r="O18" s="14"/>
      <c r="P18" s="15"/>
      <c r="Q18" s="15">
        <f>P18*N18</f>
        <v>0</v>
      </c>
      <c r="R18" s="14"/>
    </row>
    <row r="19" spans="1:18" x14ac:dyDescent="0.25">
      <c r="A19" s="1"/>
      <c r="B19" s="17">
        <f t="shared" si="0"/>
        <v>12</v>
      </c>
      <c r="C19" s="23" t="s">
        <v>12</v>
      </c>
      <c r="D19" s="20" t="s">
        <v>31</v>
      </c>
      <c r="E19" s="20" t="s">
        <v>58</v>
      </c>
      <c r="F19" s="20" t="s">
        <v>86</v>
      </c>
      <c r="G19" s="20" t="s">
        <v>86</v>
      </c>
      <c r="H19" s="20" t="s">
        <v>127</v>
      </c>
      <c r="I19" s="20"/>
      <c r="J19" s="20"/>
      <c r="K19" s="20" t="s">
        <v>86</v>
      </c>
      <c r="L19" s="20">
        <v>3</v>
      </c>
      <c r="M19" s="20">
        <f t="shared" ref="M19" si="11">L19*5</f>
        <v>15</v>
      </c>
      <c r="N19" s="20"/>
      <c r="O19" s="20"/>
      <c r="P19" s="21"/>
      <c r="Q19" s="21">
        <f t="shared" ref="Q19" si="12">P19*N19</f>
        <v>0</v>
      </c>
      <c r="R19" s="20"/>
    </row>
    <row r="20" spans="1:18" ht="24" x14ac:dyDescent="0.25">
      <c r="A20" s="1"/>
      <c r="B20" s="16">
        <f>ROW(B20) - ROW($B$7)</f>
        <v>13</v>
      </c>
      <c r="C20" s="22" t="s">
        <v>14</v>
      </c>
      <c r="D20" s="14" t="s">
        <v>32</v>
      </c>
      <c r="E20" s="14" t="s">
        <v>60</v>
      </c>
      <c r="F20" s="14" t="s">
        <v>87</v>
      </c>
      <c r="G20" s="14" t="s">
        <v>87</v>
      </c>
      <c r="H20" s="14" t="s">
        <v>129</v>
      </c>
      <c r="I20" s="14"/>
      <c r="J20" s="14" t="s">
        <v>148</v>
      </c>
      <c r="K20" s="14" t="s">
        <v>166</v>
      </c>
      <c r="L20" s="14">
        <v>1</v>
      </c>
      <c r="M20" s="14">
        <f>L20*5</f>
        <v>5</v>
      </c>
      <c r="N20" s="14"/>
      <c r="O20" s="14"/>
      <c r="P20" s="15"/>
      <c r="Q20" s="15">
        <f>P20*N20</f>
        <v>0</v>
      </c>
      <c r="R20" s="14"/>
    </row>
    <row r="21" spans="1:18" ht="24" x14ac:dyDescent="0.25">
      <c r="A21" s="1"/>
      <c r="B21" s="17">
        <f t="shared" si="0"/>
        <v>14</v>
      </c>
      <c r="C21" s="23" t="s">
        <v>15</v>
      </c>
      <c r="D21" s="20" t="s">
        <v>33</v>
      </c>
      <c r="E21" s="20" t="s">
        <v>61</v>
      </c>
      <c r="F21" s="20" t="s">
        <v>88</v>
      </c>
      <c r="G21" s="20" t="s">
        <v>106</v>
      </c>
      <c r="H21" s="20" t="s">
        <v>130</v>
      </c>
      <c r="I21" s="20"/>
      <c r="J21" s="20" t="s">
        <v>149</v>
      </c>
      <c r="K21" s="20" t="s">
        <v>106</v>
      </c>
      <c r="L21" s="20">
        <v>3</v>
      </c>
      <c r="M21" s="20">
        <f t="shared" ref="M21:M23" si="13">L21*5</f>
        <v>15</v>
      </c>
      <c r="N21" s="20"/>
      <c r="O21" s="20"/>
      <c r="P21" s="21"/>
      <c r="Q21" s="21">
        <f t="shared" ref="Q21:Q23" si="14">P21*N21</f>
        <v>0</v>
      </c>
      <c r="R21" s="20"/>
    </row>
    <row r="22" spans="1:18" ht="24" x14ac:dyDescent="0.25">
      <c r="A22" s="1"/>
      <c r="B22" s="16">
        <f>ROW(B22) - ROW($B$7)</f>
        <v>15</v>
      </c>
      <c r="C22" s="22" t="s">
        <v>16</v>
      </c>
      <c r="D22" s="14" t="s">
        <v>34</v>
      </c>
      <c r="E22" s="14" t="s">
        <v>62</v>
      </c>
      <c r="F22" s="14" t="s">
        <v>89</v>
      </c>
      <c r="G22" s="14" t="s">
        <v>107</v>
      </c>
      <c r="H22" s="14" t="s">
        <v>121</v>
      </c>
      <c r="I22" s="14"/>
      <c r="J22" s="14" t="s">
        <v>150</v>
      </c>
      <c r="K22" s="14" t="s">
        <v>167</v>
      </c>
      <c r="L22" s="14">
        <v>13</v>
      </c>
      <c r="M22" s="14">
        <f>L22*5</f>
        <v>65</v>
      </c>
      <c r="N22" s="14"/>
      <c r="O22" s="14"/>
      <c r="P22" s="15"/>
      <c r="Q22" s="15">
        <f>P22*N22</f>
        <v>0</v>
      </c>
      <c r="R22" s="14"/>
    </row>
    <row r="23" spans="1:18" x14ac:dyDescent="0.25">
      <c r="A23" s="1"/>
      <c r="B23" s="17">
        <f t="shared" si="0"/>
        <v>16</v>
      </c>
      <c r="C23" s="23" t="s">
        <v>17</v>
      </c>
      <c r="D23" s="20" t="s">
        <v>35</v>
      </c>
      <c r="E23" s="20" t="s">
        <v>63</v>
      </c>
      <c r="F23" s="20" t="s">
        <v>90</v>
      </c>
      <c r="G23" s="20" t="s">
        <v>108</v>
      </c>
      <c r="H23" s="20" t="s">
        <v>121</v>
      </c>
      <c r="I23" s="20"/>
      <c r="J23" s="20"/>
      <c r="K23" s="20" t="s">
        <v>168</v>
      </c>
      <c r="L23" s="20">
        <v>1</v>
      </c>
      <c r="M23" s="20">
        <f t="shared" ref="M23" si="15">L23*5</f>
        <v>5</v>
      </c>
      <c r="N23" s="20"/>
      <c r="O23" s="20"/>
      <c r="P23" s="21"/>
      <c r="Q23" s="21">
        <f t="shared" ref="Q23" si="16">P23*N23</f>
        <v>0</v>
      </c>
      <c r="R23" s="20"/>
    </row>
    <row r="24" spans="1:18" x14ac:dyDescent="0.25">
      <c r="A24" s="1"/>
      <c r="B24" s="16">
        <f>ROW(B24) - ROW($B$7)</f>
        <v>17</v>
      </c>
      <c r="C24" s="22" t="s">
        <v>17</v>
      </c>
      <c r="D24" s="14" t="s">
        <v>36</v>
      </c>
      <c r="E24" s="14" t="s">
        <v>63</v>
      </c>
      <c r="F24" s="14" t="s">
        <v>90</v>
      </c>
      <c r="G24" s="14" t="s">
        <v>108</v>
      </c>
      <c r="H24" s="14" t="s">
        <v>121</v>
      </c>
      <c r="I24" s="14"/>
      <c r="J24" s="14"/>
      <c r="K24" s="14" t="s">
        <v>167</v>
      </c>
      <c r="L24" s="14">
        <v>1</v>
      </c>
      <c r="M24" s="14">
        <f>L24*5</f>
        <v>5</v>
      </c>
      <c r="N24" s="14"/>
      <c r="O24" s="14"/>
      <c r="P24" s="15"/>
      <c r="Q24" s="15">
        <f>P24*N24</f>
        <v>0</v>
      </c>
      <c r="R24" s="14"/>
    </row>
    <row r="25" spans="1:18" x14ac:dyDescent="0.25">
      <c r="A25" s="1"/>
      <c r="B25" s="17">
        <f t="shared" si="0"/>
        <v>18</v>
      </c>
      <c r="C25" s="23" t="s">
        <v>16</v>
      </c>
      <c r="D25" s="20" t="s">
        <v>37</v>
      </c>
      <c r="E25" s="20" t="s">
        <v>64</v>
      </c>
      <c r="F25" s="20" t="s">
        <v>91</v>
      </c>
      <c r="G25" s="20" t="s">
        <v>109</v>
      </c>
      <c r="H25" s="20" t="s">
        <v>121</v>
      </c>
      <c r="I25" s="20"/>
      <c r="J25" s="20" t="s">
        <v>151</v>
      </c>
      <c r="K25" s="20" t="s">
        <v>169</v>
      </c>
      <c r="L25" s="20">
        <v>4</v>
      </c>
      <c r="M25" s="20">
        <f t="shared" ref="M25:M36" si="17">L25*5</f>
        <v>20</v>
      </c>
      <c r="N25" s="20"/>
      <c r="O25" s="20"/>
      <c r="P25" s="21"/>
      <c r="Q25" s="21">
        <f t="shared" ref="Q25:Q36" si="18">P25*N25</f>
        <v>0</v>
      </c>
      <c r="R25" s="20"/>
    </row>
    <row r="26" spans="1:18" x14ac:dyDescent="0.25">
      <c r="A26" s="1"/>
      <c r="B26" s="16">
        <f>ROW(B26) - ROW($B$7)</f>
        <v>19</v>
      </c>
      <c r="C26" s="22" t="s">
        <v>17</v>
      </c>
      <c r="D26" s="14" t="s">
        <v>38</v>
      </c>
      <c r="E26" s="14" t="s">
        <v>65</v>
      </c>
      <c r="F26" s="14" t="s">
        <v>91</v>
      </c>
      <c r="G26" s="14" t="s">
        <v>110</v>
      </c>
      <c r="H26" s="14" t="s">
        <v>121</v>
      </c>
      <c r="I26" s="14"/>
      <c r="J26" s="14" t="s">
        <v>152</v>
      </c>
      <c r="K26" s="14" t="s">
        <v>167</v>
      </c>
      <c r="L26" s="14">
        <v>4</v>
      </c>
      <c r="M26" s="14">
        <f>L26*5</f>
        <v>20</v>
      </c>
      <c r="N26" s="14"/>
      <c r="O26" s="14"/>
      <c r="P26" s="15"/>
      <c r="Q26" s="15">
        <f>P26*N26</f>
        <v>0</v>
      </c>
      <c r="R26" s="14"/>
    </row>
    <row r="27" spans="1:18" x14ac:dyDescent="0.25">
      <c r="A27" s="1"/>
      <c r="B27" s="17">
        <f t="shared" si="0"/>
        <v>20</v>
      </c>
      <c r="C27" s="23" t="s">
        <v>16</v>
      </c>
      <c r="D27" s="20" t="s">
        <v>39</v>
      </c>
      <c r="E27" s="20" t="s">
        <v>66</v>
      </c>
      <c r="F27" s="20" t="s">
        <v>89</v>
      </c>
      <c r="G27" s="20" t="s">
        <v>111</v>
      </c>
      <c r="H27" s="20" t="s">
        <v>121</v>
      </c>
      <c r="I27" s="20"/>
      <c r="J27" s="20" t="s">
        <v>153</v>
      </c>
      <c r="K27" s="20" t="s">
        <v>170</v>
      </c>
      <c r="L27" s="20">
        <v>2</v>
      </c>
      <c r="M27" s="20">
        <f t="shared" ref="M27" si="19">L27*5</f>
        <v>10</v>
      </c>
      <c r="N27" s="20"/>
      <c r="O27" s="20"/>
      <c r="P27" s="21"/>
      <c r="Q27" s="21">
        <f t="shared" ref="Q27" si="20">P27*N27</f>
        <v>0</v>
      </c>
      <c r="R27" s="20"/>
    </row>
    <row r="28" spans="1:18" x14ac:dyDescent="0.25">
      <c r="A28" s="1"/>
      <c r="B28" s="16">
        <f>ROW(B28) - ROW($B$7)</f>
        <v>21</v>
      </c>
      <c r="C28" s="22" t="s">
        <v>16</v>
      </c>
      <c r="D28" s="14" t="s">
        <v>40</v>
      </c>
      <c r="E28" s="14" t="s">
        <v>64</v>
      </c>
      <c r="F28" s="14" t="s">
        <v>91</v>
      </c>
      <c r="G28" s="14" t="s">
        <v>109</v>
      </c>
      <c r="H28" s="14" t="s">
        <v>121</v>
      </c>
      <c r="I28" s="14"/>
      <c r="J28" s="14" t="s">
        <v>151</v>
      </c>
      <c r="K28" s="14" t="s">
        <v>168</v>
      </c>
      <c r="L28" s="14">
        <v>2</v>
      </c>
      <c r="M28" s="14">
        <f>L28*5</f>
        <v>10</v>
      </c>
      <c r="N28" s="14"/>
      <c r="O28" s="14"/>
      <c r="P28" s="15"/>
      <c r="Q28" s="15">
        <f>P28*N28</f>
        <v>0</v>
      </c>
      <c r="R28" s="14"/>
    </row>
    <row r="29" spans="1:18" x14ac:dyDescent="0.25">
      <c r="A29" s="1"/>
      <c r="B29" s="17">
        <f t="shared" si="0"/>
        <v>22</v>
      </c>
      <c r="C29" s="23"/>
      <c r="D29" s="20" t="s">
        <v>41</v>
      </c>
      <c r="E29" s="20" t="s">
        <v>67</v>
      </c>
      <c r="F29" s="20" t="s">
        <v>92</v>
      </c>
      <c r="G29" s="20" t="s">
        <v>112</v>
      </c>
      <c r="H29" s="20" t="s">
        <v>131</v>
      </c>
      <c r="I29" s="20"/>
      <c r="J29" s="20" t="s">
        <v>154</v>
      </c>
      <c r="K29" s="20" t="s">
        <v>171</v>
      </c>
      <c r="L29" s="20">
        <v>3</v>
      </c>
      <c r="M29" s="20">
        <f t="shared" ref="M29:M31" si="21">L29*5</f>
        <v>15</v>
      </c>
      <c r="N29" s="20"/>
      <c r="O29" s="20"/>
      <c r="P29" s="21"/>
      <c r="Q29" s="21">
        <f t="shared" ref="Q29:Q31" si="22">P29*N29</f>
        <v>0</v>
      </c>
      <c r="R29" s="20"/>
    </row>
    <row r="30" spans="1:18" x14ac:dyDescent="0.25">
      <c r="A30" s="1"/>
      <c r="B30" s="16">
        <f>ROW(B30) - ROW($B$7)</f>
        <v>23</v>
      </c>
      <c r="C30" s="22" t="s">
        <v>16</v>
      </c>
      <c r="D30" s="14" t="s">
        <v>42</v>
      </c>
      <c r="E30" s="14" t="s">
        <v>68</v>
      </c>
      <c r="F30" s="14" t="s">
        <v>91</v>
      </c>
      <c r="G30" s="14" t="s">
        <v>113</v>
      </c>
      <c r="H30" s="14" t="s">
        <v>121</v>
      </c>
      <c r="I30" s="14"/>
      <c r="J30" s="14" t="s">
        <v>155</v>
      </c>
      <c r="K30" s="14" t="s">
        <v>172</v>
      </c>
      <c r="L30" s="14">
        <v>3</v>
      </c>
      <c r="M30" s="14">
        <f>L30*5</f>
        <v>15</v>
      </c>
      <c r="N30" s="14"/>
      <c r="O30" s="14"/>
      <c r="P30" s="15"/>
      <c r="Q30" s="15">
        <f>P30*N30</f>
        <v>0</v>
      </c>
      <c r="R30" s="14"/>
    </row>
    <row r="31" spans="1:18" x14ac:dyDescent="0.25">
      <c r="A31" s="1"/>
      <c r="B31" s="17">
        <f t="shared" si="0"/>
        <v>24</v>
      </c>
      <c r="C31" s="23" t="s">
        <v>16</v>
      </c>
      <c r="D31" s="20" t="s">
        <v>43</v>
      </c>
      <c r="E31" s="20" t="s">
        <v>69</v>
      </c>
      <c r="F31" s="20" t="s">
        <v>89</v>
      </c>
      <c r="G31" s="20" t="s">
        <v>114</v>
      </c>
      <c r="H31" s="20" t="s">
        <v>121</v>
      </c>
      <c r="I31" s="20"/>
      <c r="J31" s="20" t="s">
        <v>156</v>
      </c>
      <c r="K31" s="20" t="s">
        <v>173</v>
      </c>
      <c r="L31" s="20">
        <v>3</v>
      </c>
      <c r="M31" s="20">
        <f t="shared" ref="M31" si="23">L31*5</f>
        <v>15</v>
      </c>
      <c r="N31" s="20"/>
      <c r="O31" s="20"/>
      <c r="P31" s="21"/>
      <c r="Q31" s="21">
        <f t="shared" ref="Q31" si="24">P31*N31</f>
        <v>0</v>
      </c>
      <c r="R31" s="20"/>
    </row>
    <row r="32" spans="1:18" x14ac:dyDescent="0.25">
      <c r="A32" s="1"/>
      <c r="B32" s="16">
        <f>ROW(B32) - ROW($B$7)</f>
        <v>25</v>
      </c>
      <c r="C32" s="22" t="s">
        <v>16</v>
      </c>
      <c r="D32" s="14" t="s">
        <v>44</v>
      </c>
      <c r="E32" s="14" t="s">
        <v>70</v>
      </c>
      <c r="F32" s="14" t="s">
        <v>89</v>
      </c>
      <c r="G32" s="14" t="s">
        <v>115</v>
      </c>
      <c r="H32" s="14" t="s">
        <v>132</v>
      </c>
      <c r="I32" s="14"/>
      <c r="J32" s="14" t="s">
        <v>157</v>
      </c>
      <c r="K32" s="14" t="s">
        <v>174</v>
      </c>
      <c r="L32" s="14">
        <v>3</v>
      </c>
      <c r="M32" s="14">
        <f>L32*5</f>
        <v>15</v>
      </c>
      <c r="N32" s="14"/>
      <c r="O32" s="14"/>
      <c r="P32" s="15"/>
      <c r="Q32" s="15">
        <f>P32*N32</f>
        <v>0</v>
      </c>
      <c r="R32" s="14"/>
    </row>
    <row r="33" spans="1:18" x14ac:dyDescent="0.25">
      <c r="A33" s="1"/>
      <c r="B33" s="17">
        <f t="shared" si="0"/>
        <v>26</v>
      </c>
      <c r="C33" s="23" t="s">
        <v>18</v>
      </c>
      <c r="D33" s="20" t="s">
        <v>45</v>
      </c>
      <c r="E33" s="20" t="s">
        <v>71</v>
      </c>
      <c r="F33" s="20" t="s">
        <v>93</v>
      </c>
      <c r="G33" s="20" t="s">
        <v>116</v>
      </c>
      <c r="H33" s="20" t="s">
        <v>133</v>
      </c>
      <c r="I33" s="20"/>
      <c r="J33" s="20" t="s">
        <v>158</v>
      </c>
      <c r="K33" s="20" t="s">
        <v>116</v>
      </c>
      <c r="L33" s="20">
        <v>1</v>
      </c>
      <c r="M33" s="20">
        <f t="shared" ref="M33:M36" si="25">L33*5</f>
        <v>5</v>
      </c>
      <c r="N33" s="20"/>
      <c r="O33" s="20"/>
      <c r="P33" s="21"/>
      <c r="Q33" s="21">
        <f t="shared" ref="Q33:Q36" si="26">P33*N33</f>
        <v>0</v>
      </c>
      <c r="R33" s="20"/>
    </row>
    <row r="34" spans="1:18" x14ac:dyDescent="0.25">
      <c r="A34" s="1"/>
      <c r="B34" s="16">
        <f>ROW(B34) - ROW($B$7)</f>
        <v>27</v>
      </c>
      <c r="C34" s="22" t="s">
        <v>18</v>
      </c>
      <c r="D34" s="14" t="s">
        <v>46</v>
      </c>
      <c r="E34" s="14" t="s">
        <v>72</v>
      </c>
      <c r="F34" s="14" t="s">
        <v>94</v>
      </c>
      <c r="G34" s="14" t="s">
        <v>117</v>
      </c>
      <c r="H34" s="14" t="s">
        <v>134</v>
      </c>
      <c r="I34" s="14"/>
      <c r="J34" s="14" t="s">
        <v>159</v>
      </c>
      <c r="K34" s="14" t="s">
        <v>117</v>
      </c>
      <c r="L34" s="14">
        <v>2</v>
      </c>
      <c r="M34" s="14">
        <f>L34*5</f>
        <v>10</v>
      </c>
      <c r="N34" s="14"/>
      <c r="O34" s="14"/>
      <c r="P34" s="15"/>
      <c r="Q34" s="15">
        <f>P34*N34</f>
        <v>0</v>
      </c>
      <c r="R34" s="14"/>
    </row>
    <row r="35" spans="1:18" ht="36" x14ac:dyDescent="0.25">
      <c r="A35" s="1"/>
      <c r="B35" s="17">
        <f t="shared" si="0"/>
        <v>28</v>
      </c>
      <c r="C35" s="23"/>
      <c r="D35" s="20" t="s">
        <v>47</v>
      </c>
      <c r="E35" s="20" t="s">
        <v>73</v>
      </c>
      <c r="F35" s="20" t="s">
        <v>95</v>
      </c>
      <c r="G35" s="20" t="s">
        <v>118</v>
      </c>
      <c r="H35" s="20" t="s">
        <v>135</v>
      </c>
      <c r="I35" s="20"/>
      <c r="J35" s="20" t="s">
        <v>160</v>
      </c>
      <c r="K35" s="20" t="s">
        <v>118</v>
      </c>
      <c r="L35" s="20">
        <v>3</v>
      </c>
      <c r="M35" s="20">
        <f t="shared" ref="M35" si="27">L35*5</f>
        <v>15</v>
      </c>
      <c r="N35" s="20"/>
      <c r="O35" s="20"/>
      <c r="P35" s="21"/>
      <c r="Q35" s="21">
        <f t="shared" ref="Q35" si="28">P35*N35</f>
        <v>0</v>
      </c>
      <c r="R35" s="20"/>
    </row>
    <row r="36" spans="1:18" ht="15.75" thickBot="1" x14ac:dyDescent="0.3">
      <c r="A36" s="1"/>
      <c r="B36" s="16">
        <f>ROW(B36) - ROW($B$7)</f>
        <v>29</v>
      </c>
      <c r="C36" s="22" t="s">
        <v>18</v>
      </c>
      <c r="D36" s="14" t="s">
        <v>48</v>
      </c>
      <c r="E36" s="14" t="s">
        <v>74</v>
      </c>
      <c r="F36" s="14" t="s">
        <v>96</v>
      </c>
      <c r="G36" s="14" t="s">
        <v>119</v>
      </c>
      <c r="H36" s="14" t="s">
        <v>136</v>
      </c>
      <c r="I36" s="14"/>
      <c r="J36" s="14" t="s">
        <v>161</v>
      </c>
      <c r="K36" s="14" t="s">
        <v>119</v>
      </c>
      <c r="L36" s="14">
        <v>3</v>
      </c>
      <c r="M36" s="14">
        <f>L36*5</f>
        <v>15</v>
      </c>
      <c r="N36" s="14"/>
      <c r="O36" s="14"/>
      <c r="P36" s="15"/>
      <c r="Q36" s="15">
        <f>P36*N36</f>
        <v>0</v>
      </c>
      <c r="R36" s="14"/>
    </row>
    <row r="37" spans="1:18" ht="19.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41" t="s">
        <v>3</v>
      </c>
      <c r="O37" s="42"/>
      <c r="P37" s="42"/>
      <c r="Q37" s="18" t="e">
        <f>SUM(#REF!)</f>
        <v>#REF!</v>
      </c>
      <c r="R37" s="1"/>
    </row>
    <row r="38" spans="1:18" ht="19.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41" t="s">
        <v>4</v>
      </c>
      <c r="O38" s="42"/>
      <c r="P38" s="42"/>
      <c r="Q38" s="19" t="e">
        <f>Q37/5</f>
        <v>#REF!</v>
      </c>
      <c r="R38" s="1"/>
    </row>
    <row r="50" spans="13:13" x14ac:dyDescent="0.25">
      <c r="M50" s="38"/>
    </row>
  </sheetData>
  <mergeCells count="3">
    <mergeCell ref="K1:R1"/>
    <mergeCell ref="N37:P37"/>
    <mergeCell ref="N38:P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2025-07-17T07:46:58Z</dcterms:modified>
</cp:coreProperties>
</file>